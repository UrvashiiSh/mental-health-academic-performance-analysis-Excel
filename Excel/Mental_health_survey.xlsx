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37f27a275716b516/Desktop/PowerBIDashboard/Downloaded from Kaggle/"/>
    </mc:Choice>
  </mc:AlternateContent>
  <xr:revisionPtr revIDLastSave="18930" documentId="8_{05F1ABE7-1DD8-4F81-8BCD-4A197029370B}" xr6:coauthVersionLast="47" xr6:coauthVersionMax="47" xr10:uidLastSave="{BC66BF07-6421-457F-84F7-8531F6398A22}"/>
  <bookViews>
    <workbookView xWindow="-108" yWindow="-108" windowWidth="23256" windowHeight="13896" firstSheet="1" activeTab="1" xr2:uid="{8268E1DD-4059-4CD4-9A5D-D070CA045295}"/>
  </bookViews>
  <sheets>
    <sheet name="Raw_Data" sheetId="10" r:id="rId1"/>
    <sheet name="Clean_Data" sheetId="2" r:id="rId2"/>
    <sheet name="EDA" sheetId="3" r:id="rId3"/>
    <sheet name="Statistical Analysis" sheetId="12" r:id="rId4"/>
    <sheet name="Statistical Output" sheetId="18" state="hidden" r:id="rId5"/>
    <sheet name="Dashboard" sheetId="9" r:id="rId6"/>
    <sheet name="Insights" sheetId="20" r:id="rId7"/>
  </sheets>
  <definedNames>
    <definedName name="_xlnm._FilterDatabase" localSheetId="4" hidden="1">'Statistical Output'!#REF!</definedName>
    <definedName name="_xlchart.v1.0" hidden="1">EDA!$F$127:$F$132</definedName>
    <definedName name="_xlchart.v1.1" hidden="1">EDA!$G$126</definedName>
    <definedName name="_xlchart.v1.2" hidden="1">EDA!$G$127:$G$132</definedName>
    <definedName name="ExternalData_1" localSheetId="1" hidden="1">Clean_Data!$A$4:$Y$504</definedName>
    <definedName name="ExternalData_1" localSheetId="0" hidden="1">Raw_Data!$A$1:$S$501</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2" i="18" l="1"/>
  <c r="D82" i="18" s="1"/>
  <c r="E82" i="18" s="1" a="1"/>
  <c r="C83" i="18"/>
  <c r="D83" i="18" s="1"/>
  <c r="E83" i="18" s="1" a="1"/>
  <c r="C84" i="18"/>
  <c r="D84" i="18" s="1"/>
  <c r="E84" i="18" s="1" a="1"/>
  <c r="C199" i="18"/>
  <c r="D199" i="18"/>
  <c r="C198" i="18"/>
  <c r="D198" i="18"/>
  <c r="D197" i="18"/>
  <c r="C197" i="18"/>
  <c r="D196" i="18"/>
  <c r="C196" i="18"/>
  <c r="D177" i="18"/>
  <c r="D178" i="18"/>
  <c r="D179" i="18"/>
  <c r="D180" i="18"/>
  <c r="D181" i="18"/>
  <c r="D182" i="18"/>
  <c r="D183" i="18"/>
  <c r="D184" i="18"/>
  <c r="D185" i="18"/>
  <c r="D176" i="18"/>
  <c r="C177" i="18"/>
  <c r="C178" i="18"/>
  <c r="C179" i="18"/>
  <c r="C180" i="18"/>
  <c r="C181" i="18"/>
  <c r="C182" i="18"/>
  <c r="C183" i="18"/>
  <c r="C184" i="18"/>
  <c r="C185" i="18"/>
  <c r="C176" i="18"/>
  <c r="C65" i="12"/>
  <c r="C64" i="12"/>
  <c r="C63" i="12"/>
  <c r="C47" i="12"/>
  <c r="D47" i="12" s="1"/>
  <c r="C46" i="12"/>
  <c r="D46" i="12" s="1"/>
  <c r="C45" i="12"/>
  <c r="D45" i="12" s="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M5" i="2" a="1"/>
  <c r="M6" i="2" a="1"/>
  <c r="M7" i="2" a="1"/>
  <c r="M8" i="2" a="1"/>
  <c r="M9" i="2" a="1"/>
  <c r="M10" i="2" a="1"/>
  <c r="M11" i="2" a="1"/>
  <c r="M12" i="2" a="1"/>
  <c r="M13" i="2" a="1"/>
  <c r="M14" i="2" a="1"/>
  <c r="M15" i="2" a="1"/>
  <c r="M16" i="2" a="1"/>
  <c r="M17" i="2" a="1"/>
  <c r="M18" i="2" a="1"/>
  <c r="M19" i="2" a="1"/>
  <c r="M20" i="2" a="1"/>
  <c r="M21" i="2" a="1"/>
  <c r="M22" i="2" a="1"/>
  <c r="M23" i="2" a="1"/>
  <c r="M24" i="2" a="1"/>
  <c r="M25" i="2" a="1"/>
  <c r="M26" i="2" a="1"/>
  <c r="M27" i="2" a="1"/>
  <c r="M28" i="2" a="1"/>
  <c r="M29" i="2" a="1"/>
  <c r="M30" i="2" a="1"/>
  <c r="M31" i="2" a="1"/>
  <c r="M32" i="2" a="1"/>
  <c r="M33" i="2" a="1"/>
  <c r="M34" i="2" a="1"/>
  <c r="M35" i="2" a="1"/>
  <c r="M36" i="2" a="1"/>
  <c r="M37" i="2" a="1"/>
  <c r="M38" i="2" a="1"/>
  <c r="M39" i="2" a="1"/>
  <c r="M40" i="2" a="1"/>
  <c r="M41" i="2" a="1"/>
  <c r="M42" i="2" a="1"/>
  <c r="M43" i="2" a="1"/>
  <c r="M44" i="2" a="1"/>
  <c r="M45" i="2" a="1"/>
  <c r="M46" i="2" a="1"/>
  <c r="M47" i="2" a="1"/>
  <c r="M48" i="2" a="1"/>
  <c r="M49" i="2" a="1"/>
  <c r="M50" i="2" a="1"/>
  <c r="M51" i="2" a="1"/>
  <c r="M52" i="2" a="1"/>
  <c r="M53" i="2" a="1"/>
  <c r="M54" i="2" a="1"/>
  <c r="M55" i="2" a="1"/>
  <c r="M56" i="2" a="1"/>
  <c r="M57" i="2" a="1"/>
  <c r="M58" i="2" a="1"/>
  <c r="M59" i="2" a="1"/>
  <c r="M60" i="2" a="1"/>
  <c r="M61" i="2" a="1"/>
  <c r="M62" i="2" a="1"/>
  <c r="M63" i="2" a="1"/>
  <c r="M64" i="2" a="1"/>
  <c r="M65" i="2" a="1"/>
  <c r="M66" i="2" a="1"/>
  <c r="M67" i="2" a="1"/>
  <c r="M68" i="2" a="1"/>
  <c r="M69" i="2" a="1"/>
  <c r="M70" i="2" a="1"/>
  <c r="M71" i="2" a="1"/>
  <c r="M72" i="2" a="1"/>
  <c r="M73" i="2" a="1"/>
  <c r="M74" i="2" a="1"/>
  <c r="M75" i="2" a="1"/>
  <c r="M76" i="2" a="1"/>
  <c r="M77" i="2" a="1"/>
  <c r="M78" i="2" a="1"/>
  <c r="M79" i="2" a="1"/>
  <c r="M80" i="2" a="1"/>
  <c r="M81" i="2" a="1"/>
  <c r="M82" i="2" a="1"/>
  <c r="M83" i="2" a="1"/>
  <c r="M84" i="2" a="1"/>
  <c r="M85" i="2" a="1"/>
  <c r="M86" i="2" a="1"/>
  <c r="M87" i="2" a="1"/>
  <c r="M88" i="2" a="1"/>
  <c r="M89" i="2" a="1"/>
  <c r="M90" i="2" a="1"/>
  <c r="M91" i="2" a="1"/>
  <c r="M92" i="2" a="1"/>
  <c r="M93" i="2" a="1"/>
  <c r="M94" i="2" a="1"/>
  <c r="M95" i="2" a="1"/>
  <c r="M96" i="2" a="1"/>
  <c r="M97" i="2" a="1"/>
  <c r="M98" i="2" a="1"/>
  <c r="M99" i="2" a="1"/>
  <c r="M100" i="2" a="1"/>
  <c r="M101" i="2" a="1"/>
  <c r="M102" i="2" a="1"/>
  <c r="M103" i="2" a="1"/>
  <c r="M104" i="2" a="1"/>
  <c r="M105" i="2" a="1"/>
  <c r="M106" i="2" a="1"/>
  <c r="M107" i="2" a="1"/>
  <c r="M108" i="2" a="1"/>
  <c r="M109" i="2" a="1"/>
  <c r="M110" i="2" a="1"/>
  <c r="M111" i="2" a="1"/>
  <c r="M112" i="2" a="1"/>
  <c r="M113" i="2" a="1"/>
  <c r="M114" i="2" a="1"/>
  <c r="M115" i="2" a="1"/>
  <c r="M116" i="2" a="1"/>
  <c r="M117" i="2" a="1"/>
  <c r="M118" i="2" a="1"/>
  <c r="M119" i="2" a="1"/>
  <c r="M120" i="2" a="1"/>
  <c r="M121" i="2" a="1"/>
  <c r="M122" i="2" a="1"/>
  <c r="M123" i="2" a="1"/>
  <c r="M124" i="2" a="1"/>
  <c r="M125" i="2" a="1"/>
  <c r="M126" i="2" a="1"/>
  <c r="M127" i="2" a="1"/>
  <c r="M128" i="2" a="1"/>
  <c r="M129" i="2" a="1"/>
  <c r="M130" i="2" a="1"/>
  <c r="M131" i="2" a="1"/>
  <c r="M132" i="2" a="1"/>
  <c r="M133" i="2" a="1"/>
  <c r="M134" i="2" a="1"/>
  <c r="M135" i="2" a="1"/>
  <c r="M136" i="2" a="1"/>
  <c r="M137" i="2" a="1"/>
  <c r="M138" i="2" a="1"/>
  <c r="M139" i="2" a="1"/>
  <c r="M140" i="2" a="1"/>
  <c r="M141" i="2" a="1"/>
  <c r="M142" i="2" a="1"/>
  <c r="M143" i="2" a="1"/>
  <c r="M144" i="2" a="1"/>
  <c r="M145" i="2" a="1"/>
  <c r="M146" i="2" a="1"/>
  <c r="M147" i="2" a="1"/>
  <c r="M148" i="2" a="1"/>
  <c r="M149" i="2" a="1"/>
  <c r="M150" i="2" a="1"/>
  <c r="M151" i="2" a="1"/>
  <c r="M152" i="2" a="1"/>
  <c r="M153" i="2" a="1"/>
  <c r="M154" i="2" a="1"/>
  <c r="M155" i="2" a="1"/>
  <c r="M156" i="2" a="1"/>
  <c r="M157" i="2" a="1"/>
  <c r="M158" i="2" a="1"/>
  <c r="M159" i="2" a="1"/>
  <c r="M160" i="2" a="1"/>
  <c r="M161" i="2" a="1"/>
  <c r="M162" i="2" a="1"/>
  <c r="M163" i="2" a="1"/>
  <c r="M164" i="2" a="1"/>
  <c r="M165" i="2" a="1"/>
  <c r="M166" i="2" a="1"/>
  <c r="M167" i="2" a="1"/>
  <c r="M168" i="2" a="1"/>
  <c r="M169" i="2" a="1"/>
  <c r="M170" i="2" a="1"/>
  <c r="M171" i="2" a="1"/>
  <c r="M172" i="2" a="1"/>
  <c r="M173" i="2" a="1"/>
  <c r="M174" i="2" a="1"/>
  <c r="M175" i="2" a="1"/>
  <c r="M176" i="2" a="1"/>
  <c r="M177" i="2" a="1"/>
  <c r="M178" i="2" a="1"/>
  <c r="M179" i="2" a="1"/>
  <c r="M180" i="2" a="1"/>
  <c r="M181" i="2" a="1"/>
  <c r="M182" i="2" a="1"/>
  <c r="M183" i="2" a="1"/>
  <c r="M184" i="2" a="1"/>
  <c r="M185" i="2" a="1"/>
  <c r="M186" i="2" a="1"/>
  <c r="M187" i="2" a="1"/>
  <c r="M188" i="2" a="1"/>
  <c r="M189" i="2" a="1"/>
  <c r="M190" i="2" a="1"/>
  <c r="M191" i="2" a="1"/>
  <c r="M192" i="2" a="1"/>
  <c r="M193" i="2" a="1"/>
  <c r="M194" i="2" a="1"/>
  <c r="M195" i="2" a="1"/>
  <c r="M196" i="2" a="1"/>
  <c r="M197" i="2" a="1"/>
  <c r="M198" i="2" a="1"/>
  <c r="M199" i="2" a="1"/>
  <c r="M200" i="2" a="1"/>
  <c r="M201" i="2" a="1"/>
  <c r="M202" i="2" a="1"/>
  <c r="M203" i="2" a="1"/>
  <c r="M204" i="2" a="1"/>
  <c r="M205" i="2" a="1"/>
  <c r="M206" i="2" a="1"/>
  <c r="M207" i="2" a="1"/>
  <c r="M208" i="2" a="1"/>
  <c r="M209" i="2" a="1"/>
  <c r="M210" i="2" a="1"/>
  <c r="M211" i="2" a="1"/>
  <c r="M212" i="2" a="1"/>
  <c r="M213" i="2" a="1"/>
  <c r="M214" i="2" a="1"/>
  <c r="M215" i="2" a="1"/>
  <c r="M216" i="2" a="1"/>
  <c r="M217" i="2" a="1"/>
  <c r="M218" i="2" a="1"/>
  <c r="M219" i="2" a="1"/>
  <c r="M220" i="2" a="1"/>
  <c r="M221" i="2" a="1"/>
  <c r="M222" i="2" a="1"/>
  <c r="M223" i="2" a="1"/>
  <c r="M224" i="2" a="1"/>
  <c r="M225" i="2" a="1"/>
  <c r="M226" i="2" a="1"/>
  <c r="M227" i="2" a="1"/>
  <c r="M228" i="2" a="1"/>
  <c r="M229" i="2" a="1"/>
  <c r="M230" i="2" a="1"/>
  <c r="M231" i="2" a="1"/>
  <c r="M232" i="2" a="1"/>
  <c r="M233" i="2" a="1"/>
  <c r="M234" i="2" a="1"/>
  <c r="M235" i="2" a="1"/>
  <c r="M236" i="2" a="1"/>
  <c r="M237" i="2" a="1"/>
  <c r="M238" i="2" a="1"/>
  <c r="M239" i="2" a="1"/>
  <c r="M240" i="2" a="1"/>
  <c r="M241" i="2" a="1"/>
  <c r="M242" i="2" a="1"/>
  <c r="M243" i="2" a="1"/>
  <c r="M244" i="2" a="1"/>
  <c r="M245" i="2" a="1"/>
  <c r="M246" i="2" a="1"/>
  <c r="M247" i="2" a="1"/>
  <c r="M248" i="2" a="1"/>
  <c r="M249" i="2" a="1"/>
  <c r="M250" i="2" a="1"/>
  <c r="M251" i="2" a="1"/>
  <c r="M252" i="2" a="1"/>
  <c r="M253" i="2" a="1"/>
  <c r="M254" i="2" a="1"/>
  <c r="M255" i="2" a="1"/>
  <c r="M256" i="2" a="1"/>
  <c r="M257" i="2" a="1"/>
  <c r="M258" i="2" a="1"/>
  <c r="M259" i="2" a="1"/>
  <c r="M260" i="2" a="1"/>
  <c r="M261" i="2" a="1"/>
  <c r="M262" i="2" a="1"/>
  <c r="M263" i="2" a="1"/>
  <c r="M264" i="2" a="1"/>
  <c r="M265" i="2" a="1"/>
  <c r="M266" i="2" a="1"/>
  <c r="M267" i="2" a="1"/>
  <c r="M268" i="2" a="1"/>
  <c r="M269" i="2" a="1"/>
  <c r="M270" i="2" a="1"/>
  <c r="M271" i="2" a="1"/>
  <c r="M272" i="2" a="1"/>
  <c r="M273" i="2" a="1"/>
  <c r="M274" i="2" a="1"/>
  <c r="M275" i="2" a="1"/>
  <c r="M276" i="2" a="1"/>
  <c r="M277" i="2" a="1"/>
  <c r="M278" i="2" a="1"/>
  <c r="M279" i="2" a="1"/>
  <c r="M280" i="2" a="1"/>
  <c r="M281" i="2" a="1"/>
  <c r="M282" i="2" a="1"/>
  <c r="M283" i="2" a="1"/>
  <c r="M284" i="2" a="1"/>
  <c r="M285" i="2" a="1"/>
  <c r="M286" i="2" a="1"/>
  <c r="M287" i="2" a="1"/>
  <c r="M288" i="2" a="1"/>
  <c r="M289" i="2" a="1"/>
  <c r="M290" i="2" a="1"/>
  <c r="M291" i="2" a="1"/>
  <c r="M292" i="2" a="1"/>
  <c r="M293" i="2" a="1"/>
  <c r="M294" i="2" a="1"/>
  <c r="M295" i="2" a="1"/>
  <c r="M296" i="2" a="1"/>
  <c r="M297" i="2" a="1"/>
  <c r="M298" i="2" a="1"/>
  <c r="M299" i="2" a="1"/>
  <c r="M300" i="2" a="1"/>
  <c r="M301" i="2" a="1"/>
  <c r="M302" i="2" a="1"/>
  <c r="M303" i="2" a="1"/>
  <c r="M304" i="2" a="1"/>
  <c r="M305" i="2" a="1"/>
  <c r="M306" i="2" a="1"/>
  <c r="M307" i="2" a="1"/>
  <c r="M308" i="2" a="1"/>
  <c r="M309" i="2" a="1"/>
  <c r="M310" i="2" a="1"/>
  <c r="M311" i="2" a="1"/>
  <c r="M312" i="2" a="1"/>
  <c r="M313" i="2" a="1"/>
  <c r="M314" i="2" a="1"/>
  <c r="M315" i="2" a="1"/>
  <c r="M316" i="2" a="1"/>
  <c r="M317" i="2" a="1"/>
  <c r="M318" i="2" a="1"/>
  <c r="M319" i="2" a="1"/>
  <c r="M320" i="2" a="1"/>
  <c r="M321" i="2" a="1"/>
  <c r="M322" i="2" a="1"/>
  <c r="M323" i="2" a="1"/>
  <c r="M324" i="2" a="1"/>
  <c r="M325" i="2" a="1"/>
  <c r="M326" i="2" a="1"/>
  <c r="M327" i="2" a="1"/>
  <c r="M328" i="2" a="1"/>
  <c r="M329" i="2" a="1"/>
  <c r="M330" i="2" a="1"/>
  <c r="M331" i="2" a="1"/>
  <c r="M332" i="2" a="1"/>
  <c r="M333" i="2" a="1"/>
  <c r="M334" i="2" a="1"/>
  <c r="M335" i="2" a="1"/>
  <c r="M336" i="2" a="1"/>
  <c r="M337" i="2" a="1"/>
  <c r="M338" i="2" a="1"/>
  <c r="M339" i="2" a="1"/>
  <c r="M340" i="2" a="1"/>
  <c r="M341" i="2" a="1"/>
  <c r="M342" i="2" a="1"/>
  <c r="M343" i="2" a="1"/>
  <c r="M344" i="2" a="1"/>
  <c r="M345" i="2" a="1"/>
  <c r="M346" i="2" a="1"/>
  <c r="M347" i="2" a="1"/>
  <c r="M348" i="2" a="1"/>
  <c r="M349" i="2" a="1"/>
  <c r="M350" i="2" a="1"/>
  <c r="M351" i="2" a="1"/>
  <c r="M352" i="2" a="1"/>
  <c r="M353" i="2" a="1"/>
  <c r="M354" i="2" a="1"/>
  <c r="M355" i="2" a="1"/>
  <c r="M356" i="2" a="1"/>
  <c r="M357" i="2" a="1"/>
  <c r="M358" i="2" a="1"/>
  <c r="M359" i="2" a="1"/>
  <c r="M360" i="2" a="1"/>
  <c r="M361" i="2" a="1"/>
  <c r="M362" i="2" a="1"/>
  <c r="M363" i="2" a="1"/>
  <c r="M364" i="2" a="1"/>
  <c r="M365" i="2" a="1"/>
  <c r="M366" i="2" a="1"/>
  <c r="M367" i="2" a="1"/>
  <c r="M368" i="2" a="1"/>
  <c r="M369" i="2" a="1"/>
  <c r="M370" i="2" a="1"/>
  <c r="M371" i="2" a="1"/>
  <c r="M372" i="2" a="1"/>
  <c r="M373" i="2" a="1"/>
  <c r="M374" i="2" a="1"/>
  <c r="M375" i="2" a="1"/>
  <c r="M376" i="2" a="1"/>
  <c r="M377" i="2" a="1"/>
  <c r="M378" i="2" a="1"/>
  <c r="M379" i="2" a="1"/>
  <c r="M380" i="2" a="1"/>
  <c r="M381" i="2" a="1"/>
  <c r="M382" i="2" a="1"/>
  <c r="M383" i="2" a="1"/>
  <c r="M384" i="2" a="1"/>
  <c r="M385" i="2" a="1"/>
  <c r="M386" i="2" a="1"/>
  <c r="M387" i="2" a="1"/>
  <c r="M388" i="2" a="1"/>
  <c r="M389" i="2" a="1"/>
  <c r="M390" i="2" a="1"/>
  <c r="M391" i="2" a="1"/>
  <c r="M392" i="2" a="1"/>
  <c r="M393" i="2" a="1"/>
  <c r="M394" i="2" a="1"/>
  <c r="M395" i="2" a="1"/>
  <c r="M396" i="2" a="1"/>
  <c r="M397" i="2" a="1"/>
  <c r="M398" i="2" a="1"/>
  <c r="M399" i="2" a="1"/>
  <c r="M400" i="2" a="1"/>
  <c r="M401" i="2" a="1"/>
  <c r="M402" i="2" a="1"/>
  <c r="M403" i="2" a="1"/>
  <c r="M404" i="2" a="1"/>
  <c r="M405" i="2" a="1"/>
  <c r="M406" i="2" a="1"/>
  <c r="M407" i="2" a="1"/>
  <c r="M408" i="2" a="1"/>
  <c r="M409" i="2" a="1"/>
  <c r="M410" i="2" a="1"/>
  <c r="M411" i="2" a="1"/>
  <c r="M412" i="2" a="1"/>
  <c r="M413" i="2" a="1"/>
  <c r="M414" i="2" a="1"/>
  <c r="M415" i="2" a="1"/>
  <c r="M416" i="2" a="1"/>
  <c r="M417" i="2" a="1"/>
  <c r="M418" i="2" a="1"/>
  <c r="M419" i="2" a="1"/>
  <c r="M420" i="2" a="1"/>
  <c r="M421" i="2" a="1"/>
  <c r="M422" i="2" a="1"/>
  <c r="M423" i="2" a="1"/>
  <c r="M424" i="2" a="1"/>
  <c r="M425" i="2" a="1"/>
  <c r="M426" i="2" a="1"/>
  <c r="M427" i="2" a="1"/>
  <c r="M428" i="2" a="1"/>
  <c r="M429" i="2" a="1"/>
  <c r="M430" i="2" a="1"/>
  <c r="M431" i="2" a="1"/>
  <c r="M432" i="2" a="1"/>
  <c r="M433" i="2" a="1"/>
  <c r="M434" i="2" a="1"/>
  <c r="M435" i="2" a="1"/>
  <c r="M436" i="2" a="1"/>
  <c r="M437" i="2" a="1"/>
  <c r="M438" i="2" a="1"/>
  <c r="M439" i="2" a="1"/>
  <c r="M440" i="2" a="1"/>
  <c r="M441" i="2" a="1"/>
  <c r="M442" i="2" a="1"/>
  <c r="M443" i="2" a="1"/>
  <c r="M444" i="2" a="1"/>
  <c r="M445" i="2" a="1"/>
  <c r="M446" i="2" a="1"/>
  <c r="M447" i="2" a="1"/>
  <c r="M448" i="2" a="1"/>
  <c r="M449" i="2" a="1"/>
  <c r="M450" i="2" a="1"/>
  <c r="M451" i="2" a="1"/>
  <c r="M452" i="2" a="1"/>
  <c r="M453" i="2" a="1"/>
  <c r="M454" i="2" a="1"/>
  <c r="M455" i="2" a="1"/>
  <c r="M456" i="2" a="1"/>
  <c r="M457" i="2" a="1"/>
  <c r="M458" i="2" a="1"/>
  <c r="M459" i="2" a="1"/>
  <c r="M460" i="2" a="1"/>
  <c r="M461" i="2" a="1"/>
  <c r="M462" i="2" a="1"/>
  <c r="M463" i="2" a="1"/>
  <c r="M464" i="2" a="1"/>
  <c r="M465" i="2" a="1"/>
  <c r="M466" i="2" a="1"/>
  <c r="M467" i="2" a="1"/>
  <c r="M468" i="2" a="1"/>
  <c r="M469" i="2" a="1"/>
  <c r="M470" i="2" a="1"/>
  <c r="M471" i="2" a="1"/>
  <c r="M472" i="2" a="1"/>
  <c r="M473" i="2" a="1"/>
  <c r="M474" i="2" a="1"/>
  <c r="M475" i="2" a="1"/>
  <c r="M476" i="2" a="1"/>
  <c r="M477" i="2" a="1"/>
  <c r="M478" i="2" a="1"/>
  <c r="M479" i="2" a="1"/>
  <c r="M480" i="2" a="1"/>
  <c r="M481" i="2" a="1"/>
  <c r="M482" i="2" a="1"/>
  <c r="M483" i="2" a="1"/>
  <c r="M484" i="2" a="1"/>
  <c r="M485" i="2" a="1"/>
  <c r="M486" i="2" a="1"/>
  <c r="M487" i="2" a="1"/>
  <c r="M488" i="2" a="1"/>
  <c r="M489" i="2" a="1"/>
  <c r="M490" i="2" a="1"/>
  <c r="M491" i="2" a="1"/>
  <c r="M492" i="2" a="1"/>
  <c r="M493" i="2" a="1"/>
  <c r="M494" i="2" a="1"/>
  <c r="M495" i="2" a="1"/>
  <c r="M496" i="2" a="1"/>
  <c r="M497" i="2" a="1"/>
  <c r="M498" i="2" a="1"/>
  <c r="M499" i="2" a="1"/>
  <c r="M500" i="2" a="1"/>
  <c r="M501" i="2" a="1"/>
  <c r="M502" i="2" a="1"/>
  <c r="M503" i="2" a="1"/>
  <c r="M504" i="2" a="1"/>
  <c r="O5" i="2" a="1"/>
  <c r="O6" i="2" a="1"/>
  <c r="O7" i="2" a="1"/>
  <c r="O8" i="2" a="1"/>
  <c r="O9" i="2" a="1"/>
  <c r="O10" i="2" a="1"/>
  <c r="O11" i="2" a="1"/>
  <c r="O12" i="2" a="1"/>
  <c r="O13" i="2" a="1"/>
  <c r="O14" i="2" a="1"/>
  <c r="O15" i="2" a="1"/>
  <c r="O16" i="2" a="1"/>
  <c r="O17" i="2" a="1"/>
  <c r="O18" i="2" a="1"/>
  <c r="O19" i="2" a="1"/>
  <c r="O20" i="2" a="1"/>
  <c r="O21" i="2" a="1"/>
  <c r="O22" i="2" a="1"/>
  <c r="O23" i="2" a="1"/>
  <c r="O24" i="2" a="1"/>
  <c r="O25" i="2" a="1"/>
  <c r="O26" i="2" a="1"/>
  <c r="O27" i="2" a="1"/>
  <c r="O28" i="2" a="1"/>
  <c r="O29" i="2" a="1"/>
  <c r="O30" i="2" a="1"/>
  <c r="O31" i="2" a="1"/>
  <c r="O32" i="2" a="1"/>
  <c r="O33" i="2" a="1"/>
  <c r="O34" i="2" a="1"/>
  <c r="O35" i="2" a="1"/>
  <c r="O36" i="2" a="1"/>
  <c r="O37" i="2" a="1"/>
  <c r="O38" i="2" a="1"/>
  <c r="O39" i="2" a="1"/>
  <c r="O40" i="2" a="1"/>
  <c r="O41" i="2" a="1"/>
  <c r="O42" i="2" a="1"/>
  <c r="O43" i="2" a="1"/>
  <c r="O44" i="2" a="1"/>
  <c r="O45" i="2" a="1"/>
  <c r="O46" i="2" a="1"/>
  <c r="O47" i="2" a="1"/>
  <c r="O48" i="2" a="1"/>
  <c r="O49" i="2" a="1"/>
  <c r="O50" i="2" a="1"/>
  <c r="O51" i="2" a="1"/>
  <c r="O52" i="2" a="1"/>
  <c r="O53" i="2" a="1"/>
  <c r="O54" i="2" a="1"/>
  <c r="O55" i="2" a="1"/>
  <c r="O56" i="2" a="1"/>
  <c r="O57" i="2" a="1"/>
  <c r="O58" i="2" a="1"/>
  <c r="O59" i="2" a="1"/>
  <c r="O60" i="2" a="1"/>
  <c r="O61" i="2" a="1"/>
  <c r="O62" i="2" a="1"/>
  <c r="O63" i="2" a="1"/>
  <c r="O64" i="2" a="1"/>
  <c r="O65" i="2" a="1"/>
  <c r="O66" i="2" a="1"/>
  <c r="O67" i="2" a="1"/>
  <c r="O68" i="2" a="1"/>
  <c r="O69" i="2" a="1"/>
  <c r="O70" i="2" a="1"/>
  <c r="O71" i="2" a="1"/>
  <c r="O72" i="2" a="1"/>
  <c r="O73" i="2" a="1"/>
  <c r="O74" i="2" a="1"/>
  <c r="O75" i="2" a="1"/>
  <c r="O76" i="2" a="1"/>
  <c r="O77" i="2" a="1"/>
  <c r="O78" i="2" a="1"/>
  <c r="O79" i="2" a="1"/>
  <c r="O80" i="2" a="1"/>
  <c r="O81" i="2" a="1"/>
  <c r="O82" i="2" a="1"/>
  <c r="O83" i="2" a="1"/>
  <c r="O84" i="2" a="1"/>
  <c r="O85" i="2" a="1"/>
  <c r="O86" i="2" a="1"/>
  <c r="O87" i="2" a="1"/>
  <c r="O88" i="2" a="1"/>
  <c r="O89" i="2" a="1"/>
  <c r="O90" i="2" a="1"/>
  <c r="O91" i="2" a="1"/>
  <c r="O92" i="2" a="1"/>
  <c r="O93" i="2" a="1"/>
  <c r="O94" i="2" a="1"/>
  <c r="O95" i="2" a="1"/>
  <c r="O96" i="2" a="1"/>
  <c r="O97" i="2" a="1"/>
  <c r="O98" i="2" a="1"/>
  <c r="O99" i="2" a="1"/>
  <c r="O100" i="2" a="1"/>
  <c r="O101" i="2" a="1"/>
  <c r="O102" i="2" a="1"/>
  <c r="O103" i="2" a="1"/>
  <c r="O104" i="2" a="1"/>
  <c r="O105" i="2" a="1"/>
  <c r="O106" i="2" a="1"/>
  <c r="O107" i="2" a="1"/>
  <c r="O108" i="2" a="1"/>
  <c r="O109" i="2" a="1"/>
  <c r="O110" i="2" a="1"/>
  <c r="O111" i="2" a="1"/>
  <c r="O112" i="2" a="1"/>
  <c r="O113" i="2" a="1"/>
  <c r="O114" i="2" a="1"/>
  <c r="O115" i="2" a="1"/>
  <c r="O116" i="2" a="1"/>
  <c r="O117" i="2" a="1"/>
  <c r="O118" i="2" a="1"/>
  <c r="O119" i="2" a="1"/>
  <c r="O120" i="2" a="1"/>
  <c r="O121" i="2" a="1"/>
  <c r="O122" i="2" a="1"/>
  <c r="O123" i="2" a="1"/>
  <c r="O124" i="2" a="1"/>
  <c r="O125" i="2" a="1"/>
  <c r="O126" i="2" a="1"/>
  <c r="O127" i="2" a="1"/>
  <c r="O128" i="2" a="1"/>
  <c r="O129" i="2" a="1"/>
  <c r="O130" i="2" a="1"/>
  <c r="O131" i="2" a="1"/>
  <c r="O132" i="2" a="1"/>
  <c r="O133" i="2" a="1"/>
  <c r="O134" i="2" a="1"/>
  <c r="O135" i="2" a="1"/>
  <c r="O136" i="2" a="1"/>
  <c r="O137" i="2" a="1"/>
  <c r="O138" i="2" a="1"/>
  <c r="O139" i="2" a="1"/>
  <c r="O140" i="2" a="1"/>
  <c r="O141" i="2" a="1"/>
  <c r="O142" i="2" a="1"/>
  <c r="O143" i="2" a="1"/>
  <c r="O144" i="2" a="1"/>
  <c r="O145" i="2" a="1"/>
  <c r="O146" i="2" a="1"/>
  <c r="O147" i="2" a="1"/>
  <c r="O148" i="2" a="1"/>
  <c r="O149" i="2" a="1"/>
  <c r="O150" i="2" a="1"/>
  <c r="O151" i="2" a="1"/>
  <c r="O152" i="2" a="1"/>
  <c r="O153" i="2" a="1"/>
  <c r="O154" i="2" a="1"/>
  <c r="O155" i="2" a="1"/>
  <c r="O156" i="2" a="1"/>
  <c r="O157" i="2" a="1"/>
  <c r="O158" i="2" a="1"/>
  <c r="O159" i="2" a="1"/>
  <c r="O160" i="2" a="1"/>
  <c r="O161" i="2" a="1"/>
  <c r="O162" i="2" a="1"/>
  <c r="O163" i="2" a="1"/>
  <c r="O164" i="2" a="1"/>
  <c r="O165" i="2" a="1"/>
  <c r="O166" i="2" a="1"/>
  <c r="O167" i="2" a="1"/>
  <c r="O168" i="2" a="1"/>
  <c r="O169" i="2" a="1"/>
  <c r="O170" i="2" a="1"/>
  <c r="O171" i="2" a="1"/>
  <c r="O172" i="2" a="1"/>
  <c r="O173" i="2" a="1"/>
  <c r="O174" i="2" a="1"/>
  <c r="O175" i="2" a="1"/>
  <c r="O176" i="2" a="1"/>
  <c r="O177" i="2" a="1"/>
  <c r="O178" i="2" a="1"/>
  <c r="O179" i="2" a="1"/>
  <c r="O180" i="2" a="1"/>
  <c r="O181" i="2" a="1"/>
  <c r="O182" i="2" a="1"/>
  <c r="O183" i="2" a="1"/>
  <c r="O184" i="2" a="1"/>
  <c r="O185" i="2" a="1"/>
  <c r="O186" i="2" a="1"/>
  <c r="O187" i="2" a="1"/>
  <c r="O188" i="2" a="1"/>
  <c r="O189" i="2" a="1"/>
  <c r="O190" i="2" a="1"/>
  <c r="O191" i="2" a="1"/>
  <c r="O192" i="2" a="1"/>
  <c r="O193" i="2" a="1"/>
  <c r="O194" i="2" a="1"/>
  <c r="O195" i="2" a="1"/>
  <c r="O196" i="2" a="1"/>
  <c r="O197" i="2" a="1"/>
  <c r="O198" i="2" a="1"/>
  <c r="O199" i="2" a="1"/>
  <c r="O200" i="2" a="1"/>
  <c r="O201" i="2" a="1"/>
  <c r="O202" i="2" a="1"/>
  <c r="O203" i="2" a="1"/>
  <c r="O204" i="2" a="1"/>
  <c r="O205" i="2" a="1"/>
  <c r="O206" i="2" a="1"/>
  <c r="O207" i="2" a="1"/>
  <c r="O208" i="2" a="1"/>
  <c r="O209" i="2" a="1"/>
  <c r="O210" i="2" a="1"/>
  <c r="O211" i="2" a="1"/>
  <c r="O212" i="2" a="1"/>
  <c r="O213" i="2" a="1"/>
  <c r="O214" i="2" a="1"/>
  <c r="O215" i="2" a="1"/>
  <c r="O216" i="2" a="1"/>
  <c r="O217" i="2" a="1"/>
  <c r="O218" i="2" a="1"/>
  <c r="O219" i="2" a="1"/>
  <c r="O220" i="2" a="1"/>
  <c r="O221" i="2" a="1"/>
  <c r="O222" i="2" a="1"/>
  <c r="O223" i="2" a="1"/>
  <c r="O224" i="2" a="1"/>
  <c r="O225" i="2" a="1"/>
  <c r="O226" i="2" a="1"/>
  <c r="O227" i="2" a="1"/>
  <c r="O228" i="2" a="1"/>
  <c r="O229" i="2" a="1"/>
  <c r="O230" i="2" a="1"/>
  <c r="O231" i="2" a="1"/>
  <c r="O232" i="2" a="1"/>
  <c r="O233" i="2" a="1"/>
  <c r="O234" i="2" a="1"/>
  <c r="O235" i="2" a="1"/>
  <c r="O236" i="2" a="1"/>
  <c r="O237" i="2" a="1"/>
  <c r="O238" i="2" a="1"/>
  <c r="O239" i="2" a="1"/>
  <c r="O240" i="2" a="1"/>
  <c r="O241" i="2" a="1"/>
  <c r="O242" i="2" a="1"/>
  <c r="O243" i="2" a="1"/>
  <c r="O244" i="2" a="1"/>
  <c r="O245" i="2" a="1"/>
  <c r="O246" i="2" a="1"/>
  <c r="O247" i="2" a="1"/>
  <c r="O248" i="2" a="1"/>
  <c r="O249" i="2" a="1"/>
  <c r="O250" i="2" a="1"/>
  <c r="O251" i="2" a="1"/>
  <c r="O252" i="2" a="1"/>
  <c r="O253" i="2" a="1"/>
  <c r="O254" i="2" a="1"/>
  <c r="O255" i="2" a="1"/>
  <c r="O256" i="2" a="1"/>
  <c r="O257" i="2" a="1"/>
  <c r="O258" i="2" a="1"/>
  <c r="O259" i="2" a="1"/>
  <c r="O260" i="2" a="1"/>
  <c r="O261" i="2" a="1"/>
  <c r="O262" i="2" a="1"/>
  <c r="O263" i="2" a="1"/>
  <c r="O264" i="2" a="1"/>
  <c r="O265" i="2" a="1"/>
  <c r="O266" i="2" a="1"/>
  <c r="O267" i="2" a="1"/>
  <c r="O268" i="2" a="1"/>
  <c r="O269" i="2" a="1"/>
  <c r="O270" i="2" a="1"/>
  <c r="O271" i="2" a="1"/>
  <c r="O272" i="2" a="1"/>
  <c r="O273" i="2" a="1"/>
  <c r="O274" i="2" a="1"/>
  <c r="O275" i="2" a="1"/>
  <c r="O276" i="2" a="1"/>
  <c r="O277" i="2" a="1"/>
  <c r="O278" i="2" a="1"/>
  <c r="O279" i="2" a="1"/>
  <c r="O280" i="2" a="1"/>
  <c r="O281" i="2" a="1"/>
  <c r="O282" i="2" a="1"/>
  <c r="O283" i="2" a="1"/>
  <c r="O284" i="2" a="1"/>
  <c r="O285" i="2" a="1"/>
  <c r="O286" i="2" a="1"/>
  <c r="O287" i="2" a="1"/>
  <c r="O288" i="2" a="1"/>
  <c r="O289" i="2" a="1"/>
  <c r="O290" i="2" a="1"/>
  <c r="O291" i="2" a="1"/>
  <c r="O292" i="2" a="1"/>
  <c r="O293" i="2" a="1"/>
  <c r="O294" i="2" a="1"/>
  <c r="O295" i="2" a="1"/>
  <c r="O296" i="2" a="1"/>
  <c r="O297" i="2" a="1"/>
  <c r="O298" i="2" a="1"/>
  <c r="O299" i="2" a="1"/>
  <c r="O300" i="2" a="1"/>
  <c r="O301" i="2" a="1"/>
  <c r="O302" i="2" a="1"/>
  <c r="O303" i="2" a="1"/>
  <c r="O304" i="2" a="1"/>
  <c r="O305" i="2" a="1"/>
  <c r="O306" i="2" a="1"/>
  <c r="O307" i="2" a="1"/>
  <c r="O308" i="2" a="1"/>
  <c r="O309" i="2" a="1"/>
  <c r="O310" i="2" a="1"/>
  <c r="O311" i="2" a="1"/>
  <c r="O312" i="2" a="1"/>
  <c r="O313" i="2" a="1"/>
  <c r="O314" i="2" a="1"/>
  <c r="O315" i="2" a="1"/>
  <c r="O316" i="2" a="1"/>
  <c r="O317" i="2" a="1"/>
  <c r="O318" i="2" a="1"/>
  <c r="O319" i="2" a="1"/>
  <c r="O320" i="2" a="1"/>
  <c r="O321" i="2" a="1"/>
  <c r="O322" i="2" a="1"/>
  <c r="O323" i="2" a="1"/>
  <c r="O324" i="2" a="1"/>
  <c r="O325" i="2" a="1"/>
  <c r="O326" i="2" a="1"/>
  <c r="O327" i="2" a="1"/>
  <c r="O328" i="2" a="1"/>
  <c r="O329" i="2" a="1"/>
  <c r="O330" i="2" a="1"/>
  <c r="O331" i="2" a="1"/>
  <c r="O332" i="2" a="1"/>
  <c r="O333" i="2" a="1"/>
  <c r="O334" i="2" a="1"/>
  <c r="O335" i="2" a="1"/>
  <c r="O336" i="2" a="1"/>
  <c r="O337" i="2" a="1"/>
  <c r="O338" i="2" a="1"/>
  <c r="O339" i="2" a="1"/>
  <c r="O340" i="2" a="1"/>
  <c r="O341" i="2" a="1"/>
  <c r="O342" i="2" a="1"/>
  <c r="O343" i="2" a="1"/>
  <c r="O344" i="2" a="1"/>
  <c r="O345" i="2" a="1"/>
  <c r="O346" i="2" a="1"/>
  <c r="O347" i="2" a="1"/>
  <c r="O348" i="2" a="1"/>
  <c r="O349" i="2" a="1"/>
  <c r="O350" i="2" a="1"/>
  <c r="O351" i="2" a="1"/>
  <c r="O352" i="2" a="1"/>
  <c r="O353" i="2" a="1"/>
  <c r="O354" i="2" a="1"/>
  <c r="O355" i="2" a="1"/>
  <c r="O356" i="2" a="1"/>
  <c r="O357" i="2" a="1"/>
  <c r="O358" i="2" a="1"/>
  <c r="O359" i="2" a="1"/>
  <c r="O360" i="2" a="1"/>
  <c r="O361" i="2" a="1"/>
  <c r="O362" i="2" a="1"/>
  <c r="O363" i="2" a="1"/>
  <c r="O364" i="2" a="1"/>
  <c r="O365" i="2" a="1"/>
  <c r="O366" i="2" a="1"/>
  <c r="O367" i="2" a="1"/>
  <c r="O368" i="2" a="1"/>
  <c r="O369" i="2" a="1"/>
  <c r="O370" i="2" a="1"/>
  <c r="O371" i="2" a="1"/>
  <c r="O372" i="2" a="1"/>
  <c r="O373" i="2" a="1"/>
  <c r="O374" i="2" a="1"/>
  <c r="O375" i="2" a="1"/>
  <c r="O376" i="2" a="1"/>
  <c r="O377" i="2" a="1"/>
  <c r="O378" i="2" a="1"/>
  <c r="O379" i="2" a="1"/>
  <c r="O380" i="2" a="1"/>
  <c r="O381" i="2" a="1"/>
  <c r="O382" i="2" a="1"/>
  <c r="O383" i="2" a="1"/>
  <c r="O384" i="2" a="1"/>
  <c r="O385" i="2" a="1"/>
  <c r="O386" i="2" a="1"/>
  <c r="O387" i="2" a="1"/>
  <c r="O388" i="2" a="1"/>
  <c r="O389" i="2" a="1"/>
  <c r="O390" i="2" a="1"/>
  <c r="O391" i="2" a="1"/>
  <c r="O392" i="2" a="1"/>
  <c r="O393" i="2" a="1"/>
  <c r="O394" i="2" a="1"/>
  <c r="O395" i="2" a="1"/>
  <c r="O396" i="2" a="1"/>
  <c r="O397" i="2" a="1"/>
  <c r="O398" i="2" a="1"/>
  <c r="O399" i="2" a="1"/>
  <c r="O400" i="2" a="1"/>
  <c r="O401" i="2" a="1"/>
  <c r="O402" i="2" a="1"/>
  <c r="O403" i="2" a="1"/>
  <c r="O404" i="2" a="1"/>
  <c r="O405" i="2" a="1"/>
  <c r="O406" i="2" a="1"/>
  <c r="O407" i="2" a="1"/>
  <c r="O408" i="2" a="1"/>
  <c r="O409" i="2" a="1"/>
  <c r="O410" i="2" a="1"/>
  <c r="O411" i="2" a="1"/>
  <c r="O412" i="2" a="1"/>
  <c r="O413" i="2" a="1"/>
  <c r="O414" i="2" a="1"/>
  <c r="O415" i="2" a="1"/>
  <c r="O416" i="2" a="1"/>
  <c r="O417" i="2" a="1"/>
  <c r="O418" i="2" a="1"/>
  <c r="O419" i="2" a="1"/>
  <c r="O420" i="2" a="1"/>
  <c r="O421" i="2" a="1"/>
  <c r="O422" i="2" a="1"/>
  <c r="O423" i="2" a="1"/>
  <c r="O424" i="2" a="1"/>
  <c r="O425" i="2" a="1"/>
  <c r="O426" i="2" a="1"/>
  <c r="O427" i="2" a="1"/>
  <c r="O428" i="2" a="1"/>
  <c r="O429" i="2" a="1"/>
  <c r="O430" i="2" a="1"/>
  <c r="O431" i="2" a="1"/>
  <c r="O432" i="2" a="1"/>
  <c r="O433" i="2" a="1"/>
  <c r="O434" i="2" a="1"/>
  <c r="O435" i="2" a="1"/>
  <c r="O436" i="2" a="1"/>
  <c r="O437" i="2" a="1"/>
  <c r="O438" i="2" a="1"/>
  <c r="O439" i="2" a="1"/>
  <c r="O440" i="2" a="1"/>
  <c r="O441" i="2" a="1"/>
  <c r="O442" i="2" a="1"/>
  <c r="O443" i="2" a="1"/>
  <c r="O444" i="2" a="1"/>
  <c r="O445" i="2" a="1"/>
  <c r="O446" i="2" a="1"/>
  <c r="O447" i="2" a="1"/>
  <c r="O448" i="2" a="1"/>
  <c r="O449" i="2" a="1"/>
  <c r="O450" i="2" a="1"/>
  <c r="O451" i="2" a="1"/>
  <c r="O452" i="2" a="1"/>
  <c r="O453" i="2" a="1"/>
  <c r="O454" i="2" a="1"/>
  <c r="O455" i="2" a="1"/>
  <c r="O456" i="2" a="1"/>
  <c r="O457" i="2" a="1"/>
  <c r="O458" i="2" a="1"/>
  <c r="O459" i="2" a="1"/>
  <c r="O460" i="2" a="1"/>
  <c r="O461" i="2" a="1"/>
  <c r="O462" i="2" a="1"/>
  <c r="O463" i="2" a="1"/>
  <c r="O464" i="2" a="1"/>
  <c r="O465" i="2" a="1"/>
  <c r="O466" i="2" a="1"/>
  <c r="O467" i="2" a="1"/>
  <c r="O468" i="2" a="1"/>
  <c r="O469" i="2" a="1"/>
  <c r="O470" i="2" a="1"/>
  <c r="O471" i="2" a="1"/>
  <c r="O472" i="2" a="1"/>
  <c r="O473" i="2" a="1"/>
  <c r="O474" i="2" a="1"/>
  <c r="O475" i="2" a="1"/>
  <c r="O476" i="2" a="1"/>
  <c r="O477" i="2" a="1"/>
  <c r="O478" i="2" a="1"/>
  <c r="O479" i="2" a="1"/>
  <c r="O480" i="2" a="1"/>
  <c r="O481" i="2" a="1"/>
  <c r="O482" i="2" a="1"/>
  <c r="O483" i="2" a="1"/>
  <c r="O484" i="2" a="1"/>
  <c r="O485" i="2" a="1"/>
  <c r="O486" i="2" a="1"/>
  <c r="O487" i="2" a="1"/>
  <c r="O488" i="2" a="1"/>
  <c r="O489" i="2" a="1"/>
  <c r="O490" i="2" a="1"/>
  <c r="O491" i="2" a="1"/>
  <c r="O492" i="2" a="1"/>
  <c r="O493" i="2" a="1"/>
  <c r="O494" i="2" a="1"/>
  <c r="O495" i="2" a="1"/>
  <c r="O496" i="2" a="1"/>
  <c r="O497" i="2" a="1"/>
  <c r="O498" i="2" a="1"/>
  <c r="O499" i="2" a="1"/>
  <c r="O500" i="2" a="1"/>
  <c r="O501" i="2" a="1"/>
  <c r="O502" i="2" a="1"/>
  <c r="O503" i="2" a="1"/>
  <c r="O504" i="2" a="1"/>
  <c r="R5" i="2" a="1"/>
  <c r="R6" i="2" a="1"/>
  <c r="R7" i="2" a="1"/>
  <c r="R8" i="2" a="1"/>
  <c r="R9" i="2" a="1"/>
  <c r="R10" i="2" a="1"/>
  <c r="R11" i="2" a="1"/>
  <c r="R12" i="2" a="1"/>
  <c r="R13" i="2" a="1"/>
  <c r="R14" i="2" a="1"/>
  <c r="R15" i="2" a="1"/>
  <c r="R16" i="2" a="1"/>
  <c r="R17" i="2" a="1"/>
  <c r="R18" i="2" a="1"/>
  <c r="R19" i="2" a="1"/>
  <c r="R20" i="2" a="1"/>
  <c r="R21" i="2" a="1"/>
  <c r="R22" i="2" a="1"/>
  <c r="R23" i="2" a="1"/>
  <c r="R24" i="2" a="1"/>
  <c r="R25" i="2" a="1"/>
  <c r="R26" i="2" a="1"/>
  <c r="R27" i="2" a="1"/>
  <c r="R28" i="2" a="1"/>
  <c r="R29" i="2" a="1"/>
  <c r="R30" i="2" a="1"/>
  <c r="R31" i="2" a="1"/>
  <c r="R32" i="2" a="1"/>
  <c r="R33" i="2" a="1"/>
  <c r="R34" i="2" a="1"/>
  <c r="R35" i="2" a="1"/>
  <c r="R36" i="2" a="1"/>
  <c r="R37" i="2" a="1"/>
  <c r="R38" i="2" a="1"/>
  <c r="R39" i="2" a="1"/>
  <c r="R40" i="2" a="1"/>
  <c r="R41" i="2" a="1"/>
  <c r="R42" i="2" a="1"/>
  <c r="R43" i="2" a="1"/>
  <c r="R44" i="2" a="1"/>
  <c r="R45" i="2" a="1"/>
  <c r="R46" i="2" a="1"/>
  <c r="R47" i="2" a="1"/>
  <c r="R48" i="2" a="1"/>
  <c r="R49" i="2" a="1"/>
  <c r="R50" i="2" a="1"/>
  <c r="R51" i="2" a="1"/>
  <c r="R52" i="2" a="1"/>
  <c r="R53" i="2" a="1"/>
  <c r="R54" i="2" a="1"/>
  <c r="R55" i="2" a="1"/>
  <c r="R56" i="2" a="1"/>
  <c r="R57" i="2" a="1"/>
  <c r="R58" i="2" a="1"/>
  <c r="R59" i="2" a="1"/>
  <c r="R60" i="2" a="1"/>
  <c r="R61" i="2" a="1"/>
  <c r="R62" i="2" a="1"/>
  <c r="R63" i="2" a="1"/>
  <c r="R64" i="2" a="1"/>
  <c r="R65" i="2" a="1"/>
  <c r="R66" i="2" a="1"/>
  <c r="R67" i="2" a="1"/>
  <c r="R68" i="2" a="1"/>
  <c r="R69" i="2" a="1"/>
  <c r="R70" i="2" a="1"/>
  <c r="R71" i="2" a="1"/>
  <c r="R72" i="2" a="1"/>
  <c r="R73" i="2" a="1"/>
  <c r="R74" i="2" a="1"/>
  <c r="R75" i="2" a="1"/>
  <c r="R76" i="2" a="1"/>
  <c r="R77" i="2" a="1"/>
  <c r="R78" i="2" a="1"/>
  <c r="R79" i="2" a="1"/>
  <c r="R80" i="2" a="1"/>
  <c r="R81" i="2" a="1"/>
  <c r="R82" i="2" a="1"/>
  <c r="R83" i="2" a="1"/>
  <c r="R84" i="2" a="1"/>
  <c r="R85" i="2" a="1"/>
  <c r="R86" i="2" a="1"/>
  <c r="R87" i="2" a="1"/>
  <c r="R88" i="2" a="1"/>
  <c r="R89" i="2" a="1"/>
  <c r="R90" i="2" a="1"/>
  <c r="R91" i="2" a="1"/>
  <c r="R92" i="2" a="1"/>
  <c r="R93" i="2" a="1"/>
  <c r="R94" i="2" a="1"/>
  <c r="R95" i="2" a="1"/>
  <c r="R96" i="2" a="1"/>
  <c r="R97" i="2" a="1"/>
  <c r="R98" i="2" a="1"/>
  <c r="R99" i="2" a="1"/>
  <c r="R100" i="2" a="1"/>
  <c r="R101" i="2" a="1"/>
  <c r="R102" i="2" a="1"/>
  <c r="R103" i="2" a="1"/>
  <c r="R104" i="2" a="1"/>
  <c r="R105" i="2" a="1"/>
  <c r="R106" i="2" a="1"/>
  <c r="R107" i="2" a="1"/>
  <c r="R108" i="2" a="1"/>
  <c r="R109" i="2" a="1"/>
  <c r="R110" i="2" a="1"/>
  <c r="R111" i="2" a="1"/>
  <c r="R112" i="2" a="1"/>
  <c r="R113" i="2" a="1"/>
  <c r="R114" i="2" a="1"/>
  <c r="R115" i="2" a="1"/>
  <c r="R116" i="2" a="1"/>
  <c r="R117" i="2" a="1"/>
  <c r="R118" i="2" a="1"/>
  <c r="R119" i="2" a="1"/>
  <c r="R120" i="2" a="1"/>
  <c r="R121" i="2" a="1"/>
  <c r="R122" i="2" a="1"/>
  <c r="R123" i="2" a="1"/>
  <c r="R124" i="2" a="1"/>
  <c r="R125" i="2" a="1"/>
  <c r="R126" i="2" a="1"/>
  <c r="R127" i="2" a="1"/>
  <c r="R128" i="2" a="1"/>
  <c r="R129" i="2" a="1"/>
  <c r="R130" i="2" a="1"/>
  <c r="R131" i="2" a="1"/>
  <c r="R132" i="2" a="1"/>
  <c r="R133" i="2" a="1"/>
  <c r="R134" i="2" a="1"/>
  <c r="R135" i="2" a="1"/>
  <c r="R136" i="2" a="1"/>
  <c r="R137" i="2" a="1"/>
  <c r="R138" i="2" a="1"/>
  <c r="R139" i="2" a="1"/>
  <c r="R140" i="2" a="1"/>
  <c r="R141" i="2" a="1"/>
  <c r="R142" i="2" a="1"/>
  <c r="R143" i="2" a="1"/>
  <c r="R144" i="2" a="1"/>
  <c r="R145" i="2" a="1"/>
  <c r="R146" i="2" a="1"/>
  <c r="R147" i="2" a="1"/>
  <c r="R148" i="2" a="1"/>
  <c r="R149" i="2" a="1"/>
  <c r="R150" i="2" a="1"/>
  <c r="R151" i="2" a="1"/>
  <c r="R152" i="2" a="1"/>
  <c r="R153" i="2" a="1"/>
  <c r="R154" i="2" a="1"/>
  <c r="R155" i="2" a="1"/>
  <c r="R156" i="2" a="1"/>
  <c r="R157" i="2" a="1"/>
  <c r="R158" i="2" a="1"/>
  <c r="R159" i="2" a="1"/>
  <c r="R160" i="2" a="1"/>
  <c r="R161" i="2" a="1"/>
  <c r="R162" i="2" a="1"/>
  <c r="R163" i="2" a="1"/>
  <c r="R164" i="2" a="1"/>
  <c r="R165" i="2" a="1"/>
  <c r="R166" i="2" a="1"/>
  <c r="R167" i="2" a="1"/>
  <c r="R168" i="2" a="1"/>
  <c r="R169" i="2" a="1"/>
  <c r="R170" i="2" a="1"/>
  <c r="R171" i="2" a="1"/>
  <c r="R172" i="2" a="1"/>
  <c r="R173" i="2" a="1"/>
  <c r="R174" i="2" a="1"/>
  <c r="R175" i="2" a="1"/>
  <c r="R176" i="2" a="1"/>
  <c r="R177" i="2" a="1"/>
  <c r="R178" i="2" a="1"/>
  <c r="R179" i="2" a="1"/>
  <c r="R180" i="2" a="1"/>
  <c r="R181" i="2" a="1"/>
  <c r="R182" i="2" a="1"/>
  <c r="R183" i="2" a="1"/>
  <c r="R184" i="2" a="1"/>
  <c r="R185" i="2" a="1"/>
  <c r="R186" i="2" a="1"/>
  <c r="R187" i="2" a="1"/>
  <c r="R188" i="2" a="1"/>
  <c r="R189" i="2" a="1"/>
  <c r="R190" i="2" a="1"/>
  <c r="R191" i="2" a="1"/>
  <c r="R192" i="2" a="1"/>
  <c r="R193" i="2" a="1"/>
  <c r="R194" i="2" a="1"/>
  <c r="R195" i="2" a="1"/>
  <c r="R196" i="2" a="1"/>
  <c r="R197" i="2" a="1"/>
  <c r="R198" i="2" a="1"/>
  <c r="R199" i="2" a="1"/>
  <c r="R200" i="2" a="1"/>
  <c r="R201" i="2" a="1"/>
  <c r="R202" i="2" a="1"/>
  <c r="R203" i="2" a="1"/>
  <c r="R204" i="2" a="1"/>
  <c r="R205" i="2" a="1"/>
  <c r="R206" i="2" a="1"/>
  <c r="R207" i="2" a="1"/>
  <c r="R208" i="2" a="1"/>
  <c r="R209" i="2" a="1"/>
  <c r="R210" i="2" a="1"/>
  <c r="R211" i="2" a="1"/>
  <c r="R212" i="2" a="1"/>
  <c r="R213" i="2" a="1"/>
  <c r="R214" i="2" a="1"/>
  <c r="R215" i="2" a="1"/>
  <c r="R216" i="2" a="1"/>
  <c r="R217" i="2" a="1"/>
  <c r="R218" i="2" a="1"/>
  <c r="R219" i="2" a="1"/>
  <c r="R220" i="2" a="1"/>
  <c r="R221" i="2" a="1"/>
  <c r="R222" i="2" a="1"/>
  <c r="R223" i="2" a="1"/>
  <c r="R224" i="2" a="1"/>
  <c r="R225" i="2" a="1"/>
  <c r="R226" i="2" a="1"/>
  <c r="R227" i="2" a="1"/>
  <c r="R228" i="2" a="1"/>
  <c r="R229" i="2" a="1"/>
  <c r="R230" i="2" a="1"/>
  <c r="R231" i="2" a="1"/>
  <c r="R232" i="2" a="1"/>
  <c r="R233" i="2" a="1"/>
  <c r="R234" i="2" a="1"/>
  <c r="R235" i="2" a="1"/>
  <c r="R236" i="2" a="1"/>
  <c r="R237" i="2" a="1"/>
  <c r="R238" i="2" a="1"/>
  <c r="R239" i="2" a="1"/>
  <c r="R240" i="2" a="1"/>
  <c r="R241" i="2" a="1"/>
  <c r="R242" i="2" a="1"/>
  <c r="R243" i="2" a="1"/>
  <c r="R244" i="2" a="1"/>
  <c r="R245" i="2" a="1"/>
  <c r="R246" i="2" a="1"/>
  <c r="R247" i="2" a="1"/>
  <c r="R248" i="2" a="1"/>
  <c r="R249" i="2" a="1"/>
  <c r="R250" i="2" a="1"/>
  <c r="R251" i="2" a="1"/>
  <c r="R252" i="2" a="1"/>
  <c r="R253" i="2" a="1"/>
  <c r="R254" i="2" a="1"/>
  <c r="R255" i="2" a="1"/>
  <c r="R256" i="2" a="1"/>
  <c r="R257" i="2" a="1"/>
  <c r="R258" i="2" a="1"/>
  <c r="R259" i="2" a="1"/>
  <c r="R260" i="2" a="1"/>
  <c r="R261" i="2" a="1"/>
  <c r="R262" i="2" a="1"/>
  <c r="R263" i="2" a="1"/>
  <c r="R264" i="2" a="1"/>
  <c r="R265" i="2" a="1"/>
  <c r="R266" i="2" a="1"/>
  <c r="R267" i="2" a="1"/>
  <c r="R268" i="2" a="1"/>
  <c r="R269" i="2" a="1"/>
  <c r="R270" i="2" a="1"/>
  <c r="R271" i="2" a="1"/>
  <c r="R272" i="2" a="1"/>
  <c r="R273" i="2" a="1"/>
  <c r="R274" i="2" a="1"/>
  <c r="R275" i="2" a="1"/>
  <c r="R276" i="2" a="1"/>
  <c r="R277" i="2" a="1"/>
  <c r="R278" i="2" a="1"/>
  <c r="R279" i="2" a="1"/>
  <c r="R280" i="2" a="1"/>
  <c r="R281" i="2" a="1"/>
  <c r="R282" i="2" a="1"/>
  <c r="R283" i="2" a="1"/>
  <c r="R284" i="2" a="1"/>
  <c r="R285" i="2" a="1"/>
  <c r="R286" i="2" a="1"/>
  <c r="R287" i="2" a="1"/>
  <c r="R288" i="2" a="1"/>
  <c r="R289" i="2" a="1"/>
  <c r="R290" i="2" a="1"/>
  <c r="R291" i="2" a="1"/>
  <c r="R292" i="2" a="1"/>
  <c r="R293" i="2" a="1"/>
  <c r="R294" i="2" a="1"/>
  <c r="R295" i="2" a="1"/>
  <c r="R296" i="2" a="1"/>
  <c r="R297" i="2" a="1"/>
  <c r="R298" i="2" a="1"/>
  <c r="R299" i="2" a="1"/>
  <c r="R300" i="2" a="1"/>
  <c r="R301" i="2" a="1"/>
  <c r="R302" i="2" a="1"/>
  <c r="R303" i="2" a="1"/>
  <c r="R304" i="2" a="1"/>
  <c r="R305" i="2" a="1"/>
  <c r="R306" i="2" a="1"/>
  <c r="R307" i="2" a="1"/>
  <c r="R308" i="2" a="1"/>
  <c r="R309" i="2" a="1"/>
  <c r="R310" i="2" a="1"/>
  <c r="R311" i="2" a="1"/>
  <c r="R312" i="2" a="1"/>
  <c r="R313" i="2" a="1"/>
  <c r="R314" i="2" a="1"/>
  <c r="R315" i="2" a="1"/>
  <c r="R316" i="2" a="1"/>
  <c r="R317" i="2" a="1"/>
  <c r="R318" i="2" a="1"/>
  <c r="R319" i="2" a="1"/>
  <c r="R320" i="2" a="1"/>
  <c r="R321" i="2" a="1"/>
  <c r="R322" i="2" a="1"/>
  <c r="R323" i="2" a="1"/>
  <c r="R324" i="2" a="1"/>
  <c r="R325" i="2" a="1"/>
  <c r="R326" i="2" a="1"/>
  <c r="R327" i="2" a="1"/>
  <c r="R328" i="2" a="1"/>
  <c r="R329" i="2" a="1"/>
  <c r="R330" i="2" a="1"/>
  <c r="R331" i="2" a="1"/>
  <c r="R332" i="2" a="1"/>
  <c r="R333" i="2" a="1"/>
  <c r="R334" i="2" a="1"/>
  <c r="R335" i="2" a="1"/>
  <c r="R336" i="2" a="1"/>
  <c r="R337" i="2" a="1"/>
  <c r="R338" i="2" a="1"/>
  <c r="R339" i="2" a="1"/>
  <c r="R340" i="2" a="1"/>
  <c r="R341" i="2" a="1"/>
  <c r="R342" i="2" a="1"/>
  <c r="R343" i="2" a="1"/>
  <c r="R344" i="2" a="1"/>
  <c r="R345" i="2" a="1"/>
  <c r="R346" i="2" a="1"/>
  <c r="R347" i="2" a="1"/>
  <c r="R348" i="2" a="1"/>
  <c r="R349" i="2" a="1"/>
  <c r="R350" i="2" a="1"/>
  <c r="R351" i="2" a="1"/>
  <c r="R352" i="2" a="1"/>
  <c r="R353" i="2" a="1"/>
  <c r="R354" i="2" a="1"/>
  <c r="R355" i="2" a="1"/>
  <c r="R356" i="2" a="1"/>
  <c r="R357" i="2" a="1"/>
  <c r="R358" i="2" a="1"/>
  <c r="R359" i="2" a="1"/>
  <c r="R360" i="2" a="1"/>
  <c r="R361" i="2" a="1"/>
  <c r="R362" i="2" a="1"/>
  <c r="R363" i="2" a="1"/>
  <c r="R364" i="2" a="1"/>
  <c r="R365" i="2" a="1"/>
  <c r="R366" i="2" a="1"/>
  <c r="R367" i="2" a="1"/>
  <c r="R368" i="2" a="1"/>
  <c r="R369" i="2" a="1"/>
  <c r="R370" i="2" a="1"/>
  <c r="R371" i="2" a="1"/>
  <c r="R372" i="2" a="1"/>
  <c r="R373" i="2" a="1"/>
  <c r="R374" i="2" a="1"/>
  <c r="R375" i="2" a="1"/>
  <c r="R376" i="2" a="1"/>
  <c r="R377" i="2" a="1"/>
  <c r="R378" i="2" a="1"/>
  <c r="R379" i="2" a="1"/>
  <c r="R380" i="2" a="1"/>
  <c r="R381" i="2" a="1"/>
  <c r="R382" i="2" a="1"/>
  <c r="R383" i="2" a="1"/>
  <c r="R384" i="2" a="1"/>
  <c r="R385" i="2" a="1"/>
  <c r="R386" i="2" a="1"/>
  <c r="R387" i="2" a="1"/>
  <c r="R388" i="2" a="1"/>
  <c r="R389" i="2" a="1"/>
  <c r="R390" i="2" a="1"/>
  <c r="R391" i="2" a="1"/>
  <c r="R392" i="2" a="1"/>
  <c r="R393" i="2" a="1"/>
  <c r="R394" i="2" a="1"/>
  <c r="R395" i="2" a="1"/>
  <c r="R396" i="2" a="1"/>
  <c r="R397" i="2" a="1"/>
  <c r="R398" i="2" a="1"/>
  <c r="R399" i="2" a="1"/>
  <c r="R400" i="2" a="1"/>
  <c r="R401" i="2" a="1"/>
  <c r="R402" i="2" a="1"/>
  <c r="R403" i="2" a="1"/>
  <c r="R404" i="2" a="1"/>
  <c r="R405" i="2" a="1"/>
  <c r="R406" i="2" a="1"/>
  <c r="R407" i="2" a="1"/>
  <c r="R408" i="2" a="1"/>
  <c r="R409" i="2" a="1"/>
  <c r="R410" i="2" a="1"/>
  <c r="R411" i="2" a="1"/>
  <c r="R412" i="2" a="1"/>
  <c r="R413" i="2" a="1"/>
  <c r="R414" i="2" a="1"/>
  <c r="R415" i="2" a="1"/>
  <c r="R416" i="2" a="1"/>
  <c r="R417" i="2" a="1"/>
  <c r="R418" i="2" a="1"/>
  <c r="R419" i="2" a="1"/>
  <c r="R420" i="2" a="1"/>
  <c r="R421" i="2" a="1"/>
  <c r="R422" i="2" a="1"/>
  <c r="R423" i="2" a="1"/>
  <c r="R424" i="2" a="1"/>
  <c r="R425" i="2" a="1"/>
  <c r="R426" i="2" a="1"/>
  <c r="R427" i="2" a="1"/>
  <c r="R428" i="2" a="1"/>
  <c r="R429" i="2" a="1"/>
  <c r="R430" i="2" a="1"/>
  <c r="R431" i="2" a="1"/>
  <c r="R432" i="2" a="1"/>
  <c r="R433" i="2" a="1"/>
  <c r="R434" i="2" a="1"/>
  <c r="R435" i="2" a="1"/>
  <c r="R436" i="2" a="1"/>
  <c r="R437" i="2" a="1"/>
  <c r="R438" i="2" a="1"/>
  <c r="R439" i="2" a="1"/>
  <c r="R440" i="2" a="1"/>
  <c r="R441" i="2" a="1"/>
  <c r="R442" i="2" a="1"/>
  <c r="R443" i="2" a="1"/>
  <c r="R444" i="2" a="1"/>
  <c r="R445" i="2" a="1"/>
  <c r="R446" i="2" a="1"/>
  <c r="R447" i="2" a="1"/>
  <c r="R448" i="2" a="1"/>
  <c r="R449" i="2" a="1"/>
  <c r="R450" i="2" a="1"/>
  <c r="R451" i="2" a="1"/>
  <c r="R452" i="2" a="1"/>
  <c r="R453" i="2" a="1"/>
  <c r="R454" i="2" a="1"/>
  <c r="R455" i="2" a="1"/>
  <c r="R456" i="2" a="1"/>
  <c r="R457" i="2" a="1"/>
  <c r="R458" i="2" a="1"/>
  <c r="R459" i="2" a="1"/>
  <c r="R460" i="2" a="1"/>
  <c r="R461" i="2" a="1"/>
  <c r="R462" i="2" a="1"/>
  <c r="R463" i="2" a="1"/>
  <c r="R464" i="2" a="1"/>
  <c r="R465" i="2" a="1"/>
  <c r="R466" i="2" a="1"/>
  <c r="R467" i="2" a="1"/>
  <c r="R468" i="2" a="1"/>
  <c r="R469" i="2" a="1"/>
  <c r="R470" i="2" a="1"/>
  <c r="R471" i="2" a="1"/>
  <c r="R472" i="2" a="1"/>
  <c r="R473" i="2" a="1"/>
  <c r="R474" i="2" a="1"/>
  <c r="R475" i="2" a="1"/>
  <c r="R476" i="2" a="1"/>
  <c r="R477" i="2" a="1"/>
  <c r="R478" i="2" a="1"/>
  <c r="R479" i="2" a="1"/>
  <c r="R480" i="2" a="1"/>
  <c r="R481" i="2" a="1"/>
  <c r="R482" i="2" a="1"/>
  <c r="R483" i="2" a="1"/>
  <c r="R484" i="2" a="1"/>
  <c r="R485" i="2" a="1"/>
  <c r="R486" i="2" a="1"/>
  <c r="R487" i="2" a="1"/>
  <c r="R488" i="2" a="1"/>
  <c r="R489" i="2" a="1"/>
  <c r="R490" i="2" a="1"/>
  <c r="R491" i="2" a="1"/>
  <c r="R492" i="2" a="1"/>
  <c r="R493" i="2" a="1"/>
  <c r="R494" i="2" a="1"/>
  <c r="R495" i="2" a="1"/>
  <c r="R496" i="2" a="1"/>
  <c r="R497" i="2" a="1"/>
  <c r="R498" i="2" a="1"/>
  <c r="R499" i="2" a="1"/>
  <c r="R500" i="2" a="1"/>
  <c r="R501" i="2" a="1"/>
  <c r="R502" i="2" a="1"/>
  <c r="R503" i="2" a="1"/>
  <c r="R504" i="2" a="1"/>
  <c r="W5" i="2" a="1"/>
  <c r="W6" i="2" a="1"/>
  <c r="W7" i="2" a="1"/>
  <c r="W8" i="2" a="1"/>
  <c r="W9" i="2" a="1"/>
  <c r="W10" i="2" a="1"/>
  <c r="W11" i="2" a="1"/>
  <c r="W12" i="2" a="1"/>
  <c r="W13" i="2" a="1"/>
  <c r="W14" i="2" a="1"/>
  <c r="W15" i="2" a="1"/>
  <c r="W16" i="2" a="1"/>
  <c r="W17" i="2" a="1"/>
  <c r="W18" i="2" a="1"/>
  <c r="W19" i="2" a="1"/>
  <c r="W20" i="2" a="1"/>
  <c r="W21" i="2" a="1"/>
  <c r="W22" i="2" a="1"/>
  <c r="W23" i="2" a="1"/>
  <c r="W24" i="2" a="1"/>
  <c r="W25" i="2" a="1"/>
  <c r="W26" i="2" a="1"/>
  <c r="W27" i="2" a="1"/>
  <c r="W28" i="2" a="1"/>
  <c r="W29" i="2" a="1"/>
  <c r="W30" i="2" a="1"/>
  <c r="W31" i="2" a="1"/>
  <c r="W32" i="2" a="1"/>
  <c r="W33" i="2" a="1"/>
  <c r="W34" i="2" a="1"/>
  <c r="W35" i="2" a="1"/>
  <c r="W36" i="2" a="1"/>
  <c r="W37" i="2" a="1"/>
  <c r="W38" i="2" a="1"/>
  <c r="W39" i="2" a="1"/>
  <c r="W40" i="2" a="1"/>
  <c r="W41" i="2" a="1"/>
  <c r="W42" i="2" a="1"/>
  <c r="W43" i="2" a="1"/>
  <c r="W44" i="2" a="1"/>
  <c r="W45" i="2" a="1"/>
  <c r="W46" i="2" a="1"/>
  <c r="W47" i="2" a="1"/>
  <c r="W48" i="2" a="1"/>
  <c r="W49" i="2" a="1"/>
  <c r="W50" i="2" a="1"/>
  <c r="W51" i="2" a="1"/>
  <c r="W52" i="2" a="1"/>
  <c r="W53" i="2" a="1"/>
  <c r="W54" i="2" a="1"/>
  <c r="W55" i="2" a="1"/>
  <c r="W56" i="2" a="1"/>
  <c r="W57" i="2" a="1"/>
  <c r="W58" i="2" a="1"/>
  <c r="W59" i="2" a="1"/>
  <c r="W60" i="2" a="1"/>
  <c r="W61" i="2" a="1"/>
  <c r="W62" i="2" a="1"/>
  <c r="W63" i="2" a="1"/>
  <c r="W64" i="2" a="1"/>
  <c r="W65" i="2" a="1"/>
  <c r="W66" i="2" a="1"/>
  <c r="W67" i="2" a="1"/>
  <c r="W68" i="2" a="1"/>
  <c r="W69" i="2" a="1"/>
  <c r="W70" i="2" a="1"/>
  <c r="W71" i="2" a="1"/>
  <c r="W72" i="2" a="1"/>
  <c r="W73" i="2" a="1"/>
  <c r="W74" i="2" a="1"/>
  <c r="W75" i="2" a="1"/>
  <c r="W76" i="2" a="1"/>
  <c r="W77" i="2" a="1"/>
  <c r="W78" i="2" a="1"/>
  <c r="W79" i="2" a="1"/>
  <c r="W80" i="2" a="1"/>
  <c r="W81" i="2" a="1"/>
  <c r="W82" i="2" a="1"/>
  <c r="W83" i="2" a="1"/>
  <c r="W84" i="2" a="1"/>
  <c r="W85" i="2" a="1"/>
  <c r="W86" i="2" a="1"/>
  <c r="W87" i="2" a="1"/>
  <c r="W88" i="2" a="1"/>
  <c r="W89" i="2" a="1"/>
  <c r="W90" i="2" a="1"/>
  <c r="W91" i="2" a="1"/>
  <c r="W92" i="2" a="1"/>
  <c r="W93" i="2" a="1"/>
  <c r="W94" i="2" a="1"/>
  <c r="W95" i="2" a="1"/>
  <c r="W96" i="2" a="1"/>
  <c r="W97" i="2" a="1"/>
  <c r="W98" i="2" a="1"/>
  <c r="W99" i="2" a="1"/>
  <c r="W100" i="2" a="1"/>
  <c r="W101" i="2" a="1"/>
  <c r="W102" i="2" a="1"/>
  <c r="W103" i="2" a="1"/>
  <c r="W104" i="2" a="1"/>
  <c r="W105" i="2" a="1"/>
  <c r="W106" i="2" a="1"/>
  <c r="W107" i="2" a="1"/>
  <c r="W108" i="2" a="1"/>
  <c r="W109" i="2" a="1"/>
  <c r="W110" i="2" a="1"/>
  <c r="W111" i="2" a="1"/>
  <c r="W112" i="2" a="1"/>
  <c r="W113" i="2" a="1"/>
  <c r="W114" i="2" a="1"/>
  <c r="W115" i="2" a="1"/>
  <c r="W116" i="2" a="1"/>
  <c r="W117" i="2" a="1"/>
  <c r="W118" i="2" a="1"/>
  <c r="W119" i="2" a="1"/>
  <c r="W120" i="2" a="1"/>
  <c r="W121" i="2" a="1"/>
  <c r="W122" i="2" a="1"/>
  <c r="W123" i="2" a="1"/>
  <c r="W124" i="2" a="1"/>
  <c r="W125" i="2" a="1"/>
  <c r="W126" i="2" a="1"/>
  <c r="W127" i="2" a="1"/>
  <c r="W128" i="2" a="1"/>
  <c r="W129" i="2" a="1"/>
  <c r="W130" i="2" a="1"/>
  <c r="W131" i="2" a="1"/>
  <c r="W132" i="2" a="1"/>
  <c r="W133" i="2" a="1"/>
  <c r="W134" i="2" a="1"/>
  <c r="W135" i="2" a="1"/>
  <c r="W136" i="2" a="1"/>
  <c r="W137" i="2" a="1"/>
  <c r="W138" i="2" a="1"/>
  <c r="W139" i="2" a="1"/>
  <c r="W140" i="2" a="1"/>
  <c r="W141" i="2" a="1"/>
  <c r="W142" i="2" a="1"/>
  <c r="W143" i="2" a="1"/>
  <c r="W144" i="2" a="1"/>
  <c r="W145" i="2" a="1"/>
  <c r="W146" i="2" a="1"/>
  <c r="W147" i="2" a="1"/>
  <c r="W148" i="2" a="1"/>
  <c r="W149" i="2" a="1"/>
  <c r="W150" i="2" a="1"/>
  <c r="W151" i="2" a="1"/>
  <c r="W152" i="2" a="1"/>
  <c r="W153" i="2" a="1"/>
  <c r="W154" i="2" a="1"/>
  <c r="W155" i="2" a="1"/>
  <c r="W156" i="2" a="1"/>
  <c r="W157" i="2" a="1"/>
  <c r="W158" i="2" a="1"/>
  <c r="W159" i="2" a="1"/>
  <c r="W160" i="2" a="1"/>
  <c r="W161" i="2" a="1"/>
  <c r="W162" i="2" a="1"/>
  <c r="W163" i="2" a="1"/>
  <c r="W164" i="2" a="1"/>
  <c r="W165" i="2" a="1"/>
  <c r="W166" i="2" a="1"/>
  <c r="W167" i="2" a="1"/>
  <c r="W168" i="2" a="1"/>
  <c r="W169" i="2" a="1"/>
  <c r="W170" i="2" a="1"/>
  <c r="W171" i="2" a="1"/>
  <c r="W172" i="2" a="1"/>
  <c r="W173" i="2" a="1"/>
  <c r="W174" i="2" a="1"/>
  <c r="W175" i="2" a="1"/>
  <c r="W176" i="2" a="1"/>
  <c r="W177" i="2" a="1"/>
  <c r="W178" i="2" a="1"/>
  <c r="W179" i="2" a="1"/>
  <c r="W180" i="2" a="1"/>
  <c r="W181" i="2" a="1"/>
  <c r="W182" i="2" a="1"/>
  <c r="W183" i="2" a="1"/>
  <c r="W184" i="2" a="1"/>
  <c r="W185" i="2" a="1"/>
  <c r="W186" i="2" a="1"/>
  <c r="W187" i="2" a="1"/>
  <c r="W188" i="2" a="1"/>
  <c r="W189" i="2" a="1"/>
  <c r="W190" i="2" a="1"/>
  <c r="W191" i="2" a="1"/>
  <c r="W192" i="2" a="1"/>
  <c r="W193" i="2" a="1"/>
  <c r="W194" i="2" a="1"/>
  <c r="W195" i="2" a="1"/>
  <c r="W196" i="2" a="1"/>
  <c r="W197" i="2" a="1"/>
  <c r="W198" i="2" a="1"/>
  <c r="W199" i="2" a="1"/>
  <c r="W200" i="2" a="1"/>
  <c r="W201" i="2" a="1"/>
  <c r="W202" i="2" a="1"/>
  <c r="W203" i="2" a="1"/>
  <c r="W204" i="2" a="1"/>
  <c r="W205" i="2" a="1"/>
  <c r="W206" i="2" a="1"/>
  <c r="W207" i="2" a="1"/>
  <c r="W208" i="2" a="1"/>
  <c r="W209" i="2" a="1"/>
  <c r="W210" i="2" a="1"/>
  <c r="W211" i="2" a="1"/>
  <c r="W212" i="2" a="1"/>
  <c r="W213" i="2" a="1"/>
  <c r="W214" i="2" a="1"/>
  <c r="W215" i="2" a="1"/>
  <c r="W216" i="2" a="1"/>
  <c r="W217" i="2" a="1"/>
  <c r="W218" i="2" a="1"/>
  <c r="W219" i="2" a="1"/>
  <c r="W220" i="2" a="1"/>
  <c r="W221" i="2" a="1"/>
  <c r="W222" i="2" a="1"/>
  <c r="W223" i="2" a="1"/>
  <c r="W224" i="2" a="1"/>
  <c r="W225" i="2" a="1"/>
  <c r="W226" i="2" a="1"/>
  <c r="W227" i="2" a="1"/>
  <c r="W228" i="2" a="1"/>
  <c r="W229" i="2" a="1"/>
  <c r="W230" i="2" a="1"/>
  <c r="W231" i="2" a="1"/>
  <c r="W232" i="2" a="1"/>
  <c r="W233" i="2" a="1"/>
  <c r="W234" i="2" a="1"/>
  <c r="W235" i="2" a="1"/>
  <c r="W236" i="2" a="1"/>
  <c r="W237" i="2" a="1"/>
  <c r="W238" i="2" a="1"/>
  <c r="W239" i="2" a="1"/>
  <c r="W240" i="2" a="1"/>
  <c r="W241" i="2" a="1"/>
  <c r="W242" i="2" a="1"/>
  <c r="W243" i="2" a="1"/>
  <c r="W244" i="2" a="1"/>
  <c r="W245" i="2" a="1"/>
  <c r="W246" i="2" a="1"/>
  <c r="W247" i="2" a="1"/>
  <c r="W248" i="2" a="1"/>
  <c r="W249" i="2" a="1"/>
  <c r="W250" i="2" a="1"/>
  <c r="W251" i="2" a="1"/>
  <c r="W252" i="2" a="1"/>
  <c r="W253" i="2" a="1"/>
  <c r="W254" i="2" a="1"/>
  <c r="W255" i="2" a="1"/>
  <c r="W256" i="2" a="1"/>
  <c r="W257" i="2" a="1"/>
  <c r="W258" i="2" a="1"/>
  <c r="W259" i="2" a="1"/>
  <c r="W260" i="2" a="1"/>
  <c r="W261" i="2" a="1"/>
  <c r="W262" i="2" a="1"/>
  <c r="W263" i="2" a="1"/>
  <c r="W264" i="2" a="1"/>
  <c r="W265" i="2" a="1"/>
  <c r="W266" i="2" a="1"/>
  <c r="W267" i="2" a="1"/>
  <c r="W268" i="2" a="1"/>
  <c r="W269" i="2" a="1"/>
  <c r="W270" i="2" a="1"/>
  <c r="W271" i="2" a="1"/>
  <c r="W272" i="2" a="1"/>
  <c r="W273" i="2" a="1"/>
  <c r="W274" i="2" a="1"/>
  <c r="W275" i="2" a="1"/>
  <c r="W276" i="2" a="1"/>
  <c r="W277" i="2" a="1"/>
  <c r="W278" i="2" a="1"/>
  <c r="W279" i="2" a="1"/>
  <c r="W280" i="2" a="1"/>
  <c r="W281" i="2" a="1"/>
  <c r="W282" i="2" a="1"/>
  <c r="W283" i="2" a="1"/>
  <c r="W284" i="2" a="1"/>
  <c r="W285" i="2" a="1"/>
  <c r="W286" i="2" a="1"/>
  <c r="W287" i="2" a="1"/>
  <c r="W288" i="2" a="1"/>
  <c r="W289" i="2" a="1"/>
  <c r="W290" i="2" a="1"/>
  <c r="W291" i="2" a="1"/>
  <c r="W292" i="2" a="1"/>
  <c r="W293" i="2" a="1"/>
  <c r="W294" i="2" a="1"/>
  <c r="W295" i="2" a="1"/>
  <c r="W296" i="2" a="1"/>
  <c r="W297" i="2" a="1"/>
  <c r="W298" i="2" a="1"/>
  <c r="W299" i="2" a="1"/>
  <c r="W300" i="2" a="1"/>
  <c r="W301" i="2" a="1"/>
  <c r="W302" i="2" a="1"/>
  <c r="W303" i="2" a="1"/>
  <c r="W304" i="2" a="1"/>
  <c r="W305" i="2" a="1"/>
  <c r="W306" i="2" a="1"/>
  <c r="W307" i="2" a="1"/>
  <c r="W308" i="2" a="1"/>
  <c r="W309" i="2" a="1"/>
  <c r="W310" i="2" a="1"/>
  <c r="W311" i="2" a="1"/>
  <c r="W312" i="2" a="1"/>
  <c r="W313" i="2" a="1"/>
  <c r="W314" i="2" a="1"/>
  <c r="W315" i="2" a="1"/>
  <c r="W316" i="2" a="1"/>
  <c r="W317" i="2" a="1"/>
  <c r="W318" i="2" a="1"/>
  <c r="W319" i="2" a="1"/>
  <c r="W320" i="2" a="1"/>
  <c r="W321" i="2" a="1"/>
  <c r="W322" i="2" a="1"/>
  <c r="W323" i="2" a="1"/>
  <c r="W324" i="2" a="1"/>
  <c r="W325" i="2" a="1"/>
  <c r="W326" i="2" a="1"/>
  <c r="W327" i="2" a="1"/>
  <c r="W328" i="2" a="1"/>
  <c r="W329" i="2" a="1"/>
  <c r="W330" i="2" a="1"/>
  <c r="W331" i="2" a="1"/>
  <c r="W332" i="2" a="1"/>
  <c r="W333" i="2" a="1"/>
  <c r="W334" i="2" a="1"/>
  <c r="W335" i="2" a="1"/>
  <c r="W336" i="2" a="1"/>
  <c r="W337" i="2" a="1"/>
  <c r="W338" i="2" a="1"/>
  <c r="W339" i="2" a="1"/>
  <c r="W340" i="2" a="1"/>
  <c r="W341" i="2" a="1"/>
  <c r="W342" i="2" a="1"/>
  <c r="W343" i="2" a="1"/>
  <c r="W344" i="2" a="1"/>
  <c r="W345" i="2" a="1"/>
  <c r="W346" i="2" a="1"/>
  <c r="W347" i="2" a="1"/>
  <c r="W348" i="2" a="1"/>
  <c r="W349" i="2" a="1"/>
  <c r="W350" i="2" a="1"/>
  <c r="W351" i="2" a="1"/>
  <c r="W352" i="2" a="1"/>
  <c r="W353" i="2" a="1"/>
  <c r="W354" i="2" a="1"/>
  <c r="W355" i="2" a="1"/>
  <c r="W356" i="2" a="1"/>
  <c r="W357" i="2" a="1"/>
  <c r="W358" i="2" a="1"/>
  <c r="W359" i="2" a="1"/>
  <c r="W360" i="2" a="1"/>
  <c r="W361" i="2" a="1"/>
  <c r="W362" i="2" a="1"/>
  <c r="W363" i="2" a="1"/>
  <c r="W364" i="2" a="1"/>
  <c r="W365" i="2" a="1"/>
  <c r="W366" i="2" a="1"/>
  <c r="W367" i="2" a="1"/>
  <c r="W368" i="2" a="1"/>
  <c r="W369" i="2" a="1"/>
  <c r="W370" i="2" a="1"/>
  <c r="W371" i="2" a="1"/>
  <c r="W372" i="2" a="1"/>
  <c r="W373" i="2" a="1"/>
  <c r="W374" i="2" a="1"/>
  <c r="W375" i="2" a="1"/>
  <c r="W376" i="2" a="1"/>
  <c r="W377" i="2" a="1"/>
  <c r="W378" i="2" a="1"/>
  <c r="W379" i="2" a="1"/>
  <c r="W380" i="2" a="1"/>
  <c r="W381" i="2" a="1"/>
  <c r="W382" i="2" a="1"/>
  <c r="W383" i="2" a="1"/>
  <c r="W384" i="2" a="1"/>
  <c r="W385" i="2" a="1"/>
  <c r="W386" i="2" a="1"/>
  <c r="W387" i="2" a="1"/>
  <c r="W388" i="2" a="1"/>
  <c r="W389" i="2" a="1"/>
  <c r="W390" i="2" a="1"/>
  <c r="W391" i="2" a="1"/>
  <c r="W392" i="2" a="1"/>
  <c r="W393" i="2" a="1"/>
  <c r="W394" i="2" a="1"/>
  <c r="W395" i="2" a="1"/>
  <c r="W396" i="2" a="1"/>
  <c r="W397" i="2" a="1"/>
  <c r="W398" i="2" a="1"/>
  <c r="W399" i="2" a="1"/>
  <c r="W400" i="2" a="1"/>
  <c r="W401" i="2" a="1"/>
  <c r="W402" i="2" a="1"/>
  <c r="W403" i="2" a="1"/>
  <c r="W404" i="2" a="1"/>
  <c r="W405" i="2" a="1"/>
  <c r="W406" i="2" a="1"/>
  <c r="W407" i="2" a="1"/>
  <c r="W408" i="2" a="1"/>
  <c r="W409" i="2" a="1"/>
  <c r="W410" i="2" a="1"/>
  <c r="W411" i="2" a="1"/>
  <c r="W412" i="2" a="1"/>
  <c r="W413" i="2" a="1"/>
  <c r="W414" i="2" a="1"/>
  <c r="W415" i="2" a="1"/>
  <c r="W416" i="2" a="1"/>
  <c r="W417" i="2" a="1"/>
  <c r="W418" i="2" a="1"/>
  <c r="W419" i="2" a="1"/>
  <c r="W420" i="2" a="1"/>
  <c r="W421" i="2" a="1"/>
  <c r="W422" i="2" a="1"/>
  <c r="W423" i="2" a="1"/>
  <c r="W424" i="2" a="1"/>
  <c r="W425" i="2" a="1"/>
  <c r="W426" i="2" a="1"/>
  <c r="W427" i="2" a="1"/>
  <c r="W428" i="2" a="1"/>
  <c r="W429" i="2" a="1"/>
  <c r="W430" i="2" a="1"/>
  <c r="W431" i="2" a="1"/>
  <c r="W432" i="2" a="1"/>
  <c r="W433" i="2" a="1"/>
  <c r="W434" i="2" a="1"/>
  <c r="W435" i="2" a="1"/>
  <c r="W436" i="2" a="1"/>
  <c r="W437" i="2" a="1"/>
  <c r="W438" i="2" a="1"/>
  <c r="W439" i="2" a="1"/>
  <c r="W440" i="2" a="1"/>
  <c r="W441" i="2" a="1"/>
  <c r="W442" i="2" a="1"/>
  <c r="W443" i="2" a="1"/>
  <c r="W444" i="2" a="1"/>
  <c r="W445" i="2" a="1"/>
  <c r="W446" i="2" a="1"/>
  <c r="W447" i="2" a="1"/>
  <c r="W448" i="2" a="1"/>
  <c r="W449" i="2" a="1"/>
  <c r="W450" i="2" a="1"/>
  <c r="W451" i="2" a="1"/>
  <c r="W452" i="2" a="1"/>
  <c r="W453" i="2" a="1"/>
  <c r="W454" i="2" a="1"/>
  <c r="W455" i="2" a="1"/>
  <c r="W456" i="2" a="1"/>
  <c r="W457" i="2" a="1"/>
  <c r="W458" i="2" a="1"/>
  <c r="W459" i="2" a="1"/>
  <c r="W460" i="2" a="1"/>
  <c r="W461" i="2" a="1"/>
  <c r="W462" i="2" a="1"/>
  <c r="W463" i="2" a="1"/>
  <c r="W464" i="2" a="1"/>
  <c r="W465" i="2" a="1"/>
  <c r="W466" i="2" a="1"/>
  <c r="W467" i="2" a="1"/>
  <c r="W468" i="2" a="1"/>
  <c r="W469" i="2" a="1"/>
  <c r="W470" i="2" a="1"/>
  <c r="W471" i="2" a="1"/>
  <c r="W472" i="2" a="1"/>
  <c r="W473" i="2" a="1"/>
  <c r="W474" i="2" a="1"/>
  <c r="W475" i="2" a="1"/>
  <c r="W476" i="2" a="1"/>
  <c r="W477" i="2" a="1"/>
  <c r="W478" i="2" a="1"/>
  <c r="W479" i="2" a="1"/>
  <c r="W480" i="2" a="1"/>
  <c r="W481" i="2" a="1"/>
  <c r="W482" i="2" a="1"/>
  <c r="W483" i="2" a="1"/>
  <c r="W484" i="2" a="1"/>
  <c r="W485" i="2" a="1"/>
  <c r="W486" i="2" a="1"/>
  <c r="W487" i="2" a="1"/>
  <c r="W488" i="2" a="1"/>
  <c r="W489" i="2" a="1"/>
  <c r="W490" i="2" a="1"/>
  <c r="W491" i="2" a="1"/>
  <c r="W492" i="2" a="1"/>
  <c r="W493" i="2" a="1"/>
  <c r="W494" i="2" a="1"/>
  <c r="W495" i="2" a="1"/>
  <c r="W496" i="2" a="1"/>
  <c r="W497" i="2" a="1"/>
  <c r="W498" i="2" a="1"/>
  <c r="W499" i="2" a="1"/>
  <c r="W500" i="2" a="1"/>
  <c r="W501" i="2" a="1"/>
  <c r="W502" i="2" a="1"/>
  <c r="W503" i="2" a="1"/>
  <c r="W504" i="2" a="1"/>
  <c r="X5" i="2" a="1"/>
  <c r="X6" i="2" a="1"/>
  <c r="X7" i="2" a="1"/>
  <c r="X8" i="2" a="1"/>
  <c r="X9" i="2" a="1"/>
  <c r="X10" i="2" a="1"/>
  <c r="X11" i="2" a="1"/>
  <c r="X12" i="2" a="1"/>
  <c r="X13" i="2" a="1"/>
  <c r="X14" i="2" a="1"/>
  <c r="X15" i="2" a="1"/>
  <c r="X16" i="2" a="1"/>
  <c r="X17" i="2" a="1"/>
  <c r="X18" i="2" a="1"/>
  <c r="X19" i="2" a="1"/>
  <c r="X20" i="2" a="1"/>
  <c r="X21" i="2" a="1"/>
  <c r="X22" i="2" a="1"/>
  <c r="X23" i="2" a="1"/>
  <c r="X24" i="2" a="1"/>
  <c r="X25" i="2" a="1"/>
  <c r="X26" i="2" a="1"/>
  <c r="X27" i="2" a="1"/>
  <c r="X28" i="2" a="1"/>
  <c r="X29" i="2" a="1"/>
  <c r="X30" i="2" a="1"/>
  <c r="X31" i="2" a="1"/>
  <c r="X32" i="2" a="1"/>
  <c r="X33" i="2" a="1"/>
  <c r="X34" i="2" a="1"/>
  <c r="X35" i="2" a="1"/>
  <c r="X36" i="2" a="1"/>
  <c r="X37" i="2" a="1"/>
  <c r="X38" i="2" a="1"/>
  <c r="X39" i="2" a="1"/>
  <c r="X40" i="2" a="1"/>
  <c r="X41" i="2" a="1"/>
  <c r="X42" i="2" a="1"/>
  <c r="X43" i="2" a="1"/>
  <c r="X44" i="2" a="1"/>
  <c r="X45" i="2" a="1"/>
  <c r="X46" i="2" a="1"/>
  <c r="X47" i="2" a="1"/>
  <c r="X48" i="2" a="1"/>
  <c r="X49" i="2" a="1"/>
  <c r="X50" i="2" a="1"/>
  <c r="X51" i="2" a="1"/>
  <c r="X52" i="2" a="1"/>
  <c r="X53" i="2" a="1"/>
  <c r="X54" i="2" a="1"/>
  <c r="X55" i="2" a="1"/>
  <c r="X56" i="2" a="1"/>
  <c r="X57" i="2" a="1"/>
  <c r="X58" i="2" a="1"/>
  <c r="X59" i="2" a="1"/>
  <c r="X60" i="2" a="1"/>
  <c r="X61" i="2" a="1"/>
  <c r="X62" i="2" a="1"/>
  <c r="X63" i="2" a="1"/>
  <c r="X64" i="2" a="1"/>
  <c r="X65" i="2" a="1"/>
  <c r="X66" i="2" a="1"/>
  <c r="X67" i="2" a="1"/>
  <c r="X68" i="2" a="1"/>
  <c r="X69" i="2" a="1"/>
  <c r="X70" i="2" a="1"/>
  <c r="X71" i="2" a="1"/>
  <c r="X72" i="2" a="1"/>
  <c r="X73" i="2" a="1"/>
  <c r="X74" i="2" a="1"/>
  <c r="X75" i="2" a="1"/>
  <c r="X76" i="2" a="1"/>
  <c r="X77" i="2" a="1"/>
  <c r="X78" i="2" a="1"/>
  <c r="X79" i="2" a="1"/>
  <c r="X80" i="2" a="1"/>
  <c r="X81" i="2" a="1"/>
  <c r="X82" i="2" a="1"/>
  <c r="X83" i="2" a="1"/>
  <c r="X84" i="2" a="1"/>
  <c r="X85" i="2" a="1"/>
  <c r="X86" i="2" a="1"/>
  <c r="X87" i="2" a="1"/>
  <c r="X88" i="2" a="1"/>
  <c r="X89" i="2" a="1"/>
  <c r="X90" i="2" a="1"/>
  <c r="X91" i="2" a="1"/>
  <c r="X92" i="2" a="1"/>
  <c r="X93" i="2" a="1"/>
  <c r="X94" i="2" a="1"/>
  <c r="X95" i="2" a="1"/>
  <c r="X96" i="2" a="1"/>
  <c r="X97" i="2" a="1"/>
  <c r="X98" i="2" a="1"/>
  <c r="X99" i="2" a="1"/>
  <c r="X100" i="2" a="1"/>
  <c r="X101" i="2" a="1"/>
  <c r="X102" i="2" a="1"/>
  <c r="X103" i="2" a="1"/>
  <c r="X104" i="2" a="1"/>
  <c r="X105" i="2" a="1"/>
  <c r="X106" i="2" a="1"/>
  <c r="X107" i="2" a="1"/>
  <c r="X108" i="2" a="1"/>
  <c r="X109" i="2" a="1"/>
  <c r="X110" i="2" a="1"/>
  <c r="X111" i="2" a="1"/>
  <c r="X112" i="2" a="1"/>
  <c r="X113" i="2" a="1"/>
  <c r="X114" i="2" a="1"/>
  <c r="X115" i="2" a="1"/>
  <c r="X116" i="2" a="1"/>
  <c r="X117" i="2" a="1"/>
  <c r="X118" i="2" a="1"/>
  <c r="X119" i="2" a="1"/>
  <c r="X120" i="2" a="1"/>
  <c r="X121" i="2" a="1"/>
  <c r="X122" i="2" a="1"/>
  <c r="X123" i="2" a="1"/>
  <c r="X124" i="2" a="1"/>
  <c r="X125" i="2" a="1"/>
  <c r="X126" i="2" a="1"/>
  <c r="X127" i="2" a="1"/>
  <c r="X128" i="2" a="1"/>
  <c r="X129" i="2" a="1"/>
  <c r="X130" i="2" a="1"/>
  <c r="X131" i="2" a="1"/>
  <c r="X132" i="2" a="1"/>
  <c r="X133" i="2" a="1"/>
  <c r="X134" i="2" a="1"/>
  <c r="X135" i="2" a="1"/>
  <c r="X136" i="2" a="1"/>
  <c r="X137" i="2" a="1"/>
  <c r="X138" i="2" a="1"/>
  <c r="X139" i="2" a="1"/>
  <c r="X140" i="2" a="1"/>
  <c r="X141" i="2" a="1"/>
  <c r="X142" i="2" a="1"/>
  <c r="X143" i="2" a="1"/>
  <c r="X144" i="2" a="1"/>
  <c r="X145" i="2" a="1"/>
  <c r="X146" i="2" a="1"/>
  <c r="X147" i="2" a="1"/>
  <c r="X148" i="2" a="1"/>
  <c r="X149" i="2" a="1"/>
  <c r="X150" i="2" a="1"/>
  <c r="X151" i="2" a="1"/>
  <c r="X152" i="2" a="1"/>
  <c r="X153" i="2" a="1"/>
  <c r="X154" i="2" a="1"/>
  <c r="X155" i="2" a="1"/>
  <c r="X156" i="2" a="1"/>
  <c r="X157" i="2" a="1"/>
  <c r="X158" i="2" a="1"/>
  <c r="X159" i="2" a="1"/>
  <c r="X160" i="2" a="1"/>
  <c r="X161" i="2" a="1"/>
  <c r="X162" i="2" a="1"/>
  <c r="X163" i="2" a="1"/>
  <c r="X164" i="2" a="1"/>
  <c r="X165" i="2" a="1"/>
  <c r="X166" i="2" a="1"/>
  <c r="X167" i="2" a="1"/>
  <c r="X168" i="2" a="1"/>
  <c r="X169" i="2" a="1"/>
  <c r="X170" i="2" a="1"/>
  <c r="X171" i="2" a="1"/>
  <c r="X172" i="2" a="1"/>
  <c r="X173" i="2" a="1"/>
  <c r="X174" i="2" a="1"/>
  <c r="X175" i="2" a="1"/>
  <c r="X176" i="2" a="1"/>
  <c r="X177" i="2" a="1"/>
  <c r="X178" i="2" a="1"/>
  <c r="X179" i="2" a="1"/>
  <c r="X180" i="2" a="1"/>
  <c r="X181" i="2" a="1"/>
  <c r="X182" i="2" a="1"/>
  <c r="X183" i="2" a="1"/>
  <c r="X184" i="2" a="1"/>
  <c r="X185" i="2" a="1"/>
  <c r="X186" i="2" a="1"/>
  <c r="X187" i="2" a="1"/>
  <c r="X188" i="2" a="1"/>
  <c r="X189" i="2" a="1"/>
  <c r="X190" i="2" a="1"/>
  <c r="X191" i="2" a="1"/>
  <c r="X192" i="2" a="1"/>
  <c r="X193" i="2" a="1"/>
  <c r="X194" i="2" a="1"/>
  <c r="X195" i="2" a="1"/>
  <c r="X196" i="2" a="1"/>
  <c r="X197" i="2" a="1"/>
  <c r="X198" i="2" a="1"/>
  <c r="X199" i="2" a="1"/>
  <c r="X200" i="2" a="1"/>
  <c r="X201" i="2" a="1"/>
  <c r="X202" i="2" a="1"/>
  <c r="X203" i="2" a="1"/>
  <c r="X204" i="2" a="1"/>
  <c r="X205" i="2" a="1"/>
  <c r="X206" i="2" a="1"/>
  <c r="X207" i="2" a="1"/>
  <c r="X208" i="2" a="1"/>
  <c r="X209" i="2" a="1"/>
  <c r="X210" i="2" a="1"/>
  <c r="X211" i="2" a="1"/>
  <c r="X212" i="2" a="1"/>
  <c r="X213" i="2" a="1"/>
  <c r="X214" i="2" a="1"/>
  <c r="X215" i="2" a="1"/>
  <c r="X216" i="2" a="1"/>
  <c r="X217" i="2" a="1"/>
  <c r="X218" i="2" a="1"/>
  <c r="X219" i="2" a="1"/>
  <c r="X220" i="2" a="1"/>
  <c r="X221" i="2" a="1"/>
  <c r="X222" i="2" a="1"/>
  <c r="X223" i="2" a="1"/>
  <c r="X224" i="2" a="1"/>
  <c r="X225" i="2" a="1"/>
  <c r="X226" i="2" a="1"/>
  <c r="X227" i="2" a="1"/>
  <c r="X228" i="2" a="1"/>
  <c r="X229" i="2" a="1"/>
  <c r="X230" i="2" a="1"/>
  <c r="X231" i="2" a="1"/>
  <c r="X232" i="2" a="1"/>
  <c r="X233" i="2" a="1"/>
  <c r="X234" i="2" a="1"/>
  <c r="X235" i="2" a="1"/>
  <c r="X236" i="2" a="1"/>
  <c r="X237" i="2" a="1"/>
  <c r="X238" i="2" a="1"/>
  <c r="X239" i="2" a="1"/>
  <c r="X240" i="2" a="1"/>
  <c r="X241" i="2" a="1"/>
  <c r="X242" i="2" a="1"/>
  <c r="X243" i="2" a="1"/>
  <c r="X244" i="2" a="1"/>
  <c r="X245" i="2" a="1"/>
  <c r="X246" i="2" a="1"/>
  <c r="X247" i="2" a="1"/>
  <c r="X248" i="2" a="1"/>
  <c r="X249" i="2" a="1"/>
  <c r="X250" i="2" a="1"/>
  <c r="X251" i="2" a="1"/>
  <c r="X252" i="2" a="1"/>
  <c r="X253" i="2" a="1"/>
  <c r="X254" i="2" a="1"/>
  <c r="X255" i="2" a="1"/>
  <c r="X256" i="2" a="1"/>
  <c r="X257" i="2" a="1"/>
  <c r="X258" i="2" a="1"/>
  <c r="X259" i="2" a="1"/>
  <c r="X260" i="2" a="1"/>
  <c r="X261" i="2" a="1"/>
  <c r="X262" i="2" a="1"/>
  <c r="X263" i="2" a="1"/>
  <c r="X264" i="2" a="1"/>
  <c r="X265" i="2" a="1"/>
  <c r="X266" i="2" a="1"/>
  <c r="X267" i="2" a="1"/>
  <c r="X268" i="2" a="1"/>
  <c r="X269" i="2" a="1"/>
  <c r="X270" i="2" a="1"/>
  <c r="X271" i="2" a="1"/>
  <c r="X272" i="2" a="1"/>
  <c r="X273" i="2" a="1"/>
  <c r="X274" i="2" a="1"/>
  <c r="X275" i="2" a="1"/>
  <c r="X276" i="2" a="1"/>
  <c r="X277" i="2" a="1"/>
  <c r="X278" i="2" a="1"/>
  <c r="X279" i="2" a="1"/>
  <c r="X280" i="2" a="1"/>
  <c r="X281" i="2" a="1"/>
  <c r="X282" i="2" a="1"/>
  <c r="X283" i="2" a="1"/>
  <c r="X284" i="2" a="1"/>
  <c r="X285" i="2" a="1"/>
  <c r="X286" i="2" a="1"/>
  <c r="X287" i="2" a="1"/>
  <c r="X288" i="2" a="1"/>
  <c r="X289" i="2" a="1"/>
  <c r="X290" i="2" a="1"/>
  <c r="X291" i="2" a="1"/>
  <c r="X292" i="2" a="1"/>
  <c r="X293" i="2" a="1"/>
  <c r="X294" i="2" a="1"/>
  <c r="X295" i="2" a="1"/>
  <c r="X296" i="2" a="1"/>
  <c r="X297" i="2" a="1"/>
  <c r="X298" i="2" a="1"/>
  <c r="X299" i="2" a="1"/>
  <c r="X300" i="2" a="1"/>
  <c r="X301" i="2" a="1"/>
  <c r="X302" i="2" a="1"/>
  <c r="X303" i="2" a="1"/>
  <c r="X304" i="2" a="1"/>
  <c r="X305" i="2" a="1"/>
  <c r="X306" i="2" a="1"/>
  <c r="X307" i="2" a="1"/>
  <c r="X308" i="2" a="1"/>
  <c r="X309" i="2" a="1"/>
  <c r="X310" i="2" a="1"/>
  <c r="X311" i="2" a="1"/>
  <c r="X312" i="2" a="1"/>
  <c r="X313" i="2" a="1"/>
  <c r="X314" i="2" a="1"/>
  <c r="X315" i="2" a="1"/>
  <c r="X316" i="2" a="1"/>
  <c r="X317" i="2" a="1"/>
  <c r="X318" i="2" a="1"/>
  <c r="X319" i="2" a="1"/>
  <c r="X320" i="2" a="1"/>
  <c r="X321" i="2" a="1"/>
  <c r="X322" i="2" a="1"/>
  <c r="X323" i="2" a="1"/>
  <c r="X324" i="2" a="1"/>
  <c r="X325" i="2" a="1"/>
  <c r="X326" i="2" a="1"/>
  <c r="X327" i="2" a="1"/>
  <c r="X328" i="2" a="1"/>
  <c r="X329" i="2" a="1"/>
  <c r="X330" i="2" a="1"/>
  <c r="X331" i="2" a="1"/>
  <c r="X332" i="2" a="1"/>
  <c r="X333" i="2" a="1"/>
  <c r="X334" i="2" a="1"/>
  <c r="X335" i="2" a="1"/>
  <c r="X336" i="2" a="1"/>
  <c r="X337" i="2" a="1"/>
  <c r="X338" i="2" a="1"/>
  <c r="X339" i="2" a="1"/>
  <c r="X340" i="2" a="1"/>
  <c r="X341" i="2" a="1"/>
  <c r="X342" i="2" a="1"/>
  <c r="X343" i="2" a="1"/>
  <c r="X344" i="2" a="1"/>
  <c r="X345" i="2" a="1"/>
  <c r="X346" i="2" a="1"/>
  <c r="X347" i="2" a="1"/>
  <c r="X348" i="2" a="1"/>
  <c r="X349" i="2" a="1"/>
  <c r="X350" i="2" a="1"/>
  <c r="X351" i="2" a="1"/>
  <c r="X352" i="2" a="1"/>
  <c r="X353" i="2" a="1"/>
  <c r="X354" i="2" a="1"/>
  <c r="X355" i="2" a="1"/>
  <c r="X356" i="2" a="1"/>
  <c r="X357" i="2" a="1"/>
  <c r="X358" i="2" a="1"/>
  <c r="X359" i="2" a="1"/>
  <c r="X360" i="2" a="1"/>
  <c r="X361" i="2" a="1"/>
  <c r="X362" i="2" a="1"/>
  <c r="X363" i="2" a="1"/>
  <c r="X364" i="2" a="1"/>
  <c r="X365" i="2" a="1"/>
  <c r="X366" i="2" a="1"/>
  <c r="X367" i="2" a="1"/>
  <c r="X368" i="2" a="1"/>
  <c r="X369" i="2" a="1"/>
  <c r="X370" i="2" a="1"/>
  <c r="X371" i="2" a="1"/>
  <c r="X372" i="2" a="1"/>
  <c r="X373" i="2" a="1"/>
  <c r="X374" i="2" a="1"/>
  <c r="X375" i="2" a="1"/>
  <c r="X376" i="2" a="1"/>
  <c r="X377" i="2" a="1"/>
  <c r="X378" i="2" a="1"/>
  <c r="X379" i="2" a="1"/>
  <c r="X380" i="2" a="1"/>
  <c r="X381" i="2" a="1"/>
  <c r="X382" i="2" a="1"/>
  <c r="X383" i="2" a="1"/>
  <c r="X384" i="2" a="1"/>
  <c r="X385" i="2" a="1"/>
  <c r="X386" i="2" a="1"/>
  <c r="X387" i="2" a="1"/>
  <c r="X388" i="2" a="1"/>
  <c r="X389" i="2" a="1"/>
  <c r="X390" i="2" a="1"/>
  <c r="X391" i="2" a="1"/>
  <c r="X392" i="2" a="1"/>
  <c r="X393" i="2" a="1"/>
  <c r="X394" i="2" a="1"/>
  <c r="X395" i="2" a="1"/>
  <c r="X396" i="2" a="1"/>
  <c r="X397" i="2" a="1"/>
  <c r="X398" i="2" a="1"/>
  <c r="X399" i="2" a="1"/>
  <c r="X400" i="2" a="1"/>
  <c r="X401" i="2" a="1"/>
  <c r="X402" i="2" a="1"/>
  <c r="X403" i="2" a="1"/>
  <c r="X404" i="2" a="1"/>
  <c r="X405" i="2" a="1"/>
  <c r="X406" i="2" a="1"/>
  <c r="X407" i="2" a="1"/>
  <c r="X408" i="2" a="1"/>
  <c r="X409" i="2" a="1"/>
  <c r="X410" i="2" a="1"/>
  <c r="X411" i="2" a="1"/>
  <c r="X412" i="2" a="1"/>
  <c r="X413" i="2" a="1"/>
  <c r="X414" i="2" a="1"/>
  <c r="X415" i="2" a="1"/>
  <c r="X416" i="2" a="1"/>
  <c r="X417" i="2" a="1"/>
  <c r="X418" i="2" a="1"/>
  <c r="X419" i="2" a="1"/>
  <c r="X420" i="2" a="1"/>
  <c r="X421" i="2" a="1"/>
  <c r="X422" i="2" a="1"/>
  <c r="X423" i="2" a="1"/>
  <c r="X424" i="2" a="1"/>
  <c r="X425" i="2" a="1"/>
  <c r="X426" i="2" a="1"/>
  <c r="X427" i="2" a="1"/>
  <c r="X428" i="2" a="1"/>
  <c r="X429" i="2" a="1"/>
  <c r="X430" i="2" a="1"/>
  <c r="X431" i="2" a="1"/>
  <c r="X432" i="2" a="1"/>
  <c r="X433" i="2" a="1"/>
  <c r="X434" i="2" a="1"/>
  <c r="X435" i="2" a="1"/>
  <c r="X436" i="2" a="1"/>
  <c r="X437" i="2" a="1"/>
  <c r="X438" i="2" a="1"/>
  <c r="X439" i="2" a="1"/>
  <c r="X440" i="2" a="1"/>
  <c r="X441" i="2" a="1"/>
  <c r="X442" i="2" a="1"/>
  <c r="X443" i="2" a="1"/>
  <c r="X444" i="2" a="1"/>
  <c r="X445" i="2" a="1"/>
  <c r="X446" i="2" a="1"/>
  <c r="X447" i="2" a="1"/>
  <c r="X448" i="2" a="1"/>
  <c r="X449" i="2" a="1"/>
  <c r="X450" i="2" a="1"/>
  <c r="X451" i="2" a="1"/>
  <c r="X452" i="2" a="1"/>
  <c r="X453" i="2" a="1"/>
  <c r="X454" i="2" a="1"/>
  <c r="X455" i="2" a="1"/>
  <c r="X456" i="2" a="1"/>
  <c r="X457" i="2" a="1"/>
  <c r="X458" i="2" a="1"/>
  <c r="X459" i="2" a="1"/>
  <c r="X460" i="2" a="1"/>
  <c r="X461" i="2" a="1"/>
  <c r="X462" i="2" a="1"/>
  <c r="X463" i="2" a="1"/>
  <c r="X464" i="2" a="1"/>
  <c r="X465" i="2" a="1"/>
  <c r="X466" i="2" a="1"/>
  <c r="X467" i="2" a="1"/>
  <c r="X468" i="2" a="1"/>
  <c r="X469" i="2" a="1"/>
  <c r="X470" i="2" a="1"/>
  <c r="X471" i="2" a="1"/>
  <c r="X472" i="2" a="1"/>
  <c r="X473" i="2" a="1"/>
  <c r="X474" i="2" a="1"/>
  <c r="X475" i="2" a="1"/>
  <c r="X476" i="2" a="1"/>
  <c r="X477" i="2" a="1"/>
  <c r="X478" i="2" a="1"/>
  <c r="X479" i="2" a="1"/>
  <c r="X480" i="2" a="1"/>
  <c r="X481" i="2" a="1"/>
  <c r="X482" i="2" a="1"/>
  <c r="X483" i="2" a="1"/>
  <c r="X484" i="2" a="1"/>
  <c r="X485" i="2" a="1"/>
  <c r="X486" i="2" a="1"/>
  <c r="X487" i="2" a="1"/>
  <c r="X488" i="2" a="1"/>
  <c r="X489" i="2" a="1"/>
  <c r="X490" i="2" a="1"/>
  <c r="X491" i="2" a="1"/>
  <c r="X492" i="2" a="1"/>
  <c r="X493" i="2" a="1"/>
  <c r="X494" i="2" a="1"/>
  <c r="X495" i="2" a="1"/>
  <c r="X496" i="2" a="1"/>
  <c r="X497" i="2" a="1"/>
  <c r="X498" i="2" a="1"/>
  <c r="X499" i="2" a="1"/>
  <c r="X500" i="2" a="1"/>
  <c r="X501" i="2" a="1"/>
  <c r="X502" i="2" a="1"/>
  <c r="X503" i="2" a="1"/>
  <c r="X504" i="2" a="1"/>
  <c r="I124" i="3"/>
  <c r="I123" i="3"/>
  <c r="I122" i="3"/>
  <c r="F9" i="9"/>
  <c r="P9" i="9"/>
  <c r="K9" i="9"/>
  <c r="I6" i="3"/>
  <c r="I7" i="3"/>
  <c r="I8" i="3"/>
  <c r="I9" i="3"/>
  <c r="I10" i="3"/>
  <c r="I11" i="3"/>
  <c r="I12" i="3"/>
  <c r="I13" i="3"/>
  <c r="I14" i="3"/>
  <c r="I15" i="3"/>
  <c r="I16" i="3"/>
  <c r="I17" i="3"/>
  <c r="I5" i="3"/>
  <c r="C6" i="3"/>
  <c r="C7" i="3"/>
  <c r="C8" i="3"/>
  <c r="C9" i="3"/>
  <c r="C10" i="3"/>
  <c r="C11" i="3"/>
  <c r="C12" i="3"/>
  <c r="C13" i="3"/>
  <c r="C14" i="3"/>
  <c r="C15" i="3"/>
  <c r="C16" i="3"/>
  <c r="C17" i="3"/>
  <c r="C5" i="3"/>
  <c r="H6" i="3"/>
  <c r="H7" i="3"/>
  <c r="H8" i="3"/>
  <c r="H9" i="3"/>
  <c r="H10" i="3"/>
  <c r="H11" i="3"/>
  <c r="H12" i="3"/>
  <c r="H13" i="3"/>
  <c r="H14" i="3"/>
  <c r="H15" i="3"/>
  <c r="H16" i="3"/>
  <c r="H17" i="3"/>
  <c r="H5" i="3"/>
  <c r="J6" i="3"/>
  <c r="J7" i="3"/>
  <c r="J8" i="3"/>
  <c r="J9" i="3"/>
  <c r="J10" i="3"/>
  <c r="J11" i="3"/>
  <c r="J12" i="3"/>
  <c r="J13" i="3"/>
  <c r="J14" i="3"/>
  <c r="J15" i="3"/>
  <c r="J16" i="3"/>
  <c r="J17" i="3"/>
  <c r="J5" i="3"/>
  <c r="G6" i="3"/>
  <c r="G7" i="3"/>
  <c r="G8" i="3"/>
  <c r="G9" i="3"/>
  <c r="G10" i="3"/>
  <c r="G11" i="3"/>
  <c r="G12" i="3"/>
  <c r="G13" i="3"/>
  <c r="G14" i="3"/>
  <c r="G15" i="3"/>
  <c r="G16" i="3"/>
  <c r="G17" i="3"/>
  <c r="G5" i="3"/>
  <c r="F6" i="3"/>
  <c r="F7" i="3"/>
  <c r="F8" i="3"/>
  <c r="F9" i="3"/>
  <c r="F10" i="3"/>
  <c r="F11" i="3"/>
  <c r="F12" i="3"/>
  <c r="F13" i="3"/>
  <c r="F14" i="3"/>
  <c r="F15" i="3"/>
  <c r="F16" i="3"/>
  <c r="F17" i="3"/>
  <c r="F5" i="3"/>
  <c r="E6" i="3"/>
  <c r="E7" i="3"/>
  <c r="E8" i="3"/>
  <c r="E9" i="3"/>
  <c r="E10" i="3"/>
  <c r="E11" i="3"/>
  <c r="E12" i="3"/>
  <c r="E13" i="3"/>
  <c r="E14" i="3"/>
  <c r="E15" i="3"/>
  <c r="E16" i="3"/>
  <c r="E17" i="3"/>
  <c r="E5" i="3"/>
  <c r="D5" i="3"/>
  <c r="D7" i="3"/>
  <c r="D8" i="3"/>
  <c r="D9" i="3"/>
  <c r="D10" i="3"/>
  <c r="D11" i="3"/>
  <c r="D12" i="3"/>
  <c r="D13" i="3"/>
  <c r="D14" i="3"/>
  <c r="D15" i="3"/>
  <c r="D16" i="3"/>
  <c r="D17" i="3"/>
  <c r="D6" i="3"/>
  <c r="L5" i="3" a="1"/>
  <c r="D200" i="18" l="1"/>
  <c r="E177" i="18"/>
  <c r="F177" i="18"/>
  <c r="F178" i="18"/>
  <c r="E178" i="18"/>
  <c r="F179" i="18"/>
  <c r="E179" i="18"/>
  <c r="F180" i="18"/>
  <c r="E180" i="18"/>
  <c r="F181" i="18"/>
  <c r="E181" i="18"/>
  <c r="F182" i="18"/>
  <c r="E182" i="18"/>
  <c r="F183" i="18"/>
  <c r="E183" i="18"/>
  <c r="E184" i="18"/>
  <c r="F184" i="18"/>
  <c r="F185" i="18"/>
  <c r="E185" i="18"/>
  <c r="F176" i="18"/>
  <c r="E176" i="18"/>
  <c r="E46" i="12" a="1"/>
  <c r="E47" i="12" a="1"/>
  <c r="E45" i="12" a="1"/>
  <c r="M6" i="3"/>
  <c r="M7" i="3"/>
  <c r="M8" i="3"/>
  <c r="M9" i="3"/>
  <c r="M10" i="3"/>
  <c r="M11" i="3"/>
  <c r="M12" i="3"/>
  <c r="M13" i="3"/>
  <c r="M14" i="3"/>
  <c r="M15" i="3"/>
  <c r="M16" i="3"/>
  <c r="M17" i="3"/>
  <c r="M18" i="3"/>
  <c r="M19" i="3"/>
  <c r="M20" i="3"/>
  <c r="M21" i="3"/>
  <c r="M22" i="3"/>
  <c r="M23" i="3"/>
  <c r="M24" i="3"/>
  <c r="M25" i="3"/>
  <c r="M26" i="3"/>
  <c r="M27" i="3"/>
  <c r="M28" i="3"/>
  <c r="M29" i="3"/>
  <c r="N6" i="3"/>
  <c r="N7" i="3"/>
  <c r="N8" i="3"/>
  <c r="N9" i="3"/>
  <c r="N10" i="3"/>
  <c r="N11" i="3"/>
  <c r="N12" i="3"/>
  <c r="N13" i="3"/>
  <c r="N14" i="3"/>
  <c r="N15" i="3"/>
  <c r="N16" i="3"/>
  <c r="N17" i="3"/>
  <c r="N18" i="3"/>
  <c r="N19" i="3"/>
  <c r="N20" i="3"/>
  <c r="N21" i="3"/>
  <c r="N22" i="3"/>
  <c r="N23" i="3"/>
  <c r="N24" i="3"/>
  <c r="N25" i="3"/>
  <c r="N26" i="3"/>
  <c r="N27" i="3"/>
  <c r="N28" i="3"/>
  <c r="N29" i="3"/>
  <c r="V2" i="3" a="1"/>
  <c r="M5" i="3"/>
  <c r="N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148864-AF7F-40A1-A148-BB562329D3BC}" keepAlive="1" name="Query - student_mental_health_hybrid_learning2" description="Connection to the 'student_mental_health_hybrid_learning2' query in the workbook." type="5" refreshedVersion="8" background="1" saveData="1">
    <dbPr connection="Provider=Microsoft.Mashup.OleDb.1;Data Source=$Workbook$;Location=student_mental_health_hybrid_learning2;Extended Properties=&quot;&quot;" command="SELECT * FROM [student_mental_health_hybrid_learning2]"/>
  </connection>
  <connection id="2" xr16:uid="{2E8815E5-4371-4A13-8F3A-E97BA205ACCF}" keepAlive="1" name="Query - student_mental_health_hybrid_learning2 (2)" description="Connection to the 'student_mental_health_hybrid_learning2 (2)' query in the workbook." type="5" refreshedVersion="8" background="1" saveData="1">
    <dbPr connection="Provider=Microsoft.Mashup.OleDb.1;Data Source=$Workbook$;Location=&quot;student_mental_health_hybrid_learning2 (2)&quot;;Extended Properties=&quot;&quot;" command="SELECT * FROM [student_mental_health_hybrid_learning2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<sst xmlns="http://schemas.openxmlformats.org/spreadsheetml/2006/main" count="6935" uniqueCount="841">
  <si>
    <t>student_id</t>
  </si>
  <si>
    <t>age</t>
  </si>
  <si>
    <t>gender</t>
  </si>
  <si>
    <t>year_of_study</t>
  </si>
  <si>
    <t>major_category</t>
  </si>
  <si>
    <t>daily_sleep_hours</t>
  </si>
  <si>
    <t>daily_screen_time_hours</t>
  </si>
  <si>
    <t>physical_activity_days_per_week</t>
  </si>
  <si>
    <t>phq9_score</t>
  </si>
  <si>
    <t>gad7_score</t>
  </si>
  <si>
    <t>perceived_stress_scale</t>
  </si>
  <si>
    <t>weekly_study_hours</t>
  </si>
  <si>
    <t>class_attendance_percent</t>
  </si>
  <si>
    <t>online_learning_satisfaction</t>
  </si>
  <si>
    <t>has_part_time_job</t>
  </si>
  <si>
    <t>financial_stress</t>
  </si>
  <si>
    <t>semester_type</t>
  </si>
  <si>
    <t>cgpa</t>
  </si>
  <si>
    <t>gender_cleaned</t>
  </si>
  <si>
    <t>STU1001</t>
  </si>
  <si>
    <t>Female</t>
  </si>
  <si>
    <t>Business</t>
  </si>
  <si>
    <t>No</t>
  </si>
  <si>
    <t>Spring</t>
  </si>
  <si>
    <t>STU1002</t>
  </si>
  <si>
    <t>M</t>
  </si>
  <si>
    <t>Fall</t>
  </si>
  <si>
    <t>Male</t>
  </si>
  <si>
    <t>STU1003</t>
  </si>
  <si>
    <t>Prefer not to say</t>
  </si>
  <si>
    <t>STEM</t>
  </si>
  <si>
    <t>STU1004</t>
  </si>
  <si>
    <t>Humanities</t>
  </si>
  <si>
    <t>Yes</t>
  </si>
  <si>
    <t>STU1005</t>
  </si>
  <si>
    <t>Arts</t>
  </si>
  <si>
    <t>STU1006</t>
  </si>
  <si>
    <t>STU1007</t>
  </si>
  <si>
    <t>STU1008</t>
  </si>
  <si>
    <t>male</t>
  </si>
  <si>
    <t>STU1009</t>
  </si>
  <si>
    <t>STU1010</t>
  </si>
  <si>
    <t>STU1011</t>
  </si>
  <si>
    <t>STU1012</t>
  </si>
  <si>
    <t>STU1013</t>
  </si>
  <si>
    <t>female</t>
  </si>
  <si>
    <t>STU1014</t>
  </si>
  <si>
    <t>Health Sciences</t>
  </si>
  <si>
    <t>STU1015</t>
  </si>
  <si>
    <t>Social Sciences</t>
  </si>
  <si>
    <t>STU1016</t>
  </si>
  <si>
    <t>Summer</t>
  </si>
  <si>
    <t>STU1017</t>
  </si>
  <si>
    <t>STU1018</t>
  </si>
  <si>
    <t>STU1019</t>
  </si>
  <si>
    <t>STU1020</t>
  </si>
  <si>
    <t>STU1021</t>
  </si>
  <si>
    <t>STU1022</t>
  </si>
  <si>
    <t>STU1023</t>
  </si>
  <si>
    <t>STU1024</t>
  </si>
  <si>
    <t>STU1025</t>
  </si>
  <si>
    <t>Non-binary</t>
  </si>
  <si>
    <t>STU1026</t>
  </si>
  <si>
    <t>Law</t>
  </si>
  <si>
    <t>STU1027</t>
  </si>
  <si>
    <t>STU1028</t>
  </si>
  <si>
    <t>STU1029</t>
  </si>
  <si>
    <t>STU1030</t>
  </si>
  <si>
    <t>STU1031</t>
  </si>
  <si>
    <t>STU1032</t>
  </si>
  <si>
    <t>STU1033</t>
  </si>
  <si>
    <t>STU1034</t>
  </si>
  <si>
    <t>STU1035</t>
  </si>
  <si>
    <t>STU1036</t>
  </si>
  <si>
    <t>STU1037</t>
  </si>
  <si>
    <t>STU1038</t>
  </si>
  <si>
    <t>STU1039</t>
  </si>
  <si>
    <t>STU1040</t>
  </si>
  <si>
    <t>STU1041</t>
  </si>
  <si>
    <t>STU1042</t>
  </si>
  <si>
    <t>STU1043</t>
  </si>
  <si>
    <t>STU1044</t>
  </si>
  <si>
    <t>STU1045</t>
  </si>
  <si>
    <t>STU1046</t>
  </si>
  <si>
    <t>STU1047</t>
  </si>
  <si>
    <t>STU1048</t>
  </si>
  <si>
    <t>STU1049</t>
  </si>
  <si>
    <t>STU1050</t>
  </si>
  <si>
    <t>STU1051</t>
  </si>
  <si>
    <t>STU1052</t>
  </si>
  <si>
    <t>STU1053</t>
  </si>
  <si>
    <t>STU1054</t>
  </si>
  <si>
    <t>STU1055</t>
  </si>
  <si>
    <t>STU1056</t>
  </si>
  <si>
    <t>STU1057</t>
  </si>
  <si>
    <t>STU1058</t>
  </si>
  <si>
    <t>STU1059</t>
  </si>
  <si>
    <t>STU1060</t>
  </si>
  <si>
    <t>STU1061</t>
  </si>
  <si>
    <t>STU1062</t>
  </si>
  <si>
    <t>STU1063</t>
  </si>
  <si>
    <t>STU1064</t>
  </si>
  <si>
    <t>F</t>
  </si>
  <si>
    <t>STU1065</t>
  </si>
  <si>
    <t>STU1066</t>
  </si>
  <si>
    <t>STU1067</t>
  </si>
  <si>
    <t>STU1068</t>
  </si>
  <si>
    <t>STU1069</t>
  </si>
  <si>
    <t>STU1070</t>
  </si>
  <si>
    <t>STU1071</t>
  </si>
  <si>
    <t>STU1072</t>
  </si>
  <si>
    <t>STU1073</t>
  </si>
  <si>
    <t>STU1074</t>
  </si>
  <si>
    <t>STU1075</t>
  </si>
  <si>
    <t>STU1076</t>
  </si>
  <si>
    <t>STU1077</t>
  </si>
  <si>
    <t>STU1078</t>
  </si>
  <si>
    <t>STU1079</t>
  </si>
  <si>
    <t>STU1080</t>
  </si>
  <si>
    <t>STU1081</t>
  </si>
  <si>
    <t>STU1082</t>
  </si>
  <si>
    <t>STU1083</t>
  </si>
  <si>
    <t>STU1084</t>
  </si>
  <si>
    <t>STU1085</t>
  </si>
  <si>
    <t>STU1086</t>
  </si>
  <si>
    <t>STU1087</t>
  </si>
  <si>
    <t>STU1088</t>
  </si>
  <si>
    <t>STU1089</t>
  </si>
  <si>
    <t>STU1090</t>
  </si>
  <si>
    <t>STU1091</t>
  </si>
  <si>
    <t>STU1092</t>
  </si>
  <si>
    <t>STU1093</t>
  </si>
  <si>
    <t>STU1094</t>
  </si>
  <si>
    <t>STU1095</t>
  </si>
  <si>
    <t>STU1096</t>
  </si>
  <si>
    <t>STU1097</t>
  </si>
  <si>
    <t>STU1098</t>
  </si>
  <si>
    <t>STU1099</t>
  </si>
  <si>
    <t>STU1100</t>
  </si>
  <si>
    <t>STU1101</t>
  </si>
  <si>
    <t>STU1102</t>
  </si>
  <si>
    <t>STU1103</t>
  </si>
  <si>
    <t>STU1104</t>
  </si>
  <si>
    <t>STU1105</t>
  </si>
  <si>
    <t>STU1106</t>
  </si>
  <si>
    <t>STU1107</t>
  </si>
  <si>
    <t>STU1108</t>
  </si>
  <si>
    <t>STU1109</t>
  </si>
  <si>
    <t>STU1110</t>
  </si>
  <si>
    <t>STU1111</t>
  </si>
  <si>
    <t>STU1112</t>
  </si>
  <si>
    <t>STU1113</t>
  </si>
  <si>
    <t>STU1114</t>
  </si>
  <si>
    <t>STU1115</t>
  </si>
  <si>
    <t>STU1116</t>
  </si>
  <si>
    <t>STU1117</t>
  </si>
  <si>
    <t>STU1118</t>
  </si>
  <si>
    <t>STU1119</t>
  </si>
  <si>
    <t>STU1120</t>
  </si>
  <si>
    <t>STU1121</t>
  </si>
  <si>
    <t>STU1122</t>
  </si>
  <si>
    <t>STU1123</t>
  </si>
  <si>
    <t>STU1124</t>
  </si>
  <si>
    <t>STU1125</t>
  </si>
  <si>
    <t>STU1126</t>
  </si>
  <si>
    <t>STU1127</t>
  </si>
  <si>
    <t>STU1128</t>
  </si>
  <si>
    <t>STU1129</t>
  </si>
  <si>
    <t>STU1130</t>
  </si>
  <si>
    <t>STU1131</t>
  </si>
  <si>
    <t>STU1132</t>
  </si>
  <si>
    <t>STU1133</t>
  </si>
  <si>
    <t>STU1134</t>
  </si>
  <si>
    <t>STU1135</t>
  </si>
  <si>
    <t>STU1136</t>
  </si>
  <si>
    <t>STU1137</t>
  </si>
  <si>
    <t>STU1138</t>
  </si>
  <si>
    <t>STU1139</t>
  </si>
  <si>
    <t>STU1140</t>
  </si>
  <si>
    <t>STU1141</t>
  </si>
  <si>
    <t>STU1142</t>
  </si>
  <si>
    <t>STU1143</t>
  </si>
  <si>
    <t>STU1144</t>
  </si>
  <si>
    <t>STU1145</t>
  </si>
  <si>
    <t>STU1146</t>
  </si>
  <si>
    <t>STU1147</t>
  </si>
  <si>
    <t>STU1148</t>
  </si>
  <si>
    <t>STU1149</t>
  </si>
  <si>
    <t>STU1150</t>
  </si>
  <si>
    <t>STU1151</t>
  </si>
  <si>
    <t>STU1152</t>
  </si>
  <si>
    <t>STU1153</t>
  </si>
  <si>
    <t>STU1154</t>
  </si>
  <si>
    <t>STU1155</t>
  </si>
  <si>
    <t>STU1156</t>
  </si>
  <si>
    <t>STU1157</t>
  </si>
  <si>
    <t>STU1158</t>
  </si>
  <si>
    <t>STU1159</t>
  </si>
  <si>
    <t>STU1160</t>
  </si>
  <si>
    <t>STU1161</t>
  </si>
  <si>
    <t>STU1162</t>
  </si>
  <si>
    <t>STU1163</t>
  </si>
  <si>
    <t>STU1164</t>
  </si>
  <si>
    <t>STU1165</t>
  </si>
  <si>
    <t>STU1166</t>
  </si>
  <si>
    <t>STU1167</t>
  </si>
  <si>
    <t>STU1168</t>
  </si>
  <si>
    <t>STU1169</t>
  </si>
  <si>
    <t>STU1170</t>
  </si>
  <si>
    <t>STU1171</t>
  </si>
  <si>
    <t>STU1172</t>
  </si>
  <si>
    <t>STU1173</t>
  </si>
  <si>
    <t>STU1174</t>
  </si>
  <si>
    <t>STU1175</t>
  </si>
  <si>
    <t>STU1176</t>
  </si>
  <si>
    <t>STU1177</t>
  </si>
  <si>
    <t>STU1178</t>
  </si>
  <si>
    <t>STU1179</t>
  </si>
  <si>
    <t>STU1180</t>
  </si>
  <si>
    <t>STU1181</t>
  </si>
  <si>
    <t>STU1182</t>
  </si>
  <si>
    <t>STU1183</t>
  </si>
  <si>
    <t>STU1184</t>
  </si>
  <si>
    <t>STU1185</t>
  </si>
  <si>
    <t>STU1186</t>
  </si>
  <si>
    <t>STU1187</t>
  </si>
  <si>
    <t>STU1188</t>
  </si>
  <si>
    <t>STU1189</t>
  </si>
  <si>
    <t>STU1190</t>
  </si>
  <si>
    <t>STU1191</t>
  </si>
  <si>
    <t>STU1192</t>
  </si>
  <si>
    <t>STU1193</t>
  </si>
  <si>
    <t>STU1194</t>
  </si>
  <si>
    <t>STU1195</t>
  </si>
  <si>
    <t>STU1196</t>
  </si>
  <si>
    <t>STU1197</t>
  </si>
  <si>
    <t>STU1198</t>
  </si>
  <si>
    <t>STU1199</t>
  </si>
  <si>
    <t>STU1200</t>
  </si>
  <si>
    <t>STU1201</t>
  </si>
  <si>
    <t>STU1202</t>
  </si>
  <si>
    <t>STU1203</t>
  </si>
  <si>
    <t>STU1204</t>
  </si>
  <si>
    <t>STU1205</t>
  </si>
  <si>
    <t>STU1206</t>
  </si>
  <si>
    <t>STU1207</t>
  </si>
  <si>
    <t>STU1208</t>
  </si>
  <si>
    <t>STU1209</t>
  </si>
  <si>
    <t>STU1210</t>
  </si>
  <si>
    <t>STU1211</t>
  </si>
  <si>
    <t>STU1212</t>
  </si>
  <si>
    <t>STU1213</t>
  </si>
  <si>
    <t>STU1214</t>
  </si>
  <si>
    <t>STU1215</t>
  </si>
  <si>
    <t>STU1216</t>
  </si>
  <si>
    <t>STU1217</t>
  </si>
  <si>
    <t>STU1218</t>
  </si>
  <si>
    <t>STU1219</t>
  </si>
  <si>
    <t>STU1220</t>
  </si>
  <si>
    <t>STU1221</t>
  </si>
  <si>
    <t>STU1222</t>
  </si>
  <si>
    <t>STU1223</t>
  </si>
  <si>
    <t>STU1224</t>
  </si>
  <si>
    <t>STU1225</t>
  </si>
  <si>
    <t>STU1226</t>
  </si>
  <si>
    <t>STU1227</t>
  </si>
  <si>
    <t>STU1228</t>
  </si>
  <si>
    <t>STU1229</t>
  </si>
  <si>
    <t>STU1230</t>
  </si>
  <si>
    <t>STU1231</t>
  </si>
  <si>
    <t>STU1232</t>
  </si>
  <si>
    <t>STU1233</t>
  </si>
  <si>
    <t>STU1234</t>
  </si>
  <si>
    <t>STU1235</t>
  </si>
  <si>
    <t>STU1236</t>
  </si>
  <si>
    <t>STU1237</t>
  </si>
  <si>
    <t>STU1238</t>
  </si>
  <si>
    <t>STU1239</t>
  </si>
  <si>
    <t>STU1240</t>
  </si>
  <si>
    <t>STU1241</t>
  </si>
  <si>
    <t>STU1242</t>
  </si>
  <si>
    <t>STU1243</t>
  </si>
  <si>
    <t>STU1244</t>
  </si>
  <si>
    <t>STU1245</t>
  </si>
  <si>
    <t>STU1246</t>
  </si>
  <si>
    <t>STU1247</t>
  </si>
  <si>
    <t>STU1248</t>
  </si>
  <si>
    <t>STU1249</t>
  </si>
  <si>
    <t>STU1250</t>
  </si>
  <si>
    <t>STU1251</t>
  </si>
  <si>
    <t>STU1252</t>
  </si>
  <si>
    <t>STU1253</t>
  </si>
  <si>
    <t>STU1254</t>
  </si>
  <si>
    <t>STU1255</t>
  </si>
  <si>
    <t>STU1256</t>
  </si>
  <si>
    <t>STU1257</t>
  </si>
  <si>
    <t>STU1258</t>
  </si>
  <si>
    <t>STU1259</t>
  </si>
  <si>
    <t>STU1260</t>
  </si>
  <si>
    <t>STU1261</t>
  </si>
  <si>
    <t>STU1262</t>
  </si>
  <si>
    <t>STU1263</t>
  </si>
  <si>
    <t>STU1264</t>
  </si>
  <si>
    <t>STU1265</t>
  </si>
  <si>
    <t>STU1266</t>
  </si>
  <si>
    <t>STU1267</t>
  </si>
  <si>
    <t>STU1268</t>
  </si>
  <si>
    <t>STU1269</t>
  </si>
  <si>
    <t>STU1270</t>
  </si>
  <si>
    <t>STU1271</t>
  </si>
  <si>
    <t>STU1272</t>
  </si>
  <si>
    <t>STU1273</t>
  </si>
  <si>
    <t>STU1274</t>
  </si>
  <si>
    <t>STU1275</t>
  </si>
  <si>
    <t>STU1276</t>
  </si>
  <si>
    <t>STU1277</t>
  </si>
  <si>
    <t>STU1278</t>
  </si>
  <si>
    <t>STU1279</t>
  </si>
  <si>
    <t>STU1280</t>
  </si>
  <si>
    <t>STU1281</t>
  </si>
  <si>
    <t>STU1282</t>
  </si>
  <si>
    <t>STU1283</t>
  </si>
  <si>
    <t>STU1284</t>
  </si>
  <si>
    <t>STU1285</t>
  </si>
  <si>
    <t>STU1286</t>
  </si>
  <si>
    <t>STU1287</t>
  </si>
  <si>
    <t>STU1288</t>
  </si>
  <si>
    <t>STU1289</t>
  </si>
  <si>
    <t>STU1290</t>
  </si>
  <si>
    <t>STU1291</t>
  </si>
  <si>
    <t>STU1292</t>
  </si>
  <si>
    <t>STU1293</t>
  </si>
  <si>
    <t>STU1294</t>
  </si>
  <si>
    <t>STU1295</t>
  </si>
  <si>
    <t>STU1296</t>
  </si>
  <si>
    <t>STU1297</t>
  </si>
  <si>
    <t>STU1298</t>
  </si>
  <si>
    <t>STU1299</t>
  </si>
  <si>
    <t>STU1300</t>
  </si>
  <si>
    <t>STU1301</t>
  </si>
  <si>
    <t>STU1302</t>
  </si>
  <si>
    <t>STU1303</t>
  </si>
  <si>
    <t>STU1304</t>
  </si>
  <si>
    <t>STU1305</t>
  </si>
  <si>
    <t>STU1306</t>
  </si>
  <si>
    <t>STU1307</t>
  </si>
  <si>
    <t>STU1308</t>
  </si>
  <si>
    <t>STU1309</t>
  </si>
  <si>
    <t>STU1310</t>
  </si>
  <si>
    <t>STU1311</t>
  </si>
  <si>
    <t>STU1312</t>
  </si>
  <si>
    <t>STU1313</t>
  </si>
  <si>
    <t>STU1314</t>
  </si>
  <si>
    <t>STU1315</t>
  </si>
  <si>
    <t>STU1316</t>
  </si>
  <si>
    <t>STU1317</t>
  </si>
  <si>
    <t>STU1318</t>
  </si>
  <si>
    <t>STU1319</t>
  </si>
  <si>
    <t>STU1320</t>
  </si>
  <si>
    <t>STU1321</t>
  </si>
  <si>
    <t>STU1322</t>
  </si>
  <si>
    <t>STU1323</t>
  </si>
  <si>
    <t>STU1324</t>
  </si>
  <si>
    <t>STU1325</t>
  </si>
  <si>
    <t>STU1326</t>
  </si>
  <si>
    <t>STU1327</t>
  </si>
  <si>
    <t>STU1328</t>
  </si>
  <si>
    <t>STU1329</t>
  </si>
  <si>
    <t>STU1330</t>
  </si>
  <si>
    <t>STU1331</t>
  </si>
  <si>
    <t>STU1332</t>
  </si>
  <si>
    <t>STU1333</t>
  </si>
  <si>
    <t>STU1334</t>
  </si>
  <si>
    <t>STU1335</t>
  </si>
  <si>
    <t>STU1336</t>
  </si>
  <si>
    <t>STU1337</t>
  </si>
  <si>
    <t>STU1338</t>
  </si>
  <si>
    <t>STU1339</t>
  </si>
  <si>
    <t>STU1340</t>
  </si>
  <si>
    <t>STU1341</t>
  </si>
  <si>
    <t>STU1342</t>
  </si>
  <si>
    <t>STU1343</t>
  </si>
  <si>
    <t>STU1344</t>
  </si>
  <si>
    <t>STU1345</t>
  </si>
  <si>
    <t>STU1346</t>
  </si>
  <si>
    <t>STU1347</t>
  </si>
  <si>
    <t>STU1348</t>
  </si>
  <si>
    <t>STU1349</t>
  </si>
  <si>
    <t>STU1350</t>
  </si>
  <si>
    <t>STU1351</t>
  </si>
  <si>
    <t>STU1352</t>
  </si>
  <si>
    <t>STU1353</t>
  </si>
  <si>
    <t>STU1354</t>
  </si>
  <si>
    <t>STU1355</t>
  </si>
  <si>
    <t>STU1356</t>
  </si>
  <si>
    <t>STU1357</t>
  </si>
  <si>
    <t>STU1358</t>
  </si>
  <si>
    <t>STU1359</t>
  </si>
  <si>
    <t>STU1360</t>
  </si>
  <si>
    <t>STU1361</t>
  </si>
  <si>
    <t>STU1362</t>
  </si>
  <si>
    <t>STU1363</t>
  </si>
  <si>
    <t>STU1364</t>
  </si>
  <si>
    <t>STU1365</t>
  </si>
  <si>
    <t>STU1366</t>
  </si>
  <si>
    <t>STU1367</t>
  </si>
  <si>
    <t>STU1368</t>
  </si>
  <si>
    <t>STU1369</t>
  </si>
  <si>
    <t>STU1370</t>
  </si>
  <si>
    <t>STU1371</t>
  </si>
  <si>
    <t>STU1372</t>
  </si>
  <si>
    <t>STU1373</t>
  </si>
  <si>
    <t>STU1374</t>
  </si>
  <si>
    <t>STU1375</t>
  </si>
  <si>
    <t>STU1376</t>
  </si>
  <si>
    <t>STU1377</t>
  </si>
  <si>
    <t>STU1378</t>
  </si>
  <si>
    <t>STU1379</t>
  </si>
  <si>
    <t>STU1380</t>
  </si>
  <si>
    <t>STU1381</t>
  </si>
  <si>
    <t>STU1382</t>
  </si>
  <si>
    <t>STU1383</t>
  </si>
  <si>
    <t>STU1384</t>
  </si>
  <si>
    <t>STU1385</t>
  </si>
  <si>
    <t>STU1386</t>
  </si>
  <si>
    <t>STU1387</t>
  </si>
  <si>
    <t>STU1388</t>
  </si>
  <si>
    <t>STU1389</t>
  </si>
  <si>
    <t>STU1390</t>
  </si>
  <si>
    <t>STU1391</t>
  </si>
  <si>
    <t>STU1392</t>
  </si>
  <si>
    <t>STU1393</t>
  </si>
  <si>
    <t>STU1394</t>
  </si>
  <si>
    <t>STU1395</t>
  </si>
  <si>
    <t>STU1396</t>
  </si>
  <si>
    <t>STU1397</t>
  </si>
  <si>
    <t>STU1398</t>
  </si>
  <si>
    <t>STU1399</t>
  </si>
  <si>
    <t>STU1400</t>
  </si>
  <si>
    <t>STU1401</t>
  </si>
  <si>
    <t>STU1402</t>
  </si>
  <si>
    <t>STU1403</t>
  </si>
  <si>
    <t>STU1404</t>
  </si>
  <si>
    <t>STU1405</t>
  </si>
  <si>
    <t>STU1406</t>
  </si>
  <si>
    <t>STU1407</t>
  </si>
  <si>
    <t>STU1408</t>
  </si>
  <si>
    <t>STU1409</t>
  </si>
  <si>
    <t>STU1410</t>
  </si>
  <si>
    <t>STU1411</t>
  </si>
  <si>
    <t>STU1412</t>
  </si>
  <si>
    <t>STU1413</t>
  </si>
  <si>
    <t>STU1414</t>
  </si>
  <si>
    <t>STU1415</t>
  </si>
  <si>
    <t>STU1416</t>
  </si>
  <si>
    <t>STU1417</t>
  </si>
  <si>
    <t>STU1418</t>
  </si>
  <si>
    <t>STU1419</t>
  </si>
  <si>
    <t>STU1420</t>
  </si>
  <si>
    <t>STU1421</t>
  </si>
  <si>
    <t>STU1422</t>
  </si>
  <si>
    <t>STU1423</t>
  </si>
  <si>
    <t>STU1424</t>
  </si>
  <si>
    <t>STU1425</t>
  </si>
  <si>
    <t>STU1426</t>
  </si>
  <si>
    <t>STU1427</t>
  </si>
  <si>
    <t>STU1428</t>
  </si>
  <si>
    <t>STU1429</t>
  </si>
  <si>
    <t>STU1430</t>
  </si>
  <si>
    <t>STU1431</t>
  </si>
  <si>
    <t>STU1432</t>
  </si>
  <si>
    <t>STU1433</t>
  </si>
  <si>
    <t>STU1434</t>
  </si>
  <si>
    <t>STU1435</t>
  </si>
  <si>
    <t>STU1436</t>
  </si>
  <si>
    <t>STU1437</t>
  </si>
  <si>
    <t>STU1438</t>
  </si>
  <si>
    <t>STU1439</t>
  </si>
  <si>
    <t>STU1440</t>
  </si>
  <si>
    <t>STU1441</t>
  </si>
  <si>
    <t>STU1442</t>
  </si>
  <si>
    <t>STU1443</t>
  </si>
  <si>
    <t>STU1444</t>
  </si>
  <si>
    <t>STU1445</t>
  </si>
  <si>
    <t>STU1446</t>
  </si>
  <si>
    <t>STU1447</t>
  </si>
  <si>
    <t>STU1448</t>
  </si>
  <si>
    <t>STU1449</t>
  </si>
  <si>
    <t>STU1450</t>
  </si>
  <si>
    <t>STU1451</t>
  </si>
  <si>
    <t>STU1452</t>
  </si>
  <si>
    <t>STU1453</t>
  </si>
  <si>
    <t>STU1454</t>
  </si>
  <si>
    <t>STU1455</t>
  </si>
  <si>
    <t>STU1456</t>
  </si>
  <si>
    <t>STU1457</t>
  </si>
  <si>
    <t>STU1458</t>
  </si>
  <si>
    <t>STU1459</t>
  </si>
  <si>
    <t>STU1460</t>
  </si>
  <si>
    <t>STU1461</t>
  </si>
  <si>
    <t>STU1462</t>
  </si>
  <si>
    <t>STU1463</t>
  </si>
  <si>
    <t>STU1464</t>
  </si>
  <si>
    <t>STU1465</t>
  </si>
  <si>
    <t>STU1466</t>
  </si>
  <si>
    <t>STU1467</t>
  </si>
  <si>
    <t>STU1468</t>
  </si>
  <si>
    <t>STU1469</t>
  </si>
  <si>
    <t>STU1470</t>
  </si>
  <si>
    <t>STU1471</t>
  </si>
  <si>
    <t>STU1472</t>
  </si>
  <si>
    <t>STU1473</t>
  </si>
  <si>
    <t>STU1474</t>
  </si>
  <si>
    <t>STU1475</t>
  </si>
  <si>
    <t>STU1476</t>
  </si>
  <si>
    <t>STU1477</t>
  </si>
  <si>
    <t>STU1478</t>
  </si>
  <si>
    <t>STU1479</t>
  </si>
  <si>
    <t>STU1480</t>
  </si>
  <si>
    <t>STU1481</t>
  </si>
  <si>
    <t>STU1482</t>
  </si>
  <si>
    <t>STU1483</t>
  </si>
  <si>
    <t>STU1484</t>
  </si>
  <si>
    <t>STU1485</t>
  </si>
  <si>
    <t>STU1486</t>
  </si>
  <si>
    <t>STU1487</t>
  </si>
  <si>
    <t>STU1488</t>
  </si>
  <si>
    <t>STU1489</t>
  </si>
  <si>
    <t>STU1490</t>
  </si>
  <si>
    <t>STU1491</t>
  </si>
  <si>
    <t>STU1492</t>
  </si>
  <si>
    <t>STU1493</t>
  </si>
  <si>
    <t>STU1494</t>
  </si>
  <si>
    <t>STU1495</t>
  </si>
  <si>
    <t>STU1496</t>
  </si>
  <si>
    <t>STU1497</t>
  </si>
  <si>
    <t>STU1498</t>
  </si>
  <si>
    <t>STU1499</t>
  </si>
  <si>
    <t>STU1500</t>
  </si>
  <si>
    <t>phq9_score_category</t>
  </si>
  <si>
    <t>gad7_score_interpretation</t>
  </si>
  <si>
    <t>pss_category</t>
  </si>
  <si>
    <t>Row Labels</t>
  </si>
  <si>
    <t>Grand Total</t>
  </si>
  <si>
    <t>Count of student_id</t>
  </si>
  <si>
    <t>Average of phq9_score</t>
  </si>
  <si>
    <t>Average of gad7_score</t>
  </si>
  <si>
    <t>Average of perceived_stress_scale</t>
  </si>
  <si>
    <t>Average of daily_screen_time_hours</t>
  </si>
  <si>
    <t>Average of daily_sleep_hours</t>
  </si>
  <si>
    <t>Average of weekly_study_hours</t>
  </si>
  <si>
    <t>Year 1</t>
  </si>
  <si>
    <t>Year 2</t>
  </si>
  <si>
    <t>Year 3</t>
  </si>
  <si>
    <t>Year 4</t>
  </si>
  <si>
    <t>Year 5</t>
  </si>
  <si>
    <t>Answer Not Provided</t>
  </si>
  <si>
    <t>Mild</t>
  </si>
  <si>
    <t>Minimal</t>
  </si>
  <si>
    <t>Moderate</t>
  </si>
  <si>
    <t>Moderately Severe</t>
  </si>
  <si>
    <t>Severe</t>
  </si>
  <si>
    <t>High Stress</t>
  </si>
  <si>
    <t>Low Stress</t>
  </si>
  <si>
    <t>Moderate Stress</t>
  </si>
  <si>
    <t>Student Mental Health - Hybrid Learning</t>
  </si>
  <si>
    <t>screen_time_band</t>
  </si>
  <si>
    <t>sleep_hour_band</t>
  </si>
  <si>
    <t>attendance_band</t>
  </si>
  <si>
    <t>Variable</t>
  </si>
  <si>
    <t>Percentage of Missing</t>
  </si>
  <si>
    <t>Count of Missing</t>
  </si>
  <si>
    <t>Basic Data Summary and Quality Check</t>
  </si>
  <si>
    <t>Descriptive Stats of data</t>
  </si>
  <si>
    <t>Missing Check for Data</t>
  </si>
  <si>
    <t>Mean</t>
  </si>
  <si>
    <t>Median</t>
  </si>
  <si>
    <t>Std Dev</t>
  </si>
  <si>
    <t>Min</t>
  </si>
  <si>
    <t>Q1</t>
  </si>
  <si>
    <t>Q3</t>
  </si>
  <si>
    <t>Max</t>
  </si>
  <si>
    <t>Standard Error</t>
  </si>
  <si>
    <t>Total Count</t>
  </si>
  <si>
    <t>PH9-category</t>
  </si>
  <si>
    <t>Percentage</t>
  </si>
  <si>
    <t>GAD7-category</t>
  </si>
  <si>
    <t>PSS-category</t>
  </si>
  <si>
    <t>By gender</t>
  </si>
  <si>
    <t>By Major</t>
  </si>
  <si>
    <t>By Study Year</t>
  </si>
  <si>
    <t>By Part-time Job</t>
  </si>
  <si>
    <t>By Semester Type</t>
  </si>
  <si>
    <t>Average of online_learning_satisfaction</t>
  </si>
  <si>
    <t>Average of cgpa</t>
  </si>
  <si>
    <t>Average Mental Health Factors by Major</t>
  </si>
  <si>
    <t>student_id Count</t>
  </si>
  <si>
    <t>Average phq9_score</t>
  </si>
  <si>
    <t>Average gad7_score</t>
  </si>
  <si>
    <t>Average daily_sleep_hours</t>
  </si>
  <si>
    <t>Average daily_screen_time_hours</t>
  </si>
  <si>
    <t>Average perceived_stress_scale</t>
  </si>
  <si>
    <t>Average weekly_study_hours</t>
  </si>
  <si>
    <t>Average online_learning_satisfaction</t>
  </si>
  <si>
    <t>Average cgpa</t>
  </si>
  <si>
    <t>Dashboard</t>
  </si>
  <si>
    <t>Student Count in the Survey</t>
  </si>
  <si>
    <t>(blank)</t>
  </si>
  <si>
    <t>Students showing high mental health symptoms</t>
  </si>
  <si>
    <t>Depression</t>
  </si>
  <si>
    <t>Anxiety</t>
  </si>
  <si>
    <t>Stress</t>
  </si>
  <si>
    <t>Students with Severe Anxiety</t>
  </si>
  <si>
    <t>Students with Severe Depression</t>
  </si>
  <si>
    <t>Students with Severe Stress</t>
  </si>
  <si>
    <t>Average of physical_activity_days_per_week</t>
  </si>
  <si>
    <t>* it Is important to note that PHQ9, GAD7 and PPS scores are screening measures and not a diagnosis.</t>
  </si>
  <si>
    <t>Mental Health Metrics &amp; Distribution</t>
  </si>
  <si>
    <t>Interpretation as:</t>
  </si>
  <si>
    <t>+0.70 to +1</t>
  </si>
  <si>
    <t>Strong positive</t>
  </si>
  <si>
    <t>+0.40 to +0.69</t>
  </si>
  <si>
    <t>Moderate positive</t>
  </si>
  <si>
    <t>+0.20 to +0.39</t>
  </si>
  <si>
    <t>Weak positive</t>
  </si>
  <si>
    <t>-0.19 to +0.19</t>
  </si>
  <si>
    <t>Very weak</t>
  </si>
  <si>
    <t>-0.20 to -0.39</t>
  </si>
  <si>
    <t>Weak negative</t>
  </si>
  <si>
    <t>-0.40 to -0.69</t>
  </si>
  <si>
    <t>Moderate negative</t>
  </si>
  <si>
    <t>-0.70 to -1</t>
  </si>
  <si>
    <t>Strong negative</t>
  </si>
  <si>
    <t>Correlation</t>
  </si>
  <si>
    <t>Interpretation</t>
  </si>
  <si>
    <t>GAD-7, PHQ-9 and PSS have strong relationship as the key mental health relationships</t>
  </si>
  <si>
    <t>CGPA has shown positive relationship with study hours and Attendance but negative relationships with mental health factors.</t>
  </si>
  <si>
    <t>Weekly Study Hours to Physical Activity</t>
  </si>
  <si>
    <t>Daily Sleep to Screen Time</t>
  </si>
  <si>
    <t>Affect of part-time job with studies</t>
  </si>
  <si>
    <t>Severe Anxiety</t>
  </si>
  <si>
    <t>Moderately &amp; Severe Depression</t>
  </si>
  <si>
    <t>Average Online Learning Satisfcation</t>
  </si>
  <si>
    <t>Total</t>
  </si>
  <si>
    <t>ANOVA</t>
  </si>
  <si>
    <t>SS</t>
  </si>
  <si>
    <t>df</t>
  </si>
  <si>
    <t>MS</t>
  </si>
  <si>
    <t>P-value</t>
  </si>
  <si>
    <t>Depression, anxiety and perceived stress show strong positive associations, suggesting that these dimensions of mental-health burden tend to co-occur among students in the sample.</t>
  </si>
  <si>
    <t>Students with higher anxiety, depression and perceived stress scores tend to have lower CGPAs; Higher mental-health burden → generally lower CGPA</t>
  </si>
  <si>
    <t>Academic behaviour is positively associated with CGPA, while mental-health scores are negatively associated with CGPA.</t>
  </si>
  <si>
    <t>Recreational screen time shows negligible linear associations with depression, anxiety and perceived stress in this sample</t>
  </si>
  <si>
    <t>Physical activity frequency does not show a meaningful linear relationship with mental-health scores or CGPA in this sample</t>
  </si>
  <si>
    <t>Correlation Matrix (Pearson)</t>
  </si>
  <si>
    <t>PHQ-9</t>
  </si>
  <si>
    <t>GAD-7</t>
  </si>
  <si>
    <t>PSS-10</t>
  </si>
  <si>
    <t>Mental Health Factors show strong correlation</t>
  </si>
  <si>
    <t>SUMMARY OUTPUT</t>
  </si>
  <si>
    <t>Regression Statistics</t>
  </si>
  <si>
    <t>Multiple R</t>
  </si>
  <si>
    <t>R Square</t>
  </si>
  <si>
    <t>Adjusted R Square</t>
  </si>
  <si>
    <t>Observations</t>
  </si>
  <si>
    <t>Regression</t>
  </si>
  <si>
    <t>Residual</t>
  </si>
  <si>
    <t>Intercept</t>
  </si>
  <si>
    <t>Significance F</t>
  </si>
  <si>
    <t>Coefficients</t>
  </si>
  <si>
    <t>t Stat</t>
  </si>
  <si>
    <t>Lower 95%</t>
  </si>
  <si>
    <t>Upper 95%</t>
  </si>
  <si>
    <t>Lower 95.0%</t>
  </si>
  <si>
    <t>Upper 95.0%</t>
  </si>
  <si>
    <t>Predictor</t>
  </si>
  <si>
    <t>R²</t>
  </si>
  <si>
    <t>VIF</t>
  </si>
  <si>
    <t>Model</t>
  </si>
  <si>
    <t>Dependent variable</t>
  </si>
  <si>
    <t>Predictors</t>
  </si>
  <si>
    <t>Model 1</t>
  </si>
  <si>
    <t>CGPA</t>
  </si>
  <si>
    <t>PHQ-9 + GAD-7 + PSS-10</t>
  </si>
  <si>
    <t>Model 1A</t>
  </si>
  <si>
    <t>Model 1B</t>
  </si>
  <si>
    <t>Model 1C</t>
  </si>
  <si>
    <t>Model 2</t>
  </si>
  <si>
    <t>PHQ-9 + GAD-7 + PSS-10 + academic/lifestyle controls</t>
  </si>
  <si>
    <t>Regression with PHQ-9 as Y</t>
  </si>
  <si>
    <t>Regression with PSS-10 as Y</t>
  </si>
  <si>
    <t>Regression withGAD-7 as Y</t>
  </si>
  <si>
    <t>Model Structure</t>
  </si>
  <si>
    <t>part_time_job_binary</t>
  </si>
  <si>
    <t>Average of year_of_study</t>
  </si>
  <si>
    <t>For Model 1</t>
  </si>
  <si>
    <t>VIF Check</t>
  </si>
  <si>
    <t>Metric</t>
  </si>
  <si>
    <t>Value</t>
  </si>
  <si>
    <t>Original records</t>
  </si>
  <si>
    <t>Regression observations</t>
  </si>
  <si>
    <t>Analysis type</t>
  </si>
  <si>
    <t>Complete-case</t>
  </si>
  <si>
    <t>Analytical Sample</t>
  </si>
  <si>
    <t>Multicollinearity</t>
  </si>
  <si>
    <t>Individual Mental-Health Models</t>
  </si>
  <si>
    <t>β</t>
  </si>
  <si>
    <t>p-value</t>
  </si>
  <si>
    <t>1A</t>
  </si>
  <si>
    <t>−0.0237</t>
  </si>
  <si>
    <t>&lt;0.001</t>
  </si>
  <si>
    <t>1B</t>
  </si>
  <si>
    <t>−0.0329</t>
  </si>
  <si>
    <t>1C</t>
  </si>
  <si>
    <t>−0.0162</t>
  </si>
  <si>
    <t>Predictor (Col name)</t>
  </si>
  <si>
    <t>Significant?</t>
  </si>
  <si>
    <t>−0.0117</t>
  </si>
  <si>
    <t>−0.0308</t>
  </si>
  <si>
    <t>Combined Mental Health Model</t>
  </si>
  <si>
    <t>The three mental-health variables collectively have a significant association with CGPA, but only GAD-7 retains a significant independent association when the three measures are modeled simultaneously.</t>
  </si>
  <si>
    <t>Sleep</t>
  </si>
  <si>
    <t>Screen time</t>
  </si>
  <si>
    <t>Physical activity</t>
  </si>
  <si>
    <t>−0.0093</t>
  </si>
  <si>
    <t>−0.0226</t>
  </si>
  <si>
    <t>Study hours</t>
  </si>
  <si>
    <t>Attendance</t>
  </si>
  <si>
    <t>Financial stress</t>
  </si>
  <si>
    <t>−0.0057</t>
  </si>
  <si>
    <t>Part-time job</t>
  </si>
  <si>
    <t>−0.1000</t>
  </si>
  <si>
    <t>p-val</t>
  </si>
  <si>
    <t>Full Model</t>
  </si>
  <si>
    <t>N</t>
  </si>
  <si>
    <t>Adjusted R²</t>
  </si>
  <si>
    <t>ΔR²</t>
  </si>
  <si>
    <t>—</t>
  </si>
  <si>
    <t>+29.67 pp</t>
  </si>
  <si>
    <t>Adding the academic and lifestyle variables increased the proportion of variation in CGPA explained by the model by 29.67 percentage points.</t>
  </si>
  <si>
    <t>All three mental-health measures individually have significant negative relationships with CGPA.</t>
  </si>
  <si>
    <t>GAD-7 has:</t>
  </si>
  <si>
    <t>strongest correlation with CGPA</t>
  </si>
  <si>
    <t>highest individual-model R²</t>
  </si>
  <si>
    <t>remains significant in the combined mental-health model</t>
  </si>
  <si>
    <t>remains significant in the full model</t>
  </si>
  <si>
    <t>So mental health clearly isn't the only factor associated with CGPA.</t>
  </si>
  <si>
    <t>Study hours and attendance are both strongly significant.</t>
  </si>
  <si>
    <t>More sleep is associated with higher CGPA after controlling for the other variables.</t>
  </si>
  <si>
    <r>
      <t xml:space="preserve">Students with part-time jobs have approximately </t>
    </r>
    <r>
      <rPr>
        <b/>
        <sz val="11"/>
        <color theme="1"/>
        <rFont val="Calibri"/>
        <family val="2"/>
        <scheme val="minor"/>
      </rPr>
      <t>0.10 lower predicted CGPA</t>
    </r>
    <r>
      <rPr>
        <sz val="11"/>
        <color theme="1"/>
        <rFont val="Calibri"/>
        <family val="2"/>
        <scheme val="minor"/>
      </rPr>
      <t>, holding the other variables constant</t>
    </r>
  </si>
  <si>
    <t>Adding them increases R² from: 11.78% → 41.46%</t>
  </si>
  <si>
    <t>Finding</t>
  </si>
  <si>
    <t>Insights</t>
  </si>
  <si>
    <t>Finding 1</t>
  </si>
  <si>
    <t>Finding 2</t>
  </si>
  <si>
    <t>Finding 3</t>
  </si>
  <si>
    <t>Finding 4</t>
  </si>
  <si>
    <t>Finding 5</t>
  </si>
  <si>
    <t>Finding 6</t>
  </si>
  <si>
    <t>Finding 7</t>
  </si>
  <si>
    <t xml:space="preserve">The VIF results support this interpretation, indicating substantial overlap among the predictors. </t>
  </si>
  <si>
    <t>Thus, their lack of significance in the combined model does not imply no relationship with academic performance, but rather that their independent effects are difficult to distinguish from anxiety and other overlapping mental-health dimensions.</t>
  </si>
  <si>
    <t>Findings</t>
  </si>
  <si>
    <t>** all the statistical output can be found in the hidden sheet 'Statistical Output'</t>
  </si>
  <si>
    <t>Mental health matters, but it is not the only factor associated with academic performance. Depression, anxiety and perceived stress each show negative associations with CGPA when examined individually. When considered together, anxiety remains the only mental-health measure with a statistically significant independent association.</t>
  </si>
  <si>
    <t>After adding academic and lifestyle factors, the model explains 41.5% of CGPA variation. Anxiety, sleep, study hours, class attendance and part-time employment show statistically significant associations with CGPA, while depression, perceived stress, screen time, physical activity and financial stress do not show significant independent associations in the full model.</t>
  </si>
  <si>
    <t>Note: These results describe statistical associations in the sample and do not establish causal relationships.</t>
  </si>
  <si>
    <t>Analysis Objective</t>
  </si>
  <si>
    <t>Examine whether depression (PHQ-9), anxiety (GAD-7), and perceived stress (PSS-10) are associated with academic performance (CGPA), and determine whether these mental-health factors remain important after accounting for academic, lifestyle and other student-level factors.</t>
  </si>
  <si>
    <t>Analytical Approach</t>
  </si>
  <si>
    <t>EDA → Correlation → VIF → Individual Regression Models → Combined Mental-Health Model → Full Regression Model → Model Comparison</t>
  </si>
  <si>
    <t>Hypotheses</t>
  </si>
  <si>
    <t>Conclusion</t>
  </si>
  <si>
    <r>
      <t xml:space="preserve">Higher PHQ-9 scores are significantly associated with lower CGPA when depression is examined individually. Each 1-point increase in PHQ-9 is associated with approximately a </t>
    </r>
    <r>
      <rPr>
        <b/>
        <sz val="11"/>
        <color theme="1"/>
        <rFont val="Calibri"/>
        <family val="2"/>
        <scheme val="minor"/>
      </rPr>
      <t>0.024-point lower CGPA</t>
    </r>
    <r>
      <rPr>
        <sz val="11"/>
        <color theme="1"/>
        <rFont val="Calibri"/>
        <family val="2"/>
        <scheme val="minor"/>
      </rPr>
      <t xml:space="preserve"> in the individual regression model.</t>
    </r>
  </si>
  <si>
    <r>
      <t xml:space="preserve">Anxiety shows the strongest individual negative association with CGPA among the three mental-health measures. Each 1-point increase in GAD-7 is associated with approximately a </t>
    </r>
    <r>
      <rPr>
        <b/>
        <sz val="11"/>
        <color theme="1"/>
        <rFont val="Calibri"/>
        <family val="2"/>
        <scheme val="minor"/>
      </rPr>
      <t>0.033-point lower CGPA</t>
    </r>
    <r>
      <rPr>
        <sz val="11"/>
        <color theme="1"/>
        <rFont val="Calibri"/>
        <family val="2"/>
        <scheme val="minor"/>
      </rPr>
      <t xml:space="preserve"> in the individual regression model.</t>
    </r>
  </si>
  <si>
    <t>Inference</t>
  </si>
  <si>
    <t>Supported</t>
  </si>
  <si>
    <r>
      <t xml:space="preserve">Higher perceived stress is significantly associated with lower CGPA when examined individually. Each 1-point increase in PSS-10 is associated with approximately a </t>
    </r>
    <r>
      <rPr>
        <b/>
        <sz val="11"/>
        <color theme="1"/>
        <rFont val="Calibri"/>
        <family val="2"/>
        <scheme val="minor"/>
      </rPr>
      <t>0.016-point lower CGPA</t>
    </r>
    <r>
      <rPr>
        <sz val="11"/>
        <color theme="1"/>
        <rFont val="Calibri"/>
        <family val="2"/>
        <scheme val="minor"/>
      </rPr>
      <t>.</t>
    </r>
  </si>
  <si>
    <r>
      <t xml:space="preserve">The three mental-health measures collectively show a statistically significant association with CGPA, explaining </t>
    </r>
    <r>
      <rPr>
        <b/>
        <sz val="11"/>
        <color theme="1"/>
        <rFont val="Calibri"/>
        <family val="2"/>
        <scheme val="minor"/>
      </rPr>
      <t>11.78% of observed CGPA variation</t>
    </r>
    <r>
      <rPr>
        <sz val="11"/>
        <color theme="1"/>
        <rFont val="Calibri"/>
        <family val="2"/>
        <scheme val="minor"/>
      </rPr>
      <t>.
However, when all three are considered simultaneously, only GAD-7 remains statistically significant (does not mean depression and stress have no relationship with academic performance)</t>
    </r>
  </si>
  <si>
    <r>
      <t>H5:</t>
    </r>
    <r>
      <rPr>
        <sz val="11"/>
        <color theme="1"/>
        <rFont val="Calibri"/>
        <family val="2"/>
        <scheme val="minor"/>
      </rPr>
      <t xml:space="preserve"> Mental-health factors alone account for the major observed variation in academic performance, with other academic and lifestyle factors adding limited explanatory value.</t>
    </r>
  </si>
  <si>
    <r>
      <t xml:space="preserve">Mental health is not the only set of factors associated with academic performance. Adding academic and lifestyle variables increased the model's explained variation in CGPA from </t>
    </r>
    <r>
      <rPr>
        <b/>
        <sz val="11"/>
        <color theme="1"/>
        <rFont val="Calibri"/>
        <family val="2"/>
        <scheme val="minor"/>
      </rPr>
      <t>11.78% to 41.46%</t>
    </r>
    <r>
      <rPr>
        <sz val="11"/>
        <color theme="1"/>
        <rFont val="Calibri"/>
        <family val="2"/>
        <scheme val="minor"/>
      </rPr>
      <t>, with the improvement statistically significant.</t>
    </r>
  </si>
  <si>
    <t>Not Supported</t>
  </si>
  <si>
    <r>
      <rPr>
        <b/>
        <sz val="11"/>
        <color theme="1"/>
        <rFont val="Calibri"/>
        <family val="2"/>
        <scheme val="minor"/>
      </rPr>
      <t xml:space="preserve">H4: </t>
    </r>
    <r>
      <rPr>
        <sz val="11"/>
        <color theme="1"/>
        <rFont val="Calibri"/>
        <family val="2"/>
        <scheme val="minor"/>
      </rPr>
      <t>Depression, anxiety and perceived stress collectively have a statistically significant association with CGPA.</t>
    </r>
  </si>
  <si>
    <r>
      <rPr>
        <b/>
        <sz val="11"/>
        <color theme="1"/>
        <rFont val="Calibri"/>
        <family val="2"/>
        <scheme val="minor"/>
      </rPr>
      <t xml:space="preserve">H3: </t>
    </r>
    <r>
      <rPr>
        <sz val="11"/>
        <color theme="1"/>
        <rFont val="Calibri"/>
        <family val="2"/>
        <scheme val="minor"/>
      </rPr>
      <t>Higher perceived stress (PSS-10) is associated with lower CGPA.</t>
    </r>
  </si>
  <si>
    <r>
      <rPr>
        <b/>
        <sz val="11"/>
        <color theme="1"/>
        <rFont val="Calibri"/>
        <family val="2"/>
        <scheme val="minor"/>
      </rPr>
      <t xml:space="preserve">H2: </t>
    </r>
    <r>
      <rPr>
        <sz val="11"/>
        <color theme="1"/>
        <rFont val="Calibri"/>
        <family val="2"/>
        <scheme val="minor"/>
      </rPr>
      <t>Higher anxiety scores (GAD-7) are associated with lower CGPA.</t>
    </r>
  </si>
  <si>
    <r>
      <rPr>
        <b/>
        <sz val="11"/>
        <color theme="1"/>
        <rFont val="Calibri"/>
        <family val="2"/>
        <scheme val="minor"/>
      </rPr>
      <t xml:space="preserve">H1: </t>
    </r>
    <r>
      <rPr>
        <sz val="11"/>
        <color theme="1"/>
        <rFont val="Calibri"/>
        <family val="2"/>
        <scheme val="minor"/>
      </rPr>
      <t>Higher depression scores (PHQ-9) are associated with lower CGPA.</t>
    </r>
  </si>
  <si>
    <t>Significant Findings</t>
  </si>
  <si>
    <t>−0.334</t>
  </si>
  <si>
    <t>−0.307</t>
  </si>
  <si>
    <t>−0.244</t>
  </si>
  <si>
    <t>Depression, anxiety and perceived stress capture overlapping aspects of mental-health burden in this sample, making it difficult to isolate their individual effects in a combined regression.</t>
  </si>
  <si>
    <t>GAD-7 has the strongest negative correlation with CGPA. It also has the highest individual-model R²: 11.18%. And it remains significant in both the combined mental-health model and the full model.</t>
  </si>
  <si>
    <t>Higher weekly study hours are positively associated with CGPA after accounting for mental-health and other included factors.</t>
  </si>
  <si>
    <t>Higher class attendance is positively associated with CGPA and is one of the strongest statistically significant predictors in the full model.</t>
  </si>
  <si>
    <r>
      <rPr>
        <b/>
        <sz val="11"/>
        <color theme="1"/>
        <rFont val="Calibri"/>
        <family val="2"/>
        <scheme val="minor"/>
      </rPr>
      <t>Finding 3:</t>
    </r>
    <r>
      <rPr>
        <sz val="11"/>
        <color theme="1"/>
        <rFont val="Calibri"/>
        <family val="2"/>
        <scheme val="minor"/>
      </rPr>
      <t xml:space="preserve"> (Academic Behaviour) Study hours: β = +0.0161; p &lt; 0.001</t>
    </r>
  </si>
  <si>
    <r>
      <rPr>
        <b/>
        <sz val="11"/>
        <color theme="1"/>
        <rFont val="Calibri"/>
        <family val="2"/>
        <scheme val="minor"/>
      </rPr>
      <t>Findings 4:</t>
    </r>
    <r>
      <rPr>
        <sz val="11"/>
        <color theme="1"/>
        <rFont val="Calibri"/>
        <family val="2"/>
        <scheme val="minor"/>
      </rPr>
      <t xml:space="preserve"> (Academic Behaviour) Attendance: β = +0.00877; p &lt; 0.001</t>
    </r>
  </si>
  <si>
    <r>
      <rPr>
        <b/>
        <sz val="11"/>
        <color theme="1"/>
        <rFont val="Calibri"/>
        <family val="2"/>
        <scheme val="minor"/>
      </rPr>
      <t xml:space="preserve">Finding 5: </t>
    </r>
    <r>
      <rPr>
        <sz val="11"/>
        <color theme="1"/>
        <rFont val="Calibri"/>
        <family val="2"/>
        <scheme val="minor"/>
      </rPr>
      <t>(Lifestyle Behaviour) Daily sleep: β = +0.0649; p &lt; 0.001</t>
    </r>
  </si>
  <si>
    <t>Students reporting more daily sleep tend to have higher CGPA after controlling for the other variables in the model.
A one-hour increase in reported daily sleep is associated with approximately a 0.065-point higher CGPA. (An association rather than proof)</t>
  </si>
  <si>
    <r>
      <rPr>
        <b/>
        <sz val="11"/>
        <color theme="1"/>
        <rFont val="Calibri"/>
        <family val="2"/>
        <scheme val="minor"/>
      </rPr>
      <t>Finding 6:</t>
    </r>
    <r>
      <rPr>
        <sz val="11"/>
        <color theme="1"/>
        <rFont val="Calibri"/>
        <family val="2"/>
        <scheme val="minor"/>
      </rPr>
      <t xml:space="preserve"> Part-time Employment Finding: β = −0.1000; p = 0.00052</t>
    </r>
  </si>
  <si>
    <t>Students with a part-time job have an estimated 0.10-point lower CGPA than students without a part-time job, holding the other variables constant.</t>
  </si>
  <si>
    <r>
      <rPr>
        <b/>
        <sz val="11"/>
        <color theme="1"/>
        <rFont val="Calibri"/>
        <family val="2"/>
        <scheme val="minor"/>
      </rPr>
      <t xml:space="preserve">Finding 1: </t>
    </r>
    <r>
      <rPr>
        <sz val="11"/>
        <color theme="1"/>
        <rFont val="Calibri"/>
        <family val="2"/>
        <scheme val="minor"/>
      </rPr>
      <t>Anxiety shows the strongest relationship with CGPA
Variable ↔  Correlation with CGPA as 
GAD-7  ↔  −0.334
PHQ-9 ↔ −0.307
PSS-10 ↔  −0.244</t>
    </r>
  </si>
  <si>
    <r>
      <rPr>
        <b/>
        <sz val="11"/>
        <color theme="1"/>
        <rFont val="Calibri"/>
        <family val="2"/>
        <scheme val="minor"/>
      </rPr>
      <t xml:space="preserve">Finding 2: </t>
    </r>
    <r>
      <rPr>
        <sz val="11"/>
        <color theme="1"/>
        <rFont val="Calibri"/>
        <family val="2"/>
        <scheme val="minor"/>
      </rPr>
      <t>Depression, anxiety and stress are highly interconnected
Correlation of Pairs as 
PHQ-9 ↔ GAD-7 = 0.872
PHQ-9 ↔ PSS-10 = 0.849
GAD-7 ↔ PSS-10 = 0.807</t>
    </r>
  </si>
  <si>
    <t>Mental Health Model</t>
  </si>
  <si>
    <t>Model improvement</t>
  </si>
  <si>
    <t>p &lt; 0.001</t>
  </si>
  <si>
    <t>Key Numbers</t>
  </si>
  <si>
    <t>KPI</t>
  </si>
  <si>
    <t>Students analysed</t>
  </si>
  <si>
    <t>GAD-7 ↔ CGPA</t>
  </si>
  <si>
    <t>PHQ-9 ↔ CGPA</t>
  </si>
  <si>
    <t>PSS-10 ↔ CGPA</t>
  </si>
  <si>
    <t>Mental-health model R²</t>
  </si>
  <si>
    <t>Full model R²</t>
  </si>
  <si>
    <t>Non-significant Findings</t>
  </si>
  <si>
    <t>Not significant</t>
  </si>
  <si>
    <t>In Model 2</t>
  </si>
  <si>
    <r>
      <rPr>
        <b/>
        <sz val="11"/>
        <color theme="1"/>
        <rFont val="Calibri"/>
        <family val="2"/>
        <scheme val="minor"/>
      </rPr>
      <t>Interpretation:</t>
    </r>
    <r>
      <rPr>
        <sz val="11"/>
        <color theme="1"/>
        <rFont val="Calibri"/>
        <family val="2"/>
        <scheme val="minor"/>
      </rPr>
      <t xml:space="preserve"> After accounting for the other variables in the full model, these variables did not show statistically significant independent associations with CGPA at the 5% significance level. The analysis did not find sufficient statistical evidence of an independent association with CGPA.</t>
    </r>
  </si>
  <si>
    <t>Model Comparison</t>
  </si>
  <si>
    <r>
      <rPr>
        <b/>
        <sz val="11"/>
        <color theme="1"/>
        <rFont val="Calibri"/>
        <family val="2"/>
        <scheme val="minor"/>
      </rPr>
      <t xml:space="preserve">Interpretation: </t>
    </r>
    <r>
      <rPr>
        <sz val="11"/>
        <color theme="1"/>
        <rFont val="Calibri"/>
        <family val="2"/>
        <scheme val="minor"/>
      </rPr>
      <t>Academic and lifestyle variables add substantial explanatory value beyond mental-health measures alone.</t>
    </r>
  </si>
  <si>
    <t>Overall Conclusion</t>
  </si>
  <si>
    <r>
      <t xml:space="preserve">Mental health is significantly associated with academic performance, but it is not the only factor associated with CGPA.
</t>
    </r>
    <r>
      <rPr>
        <sz val="11"/>
        <color theme="1"/>
        <rFont val="Calibri"/>
        <family val="2"/>
        <scheme val="minor"/>
      </rPr>
      <t>Depression, anxiety and perceived stress each show significant negative associations with CGPA when examined individually. Among the three, anxiety shows the strongest and most consistent independent association.
When academic and lifestyle factors are added, the model's explained variation in CGPA increases from 11.78% to 41.46%. Anxiety remains negatively associated with CGPA, while study hours, attendance and sleep show positive associations and part-time employment shows a negative association.</t>
    </r>
    <r>
      <rPr>
        <b/>
        <sz val="11"/>
        <color theme="1"/>
        <rFont val="Calibri"/>
        <family val="2"/>
        <scheme val="minor"/>
      </rPr>
      <t xml:space="preserve">
</t>
    </r>
    <r>
      <rPr>
        <sz val="11"/>
        <color theme="1"/>
        <rFont val="Calibri"/>
        <family val="2"/>
        <scheme val="minor"/>
      </rPr>
      <t xml:space="preserve">These results suggest that academic performance is associated with a combination of </t>
    </r>
    <r>
      <rPr>
        <b/>
        <sz val="11"/>
        <color theme="1"/>
        <rFont val="Calibri"/>
        <family val="2"/>
        <scheme val="minor"/>
      </rPr>
      <t>mental-health, academic behaviour and lifestyle factors</t>
    </r>
    <r>
      <rPr>
        <sz val="11"/>
        <color theme="1"/>
        <rFont val="Calibri"/>
        <family val="2"/>
        <scheme val="minor"/>
      </rPr>
      <t>, rather than mental health alone.</t>
    </r>
    <r>
      <rPr>
        <b/>
        <sz val="11"/>
        <color theme="1"/>
        <rFont val="Calibri"/>
        <family val="2"/>
        <scheme val="minor"/>
      </rPr>
      <t xml:space="preserve">
The analysis identifies statistical associations, not causal relationships.</t>
    </r>
  </si>
  <si>
    <r>
      <rPr>
        <b/>
        <sz val="14"/>
        <color theme="5"/>
        <rFont val="Calibri"/>
        <family val="2"/>
        <scheme val="minor"/>
      </rPr>
      <t xml:space="preserve">Analysis KPIs: </t>
    </r>
    <r>
      <rPr>
        <b/>
        <sz val="11"/>
        <color theme="4" tint="-0.249977111117893"/>
        <rFont val="Calibri"/>
        <family val="2"/>
        <scheme val="minor"/>
      </rPr>
      <t xml:space="preserve">Students analysed: 475 </t>
    </r>
    <r>
      <rPr>
        <b/>
        <sz val="16"/>
        <color theme="5"/>
        <rFont val="Calibri"/>
        <family val="2"/>
        <scheme val="minor"/>
      </rPr>
      <t>|</t>
    </r>
    <r>
      <rPr>
        <sz val="11"/>
        <color theme="1"/>
        <rFont val="Calibri"/>
        <family val="2"/>
        <scheme val="minor"/>
      </rPr>
      <t xml:space="preserve"> </t>
    </r>
    <r>
      <rPr>
        <b/>
        <sz val="11"/>
        <color theme="4" tint="-0.249977111117893"/>
        <rFont val="Calibri"/>
        <family val="2"/>
        <scheme val="minor"/>
      </rPr>
      <t>GAD-7 ↔ CGPA: −0.334</t>
    </r>
    <r>
      <rPr>
        <sz val="11"/>
        <color theme="1"/>
        <rFont val="Calibri"/>
        <family val="2"/>
        <scheme val="minor"/>
      </rPr>
      <t xml:space="preserve"> </t>
    </r>
    <r>
      <rPr>
        <b/>
        <sz val="16"/>
        <color theme="5"/>
        <rFont val="Calibri"/>
        <family val="2"/>
        <scheme val="minor"/>
      </rPr>
      <t>|</t>
    </r>
    <r>
      <rPr>
        <sz val="11"/>
        <color theme="1"/>
        <rFont val="Calibri"/>
        <family val="2"/>
        <scheme val="minor"/>
      </rPr>
      <t xml:space="preserve"> </t>
    </r>
    <r>
      <rPr>
        <b/>
        <sz val="11"/>
        <color theme="4" tint="-0.249977111117893"/>
        <rFont val="Calibri"/>
        <family val="2"/>
        <scheme val="minor"/>
      </rPr>
      <t>PHQ-9 ↔ CGPA: −0.307</t>
    </r>
    <r>
      <rPr>
        <sz val="11"/>
        <color theme="1"/>
        <rFont val="Calibri"/>
        <family val="2"/>
        <scheme val="minor"/>
      </rPr>
      <t xml:space="preserve"> </t>
    </r>
    <r>
      <rPr>
        <b/>
        <sz val="16"/>
        <color theme="5"/>
        <rFont val="Calibri"/>
        <family val="2"/>
        <scheme val="minor"/>
      </rPr>
      <t>|</t>
    </r>
    <r>
      <rPr>
        <sz val="11"/>
        <color theme="1"/>
        <rFont val="Calibri"/>
        <family val="2"/>
        <scheme val="minor"/>
      </rPr>
      <t xml:space="preserve"> </t>
    </r>
    <r>
      <rPr>
        <b/>
        <sz val="11"/>
        <color theme="4" tint="-0.249977111117893"/>
        <rFont val="Calibri"/>
        <family val="2"/>
        <scheme val="minor"/>
      </rPr>
      <t>PSS-10 ↔ CGPA: −0.244</t>
    </r>
    <r>
      <rPr>
        <sz val="11"/>
        <color theme="1"/>
        <rFont val="Calibri"/>
        <family val="2"/>
        <scheme val="minor"/>
      </rPr>
      <t xml:space="preserve"> </t>
    </r>
    <r>
      <rPr>
        <b/>
        <sz val="16"/>
        <color theme="5"/>
        <rFont val="Calibri"/>
        <family val="2"/>
        <scheme val="minor"/>
      </rPr>
      <t>|</t>
    </r>
    <r>
      <rPr>
        <sz val="11"/>
        <color theme="1"/>
        <rFont val="Calibri"/>
        <family val="2"/>
        <scheme val="minor"/>
      </rPr>
      <t xml:space="preserve"> </t>
    </r>
    <r>
      <rPr>
        <b/>
        <sz val="11"/>
        <color theme="4" tint="-0.249977111117893"/>
        <rFont val="Calibri"/>
        <family val="2"/>
        <scheme val="minor"/>
      </rPr>
      <t xml:space="preserve">Mental-health model R²: 11.78% </t>
    </r>
    <r>
      <rPr>
        <b/>
        <sz val="16"/>
        <color theme="5"/>
        <rFont val="Calibri"/>
        <family val="2"/>
        <scheme val="minor"/>
      </rPr>
      <t>|</t>
    </r>
    <r>
      <rPr>
        <sz val="11"/>
        <color theme="1"/>
        <rFont val="Calibri"/>
        <family val="2"/>
        <scheme val="minor"/>
      </rPr>
      <t xml:space="preserve"> </t>
    </r>
    <r>
      <rPr>
        <b/>
        <sz val="11"/>
        <color theme="4" tint="-0.249977111117893"/>
        <rFont val="Calibri"/>
        <family val="2"/>
        <scheme val="minor"/>
      </rPr>
      <t>Full model R²: 41.46%</t>
    </r>
    <r>
      <rPr>
        <sz val="11"/>
        <color theme="1"/>
        <rFont val="Calibri"/>
        <family val="2"/>
        <scheme val="minor"/>
      </rPr>
      <t xml:space="preserve"> </t>
    </r>
    <r>
      <rPr>
        <b/>
        <sz val="16"/>
        <color theme="5"/>
        <rFont val="Calibri"/>
        <family val="2"/>
        <scheme val="minor"/>
      </rPr>
      <t>|</t>
    </r>
    <r>
      <rPr>
        <b/>
        <sz val="11"/>
        <color theme="4" tint="-0.249977111117893"/>
        <rFont val="Calibri"/>
        <family val="2"/>
        <scheme val="minor"/>
      </rPr>
      <t xml:space="preserve"> Model improvement: +29.67 pp</t>
    </r>
  </si>
  <si>
    <t>Factor</t>
  </si>
  <si>
    <t>Direction with CGPA</t>
  </si>
  <si>
    <t>β Coefficient</t>
  </si>
  <si>
    <t>Study Hours</t>
  </si>
  <si>
    <t>↑</t>
  </si>
  <si>
    <t>GAD-7 (Anxiety)</t>
  </si>
  <si>
    <t>↓</t>
  </si>
  <si>
    <t>Part-time Job</t>
  </si>
  <si>
    <t>PHQ-9 (Depression)</t>
  </si>
  <si>
    <t>PSS-10 (Stress)</t>
  </si>
  <si>
    <t>Screen Time</t>
  </si>
  <si>
    <t>Physical Activity</t>
  </si>
  <si>
    <t>Financial Stress</t>
  </si>
  <si>
    <t>↑**</t>
  </si>
  <si>
    <t>** The positive coefficient does not mean these factors improve CGPA. They are not statistically significant.</t>
  </si>
  <si>
    <t>β = regression coefficient. Significant = p &lt; 0.05. Results represent associations, not causal effects.</t>
  </si>
  <si>
    <t>Missing CGPA localized to Year 1</t>
  </si>
  <si>
    <t>Distribution:</t>
  </si>
  <si>
    <t>Key Predictors of CGPA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</si>
</sst>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scheme val="minor"/>
    </font>
    <font>
      <i/>
      <sz val="11"/>
      <color theme="1"/>
      <name val="Calibri"/>
      <family val="2"/>
      <scheme val="minor"/>
    </font>
    <font>
      <b/>
      <sz val="14"/>
      <color theme="1"/>
      <name val="Calibri"/>
      <family val="2"/>
      <scheme val="minor"/>
    </font>
    <font>
      <b/>
      <sz val="11"/>
      <color theme="5" tint="-0.249977111117893"/>
      <name val="Calibri"/>
      <family val="2"/>
      <scheme val="minor"/>
    </font>
    <font>
      <sz val="9"/>
      <color theme="1"/>
      <name val="Calibri"/>
      <family val="2"/>
      <scheme val="minor"/>
    </font>
    <font>
      <b/>
      <i/>
      <sz val="11"/>
      <color theme="1"/>
      <name val="Calibri"/>
      <family val="2"/>
      <scheme val="minor"/>
    </font>
    <font>
      <sz val="11"/>
      <name val="Calibri"/>
      <family val="2"/>
      <scheme val="minor"/>
    </font>
    <font>
      <b/>
      <sz val="13.5"/>
      <color theme="1"/>
      <name val="Calibri"/>
      <family val="2"/>
      <scheme val="minor"/>
    </font>
    <font>
      <sz val="8"/>
      <name val="Calibri"/>
      <family val="2"/>
      <scheme val="minor"/>
    </font>
    <font>
      <b/>
      <sz val="16"/>
      <color theme="5"/>
      <name val="Calibri"/>
      <family val="2"/>
      <scheme val="minor"/>
    </font>
    <font>
      <b/>
      <sz val="14"/>
      <color theme="5"/>
      <name val="Calibri"/>
      <family val="2"/>
      <scheme val="minor"/>
    </font>
    <font>
      <b/>
      <sz val="11"/>
      <color theme="4" tint="-0.249977111117893"/>
      <name val="Calibri"/>
      <family val="2"/>
      <scheme val="minor"/>
    </font>
    <font>
      <b/>
      <sz val="11"/>
      <color theme="4"/>
      <name val="Calibri"/>
      <family val="2"/>
      <scheme val="minor"/>
    </font>
    <font>
      <b/>
      <sz val="11"/>
      <color theme="1" tint="0.249977111117893"/>
      <name val="Calibri"/>
      <family val="2"/>
      <scheme val="minor"/>
    </font>
    <font>
      <b/>
      <sz val="24"/>
      <color theme="1"/>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rgb="FFFFFBDD"/>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rgb="FFFFE1E1"/>
        <bgColor indexed="64"/>
      </patternFill>
    </fill>
    <fill>
      <patternFill patternType="solid">
        <fgColor theme="3" tint="0.79998168889431442"/>
        <bgColor indexed="64"/>
      </patternFill>
    </fill>
    <fill>
      <patternFill patternType="solid">
        <fgColor rgb="FFDEFFD5"/>
        <bgColor indexed="64"/>
      </patternFill>
    </fill>
    <fill>
      <patternFill patternType="solid">
        <fgColor theme="4" tint="0.79998168889431442"/>
        <bgColor indexed="64"/>
      </patternFill>
    </fill>
    <fill>
      <patternFill patternType="solid">
        <fgColor rgb="FFE0F4E8"/>
        <bgColor indexed="64"/>
      </patternFill>
    </fill>
    <fill>
      <patternFill patternType="solid">
        <fgColor rgb="FFFEF0F0"/>
        <bgColor indexed="64"/>
      </patternFill>
    </fill>
  </fills>
  <borders count="4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medium">
        <color theme="5" tint="-0.499984740745262"/>
      </top>
      <bottom/>
      <diagonal/>
    </border>
    <border>
      <left/>
      <right style="medium">
        <color theme="5" tint="-0.499984740745262"/>
      </right>
      <top style="medium">
        <color theme="5" tint="-0.499984740745262"/>
      </top>
      <bottom/>
      <diagonal/>
    </border>
    <border>
      <left/>
      <right/>
      <top/>
      <bottom style="medium">
        <color theme="5" tint="-0.499984740745262"/>
      </bottom>
      <diagonal/>
    </border>
    <border>
      <left/>
      <right style="medium">
        <color theme="5" tint="-0.499984740745262"/>
      </right>
      <top/>
      <bottom style="medium">
        <color theme="5" tint="-0.499984740745262"/>
      </bottom>
      <diagonal/>
    </border>
    <border>
      <left style="medium">
        <color theme="7" tint="-0.249977111117893"/>
      </left>
      <right/>
      <top style="medium">
        <color theme="7" tint="-0.249977111117893"/>
      </top>
      <bottom/>
      <diagonal/>
    </border>
    <border>
      <left/>
      <right style="medium">
        <color theme="7" tint="-0.249977111117893"/>
      </right>
      <top style="medium">
        <color theme="7" tint="-0.249977111117893"/>
      </top>
      <bottom/>
      <diagonal/>
    </border>
    <border>
      <left style="medium">
        <color theme="7" tint="-0.249977111117893"/>
      </left>
      <right/>
      <top/>
      <bottom style="medium">
        <color theme="7" tint="-0.249977111117893"/>
      </bottom>
      <diagonal/>
    </border>
    <border>
      <left/>
      <right style="medium">
        <color theme="7" tint="-0.249977111117893"/>
      </right>
      <top/>
      <bottom style="medium">
        <color theme="7" tint="-0.249977111117893"/>
      </bottom>
      <diagonal/>
    </border>
    <border>
      <left style="medium">
        <color theme="5" tint="-0.499984740745262"/>
      </left>
      <right style="medium">
        <color theme="5" tint="-0.499984740745262"/>
      </right>
      <top style="medium">
        <color theme="5" tint="-0.499984740745262"/>
      </top>
      <bottom/>
      <diagonal/>
    </border>
    <border>
      <left style="medium">
        <color theme="5" tint="-0.499984740745262"/>
      </left>
      <right style="medium">
        <color theme="5" tint="-0.499984740745262"/>
      </right>
      <top/>
      <bottom style="medium">
        <color theme="5" tint="-0.499984740745262"/>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s>
  <cellStyleXfs count="2">
    <xf numFmtId="0" fontId="0" fillId="0" borderId="0"/>
    <xf numFmtId="9" fontId="2" fillId="0" borderId="0" applyFont="0" applyFill="0" applyBorder="0" applyAlignment="0" applyProtection="0"/>
  </cellStyleXfs>
  <cellXfs count="153">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4" borderId="0" xfId="0" applyFill="1"/>
    <xf numFmtId="0" fontId="3" fillId="5" borderId="0" xfId="0" applyFont="1" applyFill="1"/>
    <xf numFmtId="0" fontId="1" fillId="0" borderId="0" xfId="0" applyFont="1"/>
    <xf numFmtId="0" fontId="0" fillId="0" borderId="1" xfId="0" applyBorder="1"/>
    <xf numFmtId="0" fontId="1" fillId="0" borderId="3"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1" fillId="5" borderId="10" xfId="0" applyFont="1" applyFill="1" applyBorder="1"/>
    <xf numFmtId="0" fontId="1" fillId="5" borderId="11" xfId="0" applyFont="1" applyFill="1" applyBorder="1"/>
    <xf numFmtId="0" fontId="1" fillId="5" borderId="12" xfId="0" applyFont="1" applyFill="1" applyBorder="1"/>
    <xf numFmtId="0" fontId="0" fillId="0" borderId="13" xfId="0" applyBorder="1"/>
    <xf numFmtId="0" fontId="4" fillId="0" borderId="14" xfId="0" applyFont="1" applyBorder="1" applyAlignment="1">
      <alignment horizontal="center"/>
    </xf>
    <xf numFmtId="0" fontId="0" fillId="0" borderId="4" xfId="0" applyBorder="1"/>
    <xf numFmtId="0" fontId="0" fillId="0" borderId="5" xfId="0" applyBorder="1"/>
    <xf numFmtId="0" fontId="0" fillId="0" borderId="11" xfId="0" applyBorder="1"/>
    <xf numFmtId="0" fontId="0" fillId="0" borderId="12" xfId="0" applyBorder="1"/>
    <xf numFmtId="0" fontId="1" fillId="0" borderId="10" xfId="0" applyFont="1" applyBorder="1"/>
    <xf numFmtId="0" fontId="1" fillId="0" borderId="11" xfId="0" applyFont="1" applyBorder="1"/>
    <xf numFmtId="0" fontId="1" fillId="0" borderId="12" xfId="0" applyFont="1" applyBorder="1"/>
    <xf numFmtId="0" fontId="5" fillId="6" borderId="0" xfId="0" applyFont="1" applyFill="1" applyAlignment="1">
      <alignment horizontal="centerContinuous"/>
    </xf>
    <xf numFmtId="0" fontId="0" fillId="0" borderId="0" xfId="0" applyAlignment="1">
      <alignment horizontal="centerContinuous"/>
    </xf>
    <xf numFmtId="0" fontId="6" fillId="0" borderId="0" xfId="0" applyFont="1"/>
    <xf numFmtId="10" fontId="0" fillId="0" borderId="0" xfId="0" applyNumberFormat="1"/>
    <xf numFmtId="0" fontId="0" fillId="6" borderId="0" xfId="0" applyFill="1" applyAlignment="1">
      <alignment horizontal="centerContinuous"/>
    </xf>
    <xf numFmtId="0" fontId="7" fillId="0" borderId="0" xfId="0" applyFont="1"/>
    <xf numFmtId="0" fontId="0" fillId="7" borderId="15" xfId="0" applyFill="1" applyBorder="1" applyAlignment="1">
      <alignment horizontal="centerContinuous"/>
    </xf>
    <xf numFmtId="0" fontId="0" fillId="7" borderId="16" xfId="0" applyFill="1" applyBorder="1" applyAlignment="1">
      <alignment horizontal="centerContinuous"/>
    </xf>
    <xf numFmtId="0" fontId="0" fillId="7" borderId="17" xfId="0" applyFill="1" applyBorder="1" applyAlignment="1">
      <alignment horizontal="centerContinuous"/>
    </xf>
    <xf numFmtId="0" fontId="0" fillId="7" borderId="18" xfId="0" applyFill="1" applyBorder="1" applyAlignment="1">
      <alignment horizontal="centerContinuous"/>
    </xf>
    <xf numFmtId="0" fontId="0" fillId="2" borderId="19" xfId="0" applyFill="1" applyBorder="1" applyAlignment="1">
      <alignment horizontal="centerContinuous"/>
    </xf>
    <xf numFmtId="0" fontId="0" fillId="2" borderId="20" xfId="0" applyFill="1" applyBorder="1" applyAlignment="1">
      <alignment horizontal="centerContinuous"/>
    </xf>
    <xf numFmtId="1" fontId="0" fillId="2" borderId="21" xfId="0" applyNumberFormat="1" applyFill="1" applyBorder="1" applyAlignment="1">
      <alignment horizontal="centerContinuous"/>
    </xf>
    <xf numFmtId="0" fontId="0" fillId="2" borderId="22" xfId="0" applyFill="1" applyBorder="1" applyAlignment="1">
      <alignment horizontal="centerContinuous"/>
    </xf>
    <xf numFmtId="10" fontId="0" fillId="0" borderId="7" xfId="0" applyNumberFormat="1" applyBorder="1"/>
    <xf numFmtId="0" fontId="0" fillId="7" borderId="23" xfId="0" applyFill="1" applyBorder="1" applyAlignment="1">
      <alignment horizontal="centerContinuous"/>
    </xf>
    <xf numFmtId="2" fontId="0" fillId="7" borderId="24" xfId="0" applyNumberFormat="1" applyFill="1" applyBorder="1" applyAlignment="1">
      <alignment horizontal="centerContinuous"/>
    </xf>
    <xf numFmtId="0" fontId="4" fillId="0" borderId="0" xfId="0" applyFont="1" applyAlignment="1">
      <alignment horizontal="center"/>
    </xf>
    <xf numFmtId="0" fontId="4" fillId="0" borderId="26" xfId="0" applyFont="1" applyBorder="1" applyAlignment="1">
      <alignment horizontal="center"/>
    </xf>
    <xf numFmtId="0" fontId="0" fillId="10" borderId="0" xfId="0" applyFill="1"/>
    <xf numFmtId="0" fontId="0" fillId="10" borderId="29" xfId="0" applyFill="1" applyBorder="1"/>
    <xf numFmtId="0" fontId="0" fillId="0" borderId="0" xfId="0" applyAlignment="1">
      <alignment vertical="center" wrapText="1"/>
    </xf>
    <xf numFmtId="0" fontId="1" fillId="6" borderId="10" xfId="0" applyFont="1" applyFill="1" applyBorder="1"/>
    <xf numFmtId="0" fontId="1" fillId="6" borderId="12" xfId="0" applyFont="1" applyFill="1" applyBorder="1"/>
    <xf numFmtId="0" fontId="1" fillId="0" borderId="6" xfId="0" applyFont="1" applyBorder="1"/>
    <xf numFmtId="0" fontId="1" fillId="0" borderId="27" xfId="0" applyFont="1" applyBorder="1"/>
    <xf numFmtId="0" fontId="8" fillId="0" borderId="14" xfId="0" applyFont="1" applyBorder="1" applyAlignment="1">
      <alignment horizontal="center"/>
    </xf>
    <xf numFmtId="0" fontId="8" fillId="0" borderId="28" xfId="0" applyFont="1" applyBorder="1" applyAlignment="1">
      <alignment horizontal="center"/>
    </xf>
    <xf numFmtId="0" fontId="9" fillId="0" borderId="0" xfId="0" applyFont="1"/>
    <xf numFmtId="0" fontId="4" fillId="0" borderId="14" xfId="0" applyFont="1" applyBorder="1" applyAlignment="1">
      <alignment horizontal="centerContinuous"/>
    </xf>
    <xf numFmtId="0" fontId="1"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vertical="center" wrapText="1"/>
    </xf>
    <xf numFmtId="0" fontId="0" fillId="0" borderId="0" xfId="0" applyAlignment="1">
      <alignment vertical="center"/>
    </xf>
    <xf numFmtId="0" fontId="0" fillId="0" borderId="0" xfId="0" applyAlignment="1">
      <alignment horizontal="right" vertical="center"/>
    </xf>
    <xf numFmtId="0" fontId="0" fillId="8" borderId="0" xfId="0" applyFill="1"/>
    <xf numFmtId="0" fontId="0" fillId="2" borderId="0" xfId="0" applyFill="1" applyAlignment="1">
      <alignment horizontal="right" vertical="center"/>
    </xf>
    <xf numFmtId="0" fontId="0" fillId="9" borderId="13" xfId="0" applyFill="1" applyBorder="1"/>
    <xf numFmtId="0" fontId="0" fillId="0" borderId="6" xfId="0" applyBorder="1" applyAlignment="1">
      <alignment vertical="center"/>
    </xf>
    <xf numFmtId="0" fontId="0" fillId="0" borderId="7" xfId="0" applyBorder="1" applyAlignment="1">
      <alignment vertical="center"/>
    </xf>
    <xf numFmtId="0" fontId="0" fillId="2" borderId="1" xfId="0" applyFill="1" applyBorder="1" applyAlignment="1">
      <alignment horizontal="right" vertical="center"/>
    </xf>
    <xf numFmtId="0" fontId="0" fillId="0" borderId="9" xfId="0" applyBorder="1" applyAlignment="1">
      <alignment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0" fillId="0" borderId="9" xfId="0" applyBorder="1" applyAlignment="1">
      <alignment horizontal="left"/>
    </xf>
    <xf numFmtId="10" fontId="0" fillId="0" borderId="1" xfId="0" applyNumberFormat="1" applyBorder="1"/>
    <xf numFmtId="0" fontId="0" fillId="9" borderId="0" xfId="0" applyFill="1"/>
    <xf numFmtId="2" fontId="0" fillId="0" borderId="1" xfId="0" applyNumberFormat="1" applyBorder="1"/>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10" fontId="0" fillId="0" borderId="0" xfId="1" applyNumberFormat="1" applyFont="1"/>
    <xf numFmtId="164" fontId="0" fillId="0" borderId="0" xfId="0" applyNumberFormat="1"/>
    <xf numFmtId="0" fontId="10" fillId="0" borderId="0" xfId="0" applyFont="1" applyAlignment="1">
      <alignment vertical="center"/>
    </xf>
    <xf numFmtId="0" fontId="1" fillId="0" borderId="8" xfId="0" applyFont="1" applyBorder="1"/>
    <xf numFmtId="0" fontId="0" fillId="0" borderId="7" xfId="0" applyBorder="1" applyAlignment="1">
      <alignment horizontal="left" vertical="center" indent="1"/>
    </xf>
    <xf numFmtId="0" fontId="0" fillId="0" borderId="9" xfId="0" applyBorder="1" applyAlignment="1">
      <alignment horizontal="left" vertical="center" indent="1"/>
    </xf>
    <xf numFmtId="0" fontId="0" fillId="0" borderId="5" xfId="0" applyBorder="1" applyAlignment="1">
      <alignment vertical="center"/>
    </xf>
    <xf numFmtId="0" fontId="0" fillId="0" borderId="1" xfId="0" applyBorder="1" applyAlignment="1">
      <alignment horizontal="left"/>
    </xf>
    <xf numFmtId="0" fontId="1" fillId="0" borderId="8" xfId="0" applyFont="1" applyBorder="1" applyAlignment="1">
      <alignment horizontal="left"/>
    </xf>
    <xf numFmtId="0" fontId="0" fillId="0" borderId="0" xfId="0" applyAlignment="1">
      <alignment wrapText="1"/>
    </xf>
    <xf numFmtId="0" fontId="0" fillId="0" borderId="0" xfId="0" applyAlignment="1">
      <alignment horizontal="centerContinuous" vertical="center"/>
    </xf>
    <xf numFmtId="0" fontId="0" fillId="0" borderId="2" xfId="0" applyBorder="1" applyAlignment="1">
      <alignment vertical="center"/>
    </xf>
    <xf numFmtId="0" fontId="0" fillId="0" borderId="2" xfId="0" applyBorder="1" applyAlignment="1">
      <alignment vertical="center" wrapText="1"/>
    </xf>
    <xf numFmtId="0" fontId="0" fillId="4" borderId="2" xfId="0" applyFill="1" applyBorder="1"/>
    <xf numFmtId="0" fontId="0" fillId="8" borderId="2" xfId="0" applyFill="1" applyBorder="1"/>
    <xf numFmtId="0" fontId="0" fillId="0" borderId="0" xfId="0" applyAlignment="1">
      <alignment horizontal="left" wrapText="1"/>
    </xf>
    <xf numFmtId="0" fontId="1" fillId="0" borderId="2" xfId="0" applyFont="1" applyBorder="1" applyAlignment="1">
      <alignment vertical="center" wrapText="1"/>
    </xf>
    <xf numFmtId="0" fontId="1" fillId="11" borderId="2" xfId="0" applyFont="1" applyFill="1" applyBorder="1"/>
    <xf numFmtId="2" fontId="0" fillId="0" borderId="2" xfId="0" applyNumberFormat="1" applyBorder="1" applyAlignment="1">
      <alignment vertical="center" wrapText="1"/>
    </xf>
    <xf numFmtId="0" fontId="0" fillId="0" borderId="6" xfId="0" applyBorder="1" applyAlignment="1">
      <alignment vertical="center" wrapText="1"/>
    </xf>
    <xf numFmtId="0" fontId="0" fillId="0" borderId="7" xfId="0" applyBorder="1" applyAlignment="1">
      <alignment horizontal="right" vertical="center" wrapText="1"/>
    </xf>
    <xf numFmtId="10" fontId="0" fillId="0" borderId="7" xfId="0" applyNumberFormat="1" applyBorder="1" applyAlignment="1">
      <alignment horizontal="right" vertical="center" wrapText="1"/>
    </xf>
    <xf numFmtId="0" fontId="0" fillId="0" borderId="8" xfId="0" applyBorder="1" applyAlignment="1">
      <alignment vertical="center" wrapText="1"/>
    </xf>
    <xf numFmtId="0" fontId="0" fillId="0" borderId="9" xfId="0" applyBorder="1" applyAlignment="1">
      <alignment horizontal="right" vertical="center" wrapText="1"/>
    </xf>
    <xf numFmtId="0" fontId="0" fillId="11" borderId="10" xfId="0" applyFill="1" applyBorder="1" applyAlignment="1">
      <alignment vertical="center" wrapText="1"/>
    </xf>
    <xf numFmtId="0" fontId="0" fillId="11" borderId="2" xfId="0" applyFill="1" applyBorder="1" applyAlignment="1">
      <alignment vertical="center" wrapText="1"/>
    </xf>
    <xf numFmtId="0" fontId="0" fillId="0" borderId="33" xfId="0" applyBorder="1" applyAlignment="1">
      <alignment horizontal="right" vertical="center" wrapText="1"/>
    </xf>
    <xf numFmtId="10" fontId="0" fillId="0" borderId="33" xfId="0" applyNumberFormat="1" applyBorder="1" applyAlignment="1">
      <alignment horizontal="right" vertical="center" wrapText="1"/>
    </xf>
    <xf numFmtId="0" fontId="0" fillId="0" borderId="25" xfId="0" applyBorder="1" applyAlignment="1">
      <alignment horizontal="right" vertical="center" wrapText="1"/>
    </xf>
    <xf numFmtId="0" fontId="1" fillId="11" borderId="2" xfId="0" applyFont="1" applyFill="1" applyBorder="1" applyAlignment="1">
      <alignment vertical="center" wrapText="1"/>
    </xf>
    <xf numFmtId="0" fontId="1" fillId="11" borderId="10" xfId="0" applyFont="1" applyFill="1" applyBorder="1" applyAlignment="1">
      <alignment vertical="center" wrapText="1"/>
    </xf>
    <xf numFmtId="0" fontId="1" fillId="11" borderId="12" xfId="0" applyFont="1" applyFill="1" applyBorder="1" applyAlignment="1">
      <alignment vertical="center" wrapText="1"/>
    </xf>
    <xf numFmtId="0" fontId="0" fillId="8" borderId="7" xfId="0" applyFill="1" applyBorder="1" applyAlignment="1">
      <alignment vertical="center" wrapText="1"/>
    </xf>
    <xf numFmtId="0" fontId="0" fillId="8" borderId="9" xfId="0" applyFill="1" applyBorder="1" applyAlignment="1">
      <alignment vertical="center" wrapText="1"/>
    </xf>
    <xf numFmtId="0" fontId="0" fillId="0" borderId="10" xfId="0" applyBorder="1" applyAlignment="1">
      <alignment horizontal="centerContinuous" vertical="center" wrapText="1"/>
    </xf>
    <xf numFmtId="0" fontId="0" fillId="0" borderId="12" xfId="0" applyBorder="1" applyAlignment="1">
      <alignment horizontal="centerContinuous"/>
    </xf>
    <xf numFmtId="0" fontId="0" fillId="0" borderId="11" xfId="0" applyBorder="1" applyAlignment="1">
      <alignment horizontal="centerContinuous"/>
    </xf>
    <xf numFmtId="0" fontId="0" fillId="0" borderId="33" xfId="0" applyBorder="1" applyAlignment="1">
      <alignment vertical="center" wrapText="1"/>
    </xf>
    <xf numFmtId="0" fontId="0" fillId="0" borderId="0" xfId="0" applyAlignment="1">
      <alignment horizontal="right" vertical="center" wrapText="1"/>
    </xf>
    <xf numFmtId="10" fontId="0" fillId="0" borderId="0" xfId="0" applyNumberFormat="1" applyAlignment="1">
      <alignment horizontal="right" vertical="center" wrapText="1"/>
    </xf>
    <xf numFmtId="0" fontId="0" fillId="0" borderId="25" xfId="0" applyBorder="1" applyAlignment="1">
      <alignment vertical="center" wrapText="1"/>
    </xf>
    <xf numFmtId="0" fontId="0" fillId="0" borderId="1" xfId="0" applyBorder="1" applyAlignment="1">
      <alignment horizontal="right" vertical="center" wrapText="1"/>
    </xf>
    <xf numFmtId="0" fontId="1" fillId="11" borderId="2" xfId="0" applyFont="1" applyFill="1" applyBorder="1" applyAlignment="1">
      <alignment horizontal="center" vertical="center" wrapText="1"/>
    </xf>
    <xf numFmtId="0" fontId="1" fillId="11" borderId="11" xfId="0" applyFont="1" applyFill="1" applyBorder="1" applyAlignment="1">
      <alignment horizontal="right" vertical="center" wrapText="1"/>
    </xf>
    <xf numFmtId="0" fontId="1" fillId="11" borderId="12" xfId="0" applyFont="1" applyFill="1" applyBorder="1" applyAlignment="1">
      <alignment horizontal="right" vertical="center" wrapText="1"/>
    </xf>
    <xf numFmtId="0" fontId="0" fillId="0" borderId="10" xfId="0" applyBorder="1" applyAlignment="1">
      <alignment horizontal="centerContinuous"/>
    </xf>
    <xf numFmtId="0" fontId="1" fillId="3" borderId="0" xfId="0" applyFont="1" applyFill="1" applyAlignment="1">
      <alignment vertical="center" wrapText="1"/>
    </xf>
    <xf numFmtId="0" fontId="0" fillId="7" borderId="24" xfId="0" applyFill="1" applyBorder="1" applyAlignment="1">
      <alignment horizontal="centerContinuous"/>
    </xf>
    <xf numFmtId="0" fontId="16" fillId="0" borderId="0" xfId="0" applyFont="1"/>
    <xf numFmtId="0" fontId="0" fillId="0" borderId="0" xfId="0" applyAlignment="1">
      <alignment horizontal="right"/>
    </xf>
    <xf numFmtId="10" fontId="0" fillId="0" borderId="0" xfId="0" applyNumberFormat="1" applyAlignment="1">
      <alignment horizontal="right"/>
    </xf>
    <xf numFmtId="0" fontId="15" fillId="0" borderId="0" xfId="0" applyFont="1"/>
    <xf numFmtId="0" fontId="0" fillId="12" borderId="0" xfId="0" applyFill="1"/>
    <xf numFmtId="0" fontId="0" fillId="12" borderId="0" xfId="0" applyFill="1" applyAlignment="1">
      <alignment horizontal="center" vertical="center"/>
    </xf>
    <xf numFmtId="2" fontId="0" fillId="12" borderId="0" xfId="0" applyNumberFormat="1" applyFill="1"/>
    <xf numFmtId="0" fontId="0" fillId="12" borderId="0" xfId="0" applyFill="1" applyAlignment="1">
      <alignment horizontal="right"/>
    </xf>
    <xf numFmtId="2" fontId="0" fillId="12" borderId="0" xfId="0" applyNumberFormat="1" applyFill="1" applyAlignment="1">
      <alignment horizontal="right"/>
    </xf>
    <xf numFmtId="0" fontId="0" fillId="13" borderId="0" xfId="0" applyFill="1"/>
    <xf numFmtId="0" fontId="0" fillId="13" borderId="0" xfId="0" applyFill="1" applyAlignment="1">
      <alignment horizontal="center" vertical="center"/>
    </xf>
    <xf numFmtId="2" fontId="0" fillId="13" borderId="0" xfId="0" applyNumberFormat="1" applyFill="1" applyAlignment="1">
      <alignment horizontal="right"/>
    </xf>
    <xf numFmtId="2" fontId="0" fillId="13" borderId="0" xfId="0" applyNumberFormat="1" applyFill="1"/>
    <xf numFmtId="0" fontId="0" fillId="0" borderId="0" xfId="0" applyAlignment="1">
      <alignment horizontal="center" vertical="center"/>
    </xf>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17" fillId="6" borderId="0" xfId="0" applyFont="1" applyFill="1" applyAlignment="1">
      <alignment horizontal="centerContinuous"/>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0" xfId="0" applyBorder="1"/>
  </cellXfs>
  <cellStyles count="2">
    <cellStyle name="Normal" xfId="0" builtinId="0"/>
    <cellStyle name="Percent" xfId="1" builtinId="5"/>
  </cellStyles>
  <dxfs count="79">
    <dxf>
      <font>
        <b/>
        <i val="0"/>
        <color theme="9" tint="-0.24994659260841701"/>
      </font>
      <fill>
        <patternFill>
          <bgColor theme="9" tint="0.79998168889431442"/>
        </patternFill>
      </fill>
    </dxf>
    <dxf>
      <font>
        <b/>
        <i val="0"/>
        <color rgb="FF9C0006"/>
      </font>
      <fill>
        <patternFill>
          <bgColor rgb="FFFFD5DA"/>
        </patternFill>
      </fill>
    </dxf>
    <dxf>
      <font>
        <b/>
        <i val="0"/>
        <color rgb="FFC00000"/>
      </font>
      <fill>
        <patternFill>
          <bgColor rgb="FFFFE1E1"/>
        </patternFill>
      </fill>
    </dxf>
    <dxf>
      <numFmt numFmtId="2" formatCode="0.00"/>
    </dxf>
    <dxf>
      <alignment horizontal="center" vertical="center"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strike val="0"/>
        <outline val="0"/>
        <shadow val="0"/>
        <u val="none"/>
        <vertAlign val="baseline"/>
        <sz val="11"/>
        <color theme="1" tint="0.249977111117893"/>
        <name val="Calibri"/>
        <family val="2"/>
        <scheme val="minor"/>
      </font>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Continuous"/>
    </dxf>
    <dxf>
      <alignment horizontal="centerContinuous"/>
    </dxf>
    <dxf>
      <alignment horizontal="centerContinuous"/>
    </dxf>
    <dxf>
      <numFmt numFmtId="2" formatCode="0.00"/>
    </dxf>
    <dxf>
      <border>
        <left/>
        <right/>
        <top/>
        <bottom/>
      </border>
    </dxf>
    <dxf>
      <border>
        <left/>
        <right/>
        <top/>
        <bottom/>
      </border>
    </dxf>
    <dxf>
      <border>
        <left/>
        <right/>
        <top/>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Continuous"/>
    </dxf>
    <dxf>
      <alignment horizontal="centerContinuous"/>
    </dxf>
    <dxf>
      <alignment horizontal="centerContinuous"/>
    </dxf>
    <dxf>
      <border>
        <left/>
        <right/>
        <top/>
        <bottom/>
      </border>
    </dxf>
    <dxf>
      <border>
        <left/>
        <right/>
        <top/>
        <bottom/>
      </border>
    </dxf>
    <dxf>
      <border>
        <left/>
        <right/>
        <top/>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Continuous"/>
    </dxf>
    <dxf>
      <alignment horizontal="centerContinuous"/>
    </dxf>
    <dxf>
      <alignment horizontal="centerContinuous"/>
    </dxf>
    <dxf>
      <numFmt numFmtId="2" formatCode="0.00"/>
    </dxf>
    <dxf>
      <border>
        <left/>
        <right/>
        <top/>
        <bottom/>
      </border>
    </dxf>
    <dxf>
      <border>
        <left/>
        <right/>
        <top/>
        <bottom/>
      </border>
    </dxf>
    <dxf>
      <border>
        <left/>
        <right/>
        <top/>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Continuous"/>
    </dxf>
    <dxf>
      <alignment horizontal="centerContinuous"/>
    </dxf>
    <dxf>
      <alignment horizontal="centerContinuous"/>
    </dxf>
    <dxf>
      <numFmt numFmtId="2" formatCode="0.00"/>
    </dxf>
    <dxf>
      <border>
        <left/>
        <right/>
        <top/>
        <bottom/>
      </border>
    </dxf>
    <dxf>
      <border>
        <left/>
        <right/>
        <top/>
        <bottom/>
      </border>
    </dxf>
    <dxf>
      <border>
        <left/>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fill>
        <patternFill patternType="solid">
          <fgColor indexed="64"/>
          <bgColor theme="8" tint="0.59999389629810485"/>
        </patternFill>
      </fill>
    </dxf>
    <dxf>
      <numFmt numFmtId="0" formatCode="Genera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dxf>
    <dxf>
      <numFmt numFmtId="0" formatCode="Genera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fill>
        <patternFill patternType="solid">
          <fgColor indexed="64"/>
          <bgColor theme="8" tint="0.59999389629810485"/>
        </patternFill>
      </fill>
    </dxf>
  </dxfs>
  <tableStyles count="0" defaultTableStyle="TableStyleMedium2" defaultPivotStyle="PivotStyleLight16"/>
  <colors>
    <mruColors>
      <color rgb="FFFEF0F0"/>
      <color rgb="FFE0F4E8"/>
      <color rgb="FFFFFBDD"/>
      <color rgb="FFFFD5DA"/>
      <color rgb="FFFFE1E1"/>
      <color rgb="FFFFFCE7"/>
      <color rgb="FF43739F"/>
      <color rgb="FF488FD0"/>
      <color rgb="FFBCD1EA"/>
      <color rgb="FFDE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32319623010781462"/>
              <c:y val="-3.99852427512793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62119298766899"/>
                  <c:h val="0.18070609659134629"/>
                </c:manualLayout>
              </c15:layout>
            </c:ext>
          </c:extLst>
        </c:dLbl>
      </c:pivotFmt>
      <c:pivotFmt>
        <c:idx val="2"/>
        <c:spPr>
          <a:solidFill>
            <a:schemeClr val="accent1"/>
          </a:solidFill>
          <a:ln w="19050">
            <a:solidFill>
              <a:schemeClr val="lt1"/>
            </a:solidFill>
          </a:ln>
          <a:effectLst/>
        </c:spPr>
        <c:dLbl>
          <c:idx val="0"/>
          <c:layout>
            <c:manualLayout>
              <c:x val="-0.20515873015873018"/>
              <c:y val="-4.6296296296296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039119804400978"/>
              <c:y val="0.111547731061919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575810664253751"/>
              <c:y val="0.226065550768418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575810664253751"/>
              <c:y val="0.226065550768418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039119804400978"/>
              <c:y val="0.111547731061919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0515873015873018"/>
              <c:y val="-4.6296296296296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32319623010781462"/>
              <c:y val="-3.99852427512793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62119298766899"/>
                  <c:h val="0.18070609659134629"/>
                </c:manualLayout>
              </c15:layout>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575810664253751"/>
              <c:y val="0.226065550768418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1039119804400978"/>
              <c:y val="0.111547731061919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515873015873018"/>
              <c:y val="-4.6296296296296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32319623010781462"/>
              <c:y val="-3.99852427512793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62119298766899"/>
                  <c:h val="0.18070609659134629"/>
                </c:manualLayout>
              </c15:layout>
            </c:ext>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83-4A54-9A00-4D5B27B141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3-4A54-9A00-4D5B27B141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83-4A54-9A00-4D5B27B141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83-4A54-9A00-4D5B27B1411A}"/>
              </c:ext>
            </c:extLst>
          </c:dPt>
          <c:dLbls>
            <c:dLbl>
              <c:idx val="0"/>
              <c:layout>
                <c:manualLayout>
                  <c:x val="0.13575810664253751"/>
                  <c:y val="0.226065550768418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83-4A54-9A00-4D5B27B1411A}"/>
                </c:ext>
              </c:extLst>
            </c:dLbl>
            <c:dLbl>
              <c:idx val="1"/>
              <c:layout>
                <c:manualLayout>
                  <c:x val="-0.11039119804400978"/>
                  <c:y val="0.111547731061919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83-4A54-9A00-4D5B27B1411A}"/>
                </c:ext>
              </c:extLst>
            </c:dLbl>
            <c:dLbl>
              <c:idx val="2"/>
              <c:layout>
                <c:manualLayout>
                  <c:x val="-0.20515873015873018"/>
                  <c:y val="-4.62962962962963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83-4A54-9A00-4D5B27B1411A}"/>
                </c:ext>
              </c:extLst>
            </c:dLbl>
            <c:dLbl>
              <c:idx val="3"/>
              <c:layout>
                <c:manualLayout>
                  <c:x val="0.32319623010781462"/>
                  <c:y val="-3.99852427512793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62119298766899"/>
                      <c:h val="0.18070609659134629"/>
                    </c:manualLayout>
                  </c15:layout>
                </c:ext>
                <c:ext xmlns:c16="http://schemas.microsoft.com/office/drawing/2014/chart" uri="{C3380CC4-5D6E-409C-BE32-E72D297353CC}">
                  <c16:uniqueId val="{00000007-B783-4A54-9A00-4D5B27B141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Female</c:v>
              </c:pt>
              <c:pt idx="1">
                <c:v>Male</c:v>
              </c:pt>
              <c:pt idx="2">
                <c:v>Non-binary</c:v>
              </c:pt>
              <c:pt idx="3">
                <c:v>Prefer not to say</c:v>
              </c:pt>
            </c:strLit>
          </c:cat>
          <c:val>
            <c:numLit>
              <c:formatCode>General</c:formatCode>
              <c:ptCount val="4"/>
              <c:pt idx="0">
                <c:v>231</c:v>
              </c:pt>
              <c:pt idx="1">
                <c:v>237</c:v>
              </c:pt>
              <c:pt idx="2">
                <c:v>16</c:v>
              </c:pt>
              <c:pt idx="3">
                <c:v>16</c:v>
              </c:pt>
            </c:numLit>
          </c:val>
          <c:extLst>
            <c:ext xmlns:c16="http://schemas.microsoft.com/office/drawing/2014/chart" uri="{C3380CC4-5D6E-409C-BE32-E72D297353CC}">
              <c16:uniqueId val="{00000008-B783-4A54-9A00-4D5B27B1411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[Mental_health_survey.xlsx]EDA!PivotTable51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Part-time job affect on CGPA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EDA!$N$68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EDA!$M$69:$M$71</c:f>
              <c:strCache>
                <c:ptCount val="2"/>
                <c:pt idx="0">
                  <c:v>No</c:v>
                </c:pt>
                <c:pt idx="1">
                  <c:v>Yes</c:v>
                </c:pt>
              </c:strCache>
            </c:strRef>
          </c:cat>
          <c:val>
            <c:numRef>
              <c:f>EDA!$N$69:$N$71</c:f>
              <c:numCache>
                <c:formatCode>0.00</c:formatCode>
                <c:ptCount val="2"/>
                <c:pt idx="0">
                  <c:v>3.0056333333333352</c:v>
                </c:pt>
                <c:pt idx="1">
                  <c:v>2.8990425531914892</c:v>
                </c:pt>
              </c:numCache>
            </c:numRef>
          </c:val>
          <c:extLst>
            <c:ext xmlns:c16="http://schemas.microsoft.com/office/drawing/2014/chart" uri="{C3380CC4-5D6E-409C-BE32-E72D297353CC}">
              <c16:uniqueId val="{00000000-B1CB-4904-B2EB-801E38C3E0F1}"/>
            </c:ext>
          </c:extLst>
        </c:ser>
        <c:dLbls>
          <c:dLblPos val="outEnd"/>
          <c:showLegendKey val="0"/>
          <c:showVal val="1"/>
          <c:showCatName val="0"/>
          <c:showSerName val="0"/>
          <c:showPercent val="0"/>
          <c:showBubbleSize val="0"/>
        </c:dLbls>
        <c:gapWidth val="80"/>
        <c:overlap val="-17"/>
        <c:axId val="287843040"/>
        <c:axId val="1214875535"/>
      </c:barChart>
      <c:catAx>
        <c:axId val="2878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875535"/>
        <c:crosses val="autoZero"/>
        <c:auto val="1"/>
        <c:lblAlgn val="ctr"/>
        <c:lblOffset val="100"/>
        <c:noMultiLvlLbl val="0"/>
      </c:catAx>
      <c:valAx>
        <c:axId val="1214875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4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Depression Distribution</a:t>
            </a:r>
            <a:r>
              <a:rPr lang="en-US" baseline="0"/>
              <a:t> (PHQ-9)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EDA!$C$112</c:f>
              <c:strCache>
                <c:ptCount val="1"/>
                <c:pt idx="0">
                  <c:v>Count of student_id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EDA!$B$113:$B$118</c:f>
              <c:strCache>
                <c:ptCount val="6"/>
                <c:pt idx="0">
                  <c:v>Answer Not Provided</c:v>
                </c:pt>
                <c:pt idx="1">
                  <c:v>Mild</c:v>
                </c:pt>
                <c:pt idx="2">
                  <c:v>Minimal</c:v>
                </c:pt>
                <c:pt idx="3">
                  <c:v>Moderate</c:v>
                </c:pt>
                <c:pt idx="4">
                  <c:v>Moderately Severe</c:v>
                </c:pt>
                <c:pt idx="5">
                  <c:v>Severe</c:v>
                </c:pt>
              </c:strCache>
            </c:strRef>
          </c:cat>
          <c:val>
            <c:numRef>
              <c:f>EDA!$C$113:$C$118</c:f>
              <c:numCache>
                <c:formatCode>General</c:formatCode>
                <c:ptCount val="6"/>
                <c:pt idx="0">
                  <c:v>14</c:v>
                </c:pt>
                <c:pt idx="1">
                  <c:v>167</c:v>
                </c:pt>
                <c:pt idx="2">
                  <c:v>217</c:v>
                </c:pt>
                <c:pt idx="3">
                  <c:v>60</c:v>
                </c:pt>
                <c:pt idx="4">
                  <c:v>28</c:v>
                </c:pt>
                <c:pt idx="5">
                  <c:v>14</c:v>
                </c:pt>
              </c:numCache>
            </c:numRef>
          </c:val>
          <c:extLst>
            <c:ext xmlns:c16="http://schemas.microsoft.com/office/drawing/2014/chart" uri="{C3380CC4-5D6E-409C-BE32-E72D297353CC}">
              <c16:uniqueId val="{00000000-0889-4328-B470-32AD6F3F941F}"/>
            </c:ext>
          </c:extLst>
        </c:ser>
        <c:dLbls>
          <c:dLblPos val="outEnd"/>
          <c:showLegendKey val="0"/>
          <c:showVal val="1"/>
          <c:showCatName val="0"/>
          <c:showSerName val="0"/>
          <c:showPercent val="0"/>
          <c:showBubbleSize val="0"/>
        </c:dLbls>
        <c:gapWidth val="80"/>
        <c:axId val="2007086000"/>
        <c:axId val="1214947535"/>
      </c:barChart>
      <c:catAx>
        <c:axId val="200708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947535"/>
        <c:crosses val="autoZero"/>
        <c:auto val="1"/>
        <c:lblAlgn val="ctr"/>
        <c:lblOffset val="100"/>
        <c:noMultiLvlLbl val="0"/>
      </c:catAx>
      <c:valAx>
        <c:axId val="121494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86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Anxiety Distribution (GAD-7)</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EDA!$G$112</c:f>
              <c:strCache>
                <c:ptCount val="1"/>
                <c:pt idx="0">
                  <c:v>Count of student_id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EDA!$F$113:$F$117</c:f>
              <c:strCache>
                <c:ptCount val="5"/>
                <c:pt idx="0">
                  <c:v>Answer Not Provided</c:v>
                </c:pt>
                <c:pt idx="1">
                  <c:v>Mild</c:v>
                </c:pt>
                <c:pt idx="2">
                  <c:v>Minimal</c:v>
                </c:pt>
                <c:pt idx="3">
                  <c:v>Moderate</c:v>
                </c:pt>
                <c:pt idx="4">
                  <c:v>Severe</c:v>
                </c:pt>
              </c:strCache>
            </c:strRef>
          </c:cat>
          <c:val>
            <c:numRef>
              <c:f>EDA!$G$113:$G$117</c:f>
              <c:numCache>
                <c:formatCode>General</c:formatCode>
                <c:ptCount val="5"/>
                <c:pt idx="0">
                  <c:v>14</c:v>
                </c:pt>
                <c:pt idx="1">
                  <c:v>224</c:v>
                </c:pt>
                <c:pt idx="2">
                  <c:v>178</c:v>
                </c:pt>
                <c:pt idx="3">
                  <c:v>64</c:v>
                </c:pt>
                <c:pt idx="4">
                  <c:v>20</c:v>
                </c:pt>
              </c:numCache>
            </c:numRef>
          </c:val>
          <c:extLst>
            <c:ext xmlns:c16="http://schemas.microsoft.com/office/drawing/2014/chart" uri="{C3380CC4-5D6E-409C-BE32-E72D297353CC}">
              <c16:uniqueId val="{00000000-493E-43F5-B97E-490CAB024F1B}"/>
            </c:ext>
          </c:extLst>
        </c:ser>
        <c:dLbls>
          <c:dLblPos val="outEnd"/>
          <c:showLegendKey val="0"/>
          <c:showVal val="1"/>
          <c:showCatName val="0"/>
          <c:showSerName val="0"/>
          <c:showPercent val="0"/>
          <c:showBubbleSize val="0"/>
        </c:dLbls>
        <c:gapWidth val="80"/>
        <c:axId val="2007008048"/>
        <c:axId val="1926941296"/>
      </c:barChart>
      <c:catAx>
        <c:axId val="200700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41296"/>
        <c:crosses val="autoZero"/>
        <c:auto val="1"/>
        <c:lblAlgn val="ctr"/>
        <c:lblOffset val="100"/>
        <c:noMultiLvlLbl val="0"/>
      </c:catAx>
      <c:valAx>
        <c:axId val="192694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0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Stress Distribution (PSS)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EDA!$K$112</c:f>
              <c:strCache>
                <c:ptCount val="1"/>
                <c:pt idx="0">
                  <c:v>Count of student_id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EDA!$J$113:$J$115</c:f>
              <c:strCache>
                <c:ptCount val="3"/>
                <c:pt idx="0">
                  <c:v>High Stress</c:v>
                </c:pt>
                <c:pt idx="1">
                  <c:v>Low Stress</c:v>
                </c:pt>
                <c:pt idx="2">
                  <c:v>Moderate Stress</c:v>
                </c:pt>
              </c:strCache>
            </c:strRef>
          </c:cat>
          <c:val>
            <c:numRef>
              <c:f>EDA!$K$113:$K$115</c:f>
              <c:numCache>
                <c:formatCode>General</c:formatCode>
                <c:ptCount val="3"/>
                <c:pt idx="0">
                  <c:v>14</c:v>
                </c:pt>
                <c:pt idx="1">
                  <c:v>326</c:v>
                </c:pt>
                <c:pt idx="2">
                  <c:v>160</c:v>
                </c:pt>
              </c:numCache>
            </c:numRef>
          </c:val>
          <c:extLst>
            <c:ext xmlns:c16="http://schemas.microsoft.com/office/drawing/2014/chart" uri="{C3380CC4-5D6E-409C-BE32-E72D297353CC}">
              <c16:uniqueId val="{00000000-EEB7-4AF9-8C15-C5A33744C007}"/>
            </c:ext>
          </c:extLst>
        </c:ser>
        <c:dLbls>
          <c:dLblPos val="outEnd"/>
          <c:showLegendKey val="0"/>
          <c:showVal val="1"/>
          <c:showCatName val="0"/>
          <c:showSerName val="0"/>
          <c:showPercent val="0"/>
          <c:showBubbleSize val="0"/>
        </c:dLbls>
        <c:gapWidth val="80"/>
        <c:axId val="287723328"/>
        <c:axId val="2013708208"/>
      </c:barChart>
      <c:catAx>
        <c:axId val="28772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08208"/>
        <c:crosses val="autoZero"/>
        <c:auto val="1"/>
        <c:lblAlgn val="ctr"/>
        <c:lblOffset val="100"/>
        <c:noMultiLvlLbl val="0"/>
      </c:catAx>
      <c:valAx>
        <c:axId val="201370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23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[Mental_health_survey.xlsx]EDA!PivotTable59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study hours to physical activity (weekly)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EDA!$C$89</c:f>
              <c:strCache>
                <c:ptCount val="1"/>
                <c:pt idx="0">
                  <c:v>Average of weekly_study_hours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EDA!$B$90:$B$97</c:f>
              <c:strCache>
                <c:ptCount val="7"/>
                <c:pt idx="0">
                  <c:v>Arts</c:v>
                </c:pt>
                <c:pt idx="1">
                  <c:v>Business</c:v>
                </c:pt>
                <c:pt idx="2">
                  <c:v>Health Sciences</c:v>
                </c:pt>
                <c:pt idx="3">
                  <c:v>Humanities</c:v>
                </c:pt>
                <c:pt idx="4">
                  <c:v>Law</c:v>
                </c:pt>
                <c:pt idx="5">
                  <c:v>Social Sciences</c:v>
                </c:pt>
                <c:pt idx="6">
                  <c:v>STEM</c:v>
                </c:pt>
              </c:strCache>
            </c:strRef>
          </c:cat>
          <c:val>
            <c:numRef>
              <c:f>EDA!$C$90:$C$97</c:f>
              <c:numCache>
                <c:formatCode>0.00</c:formatCode>
                <c:ptCount val="7"/>
                <c:pt idx="0">
                  <c:v>13.980555555555554</c:v>
                </c:pt>
                <c:pt idx="1">
                  <c:v>18.920588235294126</c:v>
                </c:pt>
                <c:pt idx="2">
                  <c:v>18.969090909090905</c:v>
                </c:pt>
                <c:pt idx="3">
                  <c:v>16.549056603773582</c:v>
                </c:pt>
                <c:pt idx="4">
                  <c:v>15.087499999999999</c:v>
                </c:pt>
                <c:pt idx="5">
                  <c:v>17.055714285714284</c:v>
                </c:pt>
                <c:pt idx="6">
                  <c:v>20.355000000000008</c:v>
                </c:pt>
              </c:numCache>
            </c:numRef>
          </c:val>
          <c:smooth val="0"/>
          <c:extLst>
            <c:ext xmlns:c16="http://schemas.microsoft.com/office/drawing/2014/chart" uri="{C3380CC4-5D6E-409C-BE32-E72D297353CC}">
              <c16:uniqueId val="{00000000-CA06-42A4-9F36-F55678437607}"/>
            </c:ext>
          </c:extLst>
        </c:ser>
        <c:ser>
          <c:idx val="1"/>
          <c:order val="1"/>
          <c:tx>
            <c:strRef>
              <c:f>EDA!$D$89</c:f>
              <c:strCache>
                <c:ptCount val="1"/>
                <c:pt idx="0">
                  <c:v>Average of physical_activity_days_per_week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EDA!$B$90:$B$97</c:f>
              <c:strCache>
                <c:ptCount val="7"/>
                <c:pt idx="0">
                  <c:v>Arts</c:v>
                </c:pt>
                <c:pt idx="1">
                  <c:v>Business</c:v>
                </c:pt>
                <c:pt idx="2">
                  <c:v>Health Sciences</c:v>
                </c:pt>
                <c:pt idx="3">
                  <c:v>Humanities</c:v>
                </c:pt>
                <c:pt idx="4">
                  <c:v>Law</c:v>
                </c:pt>
                <c:pt idx="5">
                  <c:v>Social Sciences</c:v>
                </c:pt>
                <c:pt idx="6">
                  <c:v>STEM</c:v>
                </c:pt>
              </c:strCache>
            </c:strRef>
          </c:cat>
          <c:val>
            <c:numRef>
              <c:f>EDA!$D$90:$D$97</c:f>
              <c:numCache>
                <c:formatCode>0.00</c:formatCode>
                <c:ptCount val="7"/>
                <c:pt idx="0">
                  <c:v>2.6111111111111112</c:v>
                </c:pt>
                <c:pt idx="1">
                  <c:v>2.4509803921568629</c:v>
                </c:pt>
                <c:pt idx="2">
                  <c:v>2.6909090909090909</c:v>
                </c:pt>
                <c:pt idx="3">
                  <c:v>3.1320754716981134</c:v>
                </c:pt>
                <c:pt idx="4">
                  <c:v>2.625</c:v>
                </c:pt>
                <c:pt idx="5">
                  <c:v>2.9571428571428573</c:v>
                </c:pt>
                <c:pt idx="6">
                  <c:v>2.4624999999999999</c:v>
                </c:pt>
              </c:numCache>
            </c:numRef>
          </c:val>
          <c:smooth val="0"/>
          <c:extLst>
            <c:ext xmlns:c16="http://schemas.microsoft.com/office/drawing/2014/chart" uri="{C3380CC4-5D6E-409C-BE32-E72D297353CC}">
              <c16:uniqueId val="{00000001-CA06-42A4-9F36-F55678437607}"/>
            </c:ext>
          </c:extLst>
        </c:ser>
        <c:dLbls>
          <c:dLblPos val="t"/>
          <c:showLegendKey val="0"/>
          <c:showVal val="1"/>
          <c:showCatName val="0"/>
          <c:showSerName val="0"/>
          <c:showPercent val="0"/>
          <c:showBubbleSize val="0"/>
        </c:dLbls>
        <c:marker val="1"/>
        <c:smooth val="0"/>
        <c:axId val="287779008"/>
        <c:axId val="2013738448"/>
      </c:lineChart>
      <c:catAx>
        <c:axId val="28777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38448"/>
        <c:crosses val="autoZero"/>
        <c:auto val="1"/>
        <c:lblAlgn val="ctr"/>
        <c:lblOffset val="100"/>
        <c:noMultiLvlLbl val="0"/>
      </c:catAx>
      <c:valAx>
        <c:axId val="2013738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79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[Mental_health_survey.xlsx]EDA!PivotTable60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sleep to screen</a:t>
            </a:r>
            <a:r>
              <a:rPr lang="en-IN" baseline="0"/>
              <a:t> time (daily)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EDA!$I$89</c:f>
              <c:strCache>
                <c:ptCount val="1"/>
                <c:pt idx="0">
                  <c:v>Average of daily_sleep_hours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EDA!$H$90:$H$97</c:f>
              <c:strCache>
                <c:ptCount val="7"/>
                <c:pt idx="0">
                  <c:v>Arts</c:v>
                </c:pt>
                <c:pt idx="1">
                  <c:v>Business</c:v>
                </c:pt>
                <c:pt idx="2">
                  <c:v>Health Sciences</c:v>
                </c:pt>
                <c:pt idx="3">
                  <c:v>Humanities</c:v>
                </c:pt>
                <c:pt idx="4">
                  <c:v>Law</c:v>
                </c:pt>
                <c:pt idx="5">
                  <c:v>Social Sciences</c:v>
                </c:pt>
                <c:pt idx="6">
                  <c:v>STEM</c:v>
                </c:pt>
              </c:strCache>
            </c:strRef>
          </c:cat>
          <c:val>
            <c:numRef>
              <c:f>EDA!$I$90:$I$97</c:f>
              <c:numCache>
                <c:formatCode>0.00</c:formatCode>
                <c:ptCount val="7"/>
                <c:pt idx="0">
                  <c:v>5.7666666666666666</c:v>
                </c:pt>
                <c:pt idx="1">
                  <c:v>6.3666666666666663</c:v>
                </c:pt>
                <c:pt idx="2">
                  <c:v>6.2872727272727262</c:v>
                </c:pt>
                <c:pt idx="3">
                  <c:v>6.3528301886792446</c:v>
                </c:pt>
                <c:pt idx="4">
                  <c:v>6.1124999999999998</c:v>
                </c:pt>
                <c:pt idx="5">
                  <c:v>6.1771428571428579</c:v>
                </c:pt>
                <c:pt idx="6">
                  <c:v>6.1293750000000022</c:v>
                </c:pt>
              </c:numCache>
            </c:numRef>
          </c:val>
          <c:smooth val="0"/>
          <c:extLst>
            <c:ext xmlns:c16="http://schemas.microsoft.com/office/drawing/2014/chart" uri="{C3380CC4-5D6E-409C-BE32-E72D297353CC}">
              <c16:uniqueId val="{00000000-052E-4C99-9A8D-62706CAB26F8}"/>
            </c:ext>
          </c:extLst>
        </c:ser>
        <c:ser>
          <c:idx val="1"/>
          <c:order val="1"/>
          <c:tx>
            <c:strRef>
              <c:f>EDA!$J$89</c:f>
              <c:strCache>
                <c:ptCount val="1"/>
                <c:pt idx="0">
                  <c:v>Average of daily_screen_time_hours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EDA!$H$90:$H$97</c:f>
              <c:strCache>
                <c:ptCount val="7"/>
                <c:pt idx="0">
                  <c:v>Arts</c:v>
                </c:pt>
                <c:pt idx="1">
                  <c:v>Business</c:v>
                </c:pt>
                <c:pt idx="2">
                  <c:v>Health Sciences</c:v>
                </c:pt>
                <c:pt idx="3">
                  <c:v>Humanities</c:v>
                </c:pt>
                <c:pt idx="4">
                  <c:v>Law</c:v>
                </c:pt>
                <c:pt idx="5">
                  <c:v>Social Sciences</c:v>
                </c:pt>
                <c:pt idx="6">
                  <c:v>STEM</c:v>
                </c:pt>
              </c:strCache>
            </c:strRef>
          </c:cat>
          <c:val>
            <c:numRef>
              <c:f>EDA!$J$90:$J$97</c:f>
              <c:numCache>
                <c:formatCode>0.00</c:formatCode>
                <c:ptCount val="7"/>
                <c:pt idx="0">
                  <c:v>4.9083333333333332</c:v>
                </c:pt>
                <c:pt idx="1">
                  <c:v>4.5960784313725478</c:v>
                </c:pt>
                <c:pt idx="2">
                  <c:v>5.5345454545454542</c:v>
                </c:pt>
                <c:pt idx="3">
                  <c:v>5.2981132075471704</c:v>
                </c:pt>
                <c:pt idx="4">
                  <c:v>4.4208333333333334</c:v>
                </c:pt>
                <c:pt idx="5">
                  <c:v>4.6900000000000013</c:v>
                </c:pt>
                <c:pt idx="6">
                  <c:v>5.346874999999998</c:v>
                </c:pt>
              </c:numCache>
            </c:numRef>
          </c:val>
          <c:smooth val="0"/>
          <c:extLst>
            <c:ext xmlns:c16="http://schemas.microsoft.com/office/drawing/2014/chart" uri="{C3380CC4-5D6E-409C-BE32-E72D297353CC}">
              <c16:uniqueId val="{00000001-052E-4C99-9A8D-62706CAB26F8}"/>
            </c:ext>
          </c:extLst>
        </c:ser>
        <c:dLbls>
          <c:dLblPos val="t"/>
          <c:showLegendKey val="0"/>
          <c:showVal val="1"/>
          <c:showCatName val="0"/>
          <c:showSerName val="0"/>
          <c:showPercent val="0"/>
          <c:showBubbleSize val="0"/>
        </c:dLbls>
        <c:marker val="1"/>
        <c:smooth val="0"/>
        <c:axId val="287694560"/>
        <c:axId val="2013645808"/>
      </c:lineChart>
      <c:catAx>
        <c:axId val="2876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45808"/>
        <c:crosses val="autoZero"/>
        <c:auto val="1"/>
        <c:lblAlgn val="ctr"/>
        <c:lblOffset val="100"/>
        <c:noMultiLvlLbl val="0"/>
      </c:catAx>
      <c:valAx>
        <c:axId val="2013645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94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Mental</a:t>
            </a:r>
            <a:r>
              <a:rPr lang="en-IN" baseline="0"/>
              <a:t> Health Factors with a Part-time Job</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EDA!$C$121</c:f>
              <c:strCache>
                <c:ptCount val="1"/>
                <c:pt idx="0">
                  <c:v>Average of perceived_stress_scale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EDA!$B$122:$B$123</c:f>
              <c:strCache>
                <c:ptCount val="2"/>
                <c:pt idx="0">
                  <c:v>No</c:v>
                </c:pt>
                <c:pt idx="1">
                  <c:v>Yes</c:v>
                </c:pt>
              </c:strCache>
            </c:strRef>
          </c:cat>
          <c:val>
            <c:numRef>
              <c:f>EDA!$C$122:$C$123</c:f>
              <c:numCache>
                <c:formatCode>General</c:formatCode>
                <c:ptCount val="2"/>
                <c:pt idx="0">
                  <c:v>12.36</c:v>
                </c:pt>
                <c:pt idx="1">
                  <c:v>11.72</c:v>
                </c:pt>
              </c:numCache>
            </c:numRef>
          </c:val>
          <c:extLst>
            <c:ext xmlns:c16="http://schemas.microsoft.com/office/drawing/2014/chart" uri="{C3380CC4-5D6E-409C-BE32-E72D297353CC}">
              <c16:uniqueId val="{00000000-7A47-47EB-A6FF-3730C4616064}"/>
            </c:ext>
          </c:extLst>
        </c:ser>
        <c:ser>
          <c:idx val="1"/>
          <c:order val="1"/>
          <c:tx>
            <c:strRef>
              <c:f>EDA!$D$121</c:f>
              <c:strCache>
                <c:ptCount val="1"/>
                <c:pt idx="0">
                  <c:v>Average of gad7_score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EDA!$B$122:$B$123</c:f>
              <c:strCache>
                <c:ptCount val="2"/>
                <c:pt idx="0">
                  <c:v>No</c:v>
                </c:pt>
                <c:pt idx="1">
                  <c:v>Yes</c:v>
                </c:pt>
              </c:strCache>
            </c:strRef>
          </c:cat>
          <c:val>
            <c:numRef>
              <c:f>EDA!$D$122:$D$123</c:f>
              <c:numCache>
                <c:formatCode>General</c:formatCode>
                <c:ptCount val="2"/>
                <c:pt idx="0">
                  <c:v>6.29</c:v>
                </c:pt>
                <c:pt idx="1">
                  <c:v>6.27</c:v>
                </c:pt>
              </c:numCache>
            </c:numRef>
          </c:val>
          <c:extLst>
            <c:ext xmlns:c16="http://schemas.microsoft.com/office/drawing/2014/chart" uri="{C3380CC4-5D6E-409C-BE32-E72D297353CC}">
              <c16:uniqueId val="{00000001-7A47-47EB-A6FF-3730C4616064}"/>
            </c:ext>
          </c:extLst>
        </c:ser>
        <c:ser>
          <c:idx val="2"/>
          <c:order val="2"/>
          <c:tx>
            <c:strRef>
              <c:f>EDA!$E$121</c:f>
              <c:strCache>
                <c:ptCount val="1"/>
                <c:pt idx="0">
                  <c:v>Average of phq9_score</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EDA!$B$122:$B$123</c:f>
              <c:strCache>
                <c:ptCount val="2"/>
                <c:pt idx="0">
                  <c:v>No</c:v>
                </c:pt>
                <c:pt idx="1">
                  <c:v>Yes</c:v>
                </c:pt>
              </c:strCache>
            </c:strRef>
          </c:cat>
          <c:val>
            <c:numRef>
              <c:f>EDA!$E$122:$E$123</c:f>
              <c:numCache>
                <c:formatCode>General</c:formatCode>
                <c:ptCount val="2"/>
                <c:pt idx="0">
                  <c:v>6.61</c:v>
                </c:pt>
                <c:pt idx="1">
                  <c:v>6.21</c:v>
                </c:pt>
              </c:numCache>
            </c:numRef>
          </c:val>
          <c:extLst>
            <c:ext xmlns:c16="http://schemas.microsoft.com/office/drawing/2014/chart" uri="{C3380CC4-5D6E-409C-BE32-E72D297353CC}">
              <c16:uniqueId val="{00000002-7A47-47EB-A6FF-3730C4616064}"/>
            </c:ext>
          </c:extLst>
        </c:ser>
        <c:dLbls>
          <c:dLblPos val="outEnd"/>
          <c:showLegendKey val="0"/>
          <c:showVal val="1"/>
          <c:showCatName val="0"/>
          <c:showSerName val="0"/>
          <c:showPercent val="0"/>
          <c:showBubbleSize val="0"/>
        </c:dLbls>
        <c:gapWidth val="150"/>
        <c:axId val="428991648"/>
        <c:axId val="1993252720"/>
      </c:barChart>
      <c:catAx>
        <c:axId val="4289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2720"/>
        <c:crosses val="autoZero"/>
        <c:auto val="1"/>
        <c:lblAlgn val="ctr"/>
        <c:lblOffset val="100"/>
        <c:noMultiLvlLbl val="0"/>
      </c:catAx>
      <c:valAx>
        <c:axId val="19932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91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Students Distribution in Majors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EDA!$B$127</c:f>
              <c:strCache>
                <c:ptCount val="1"/>
                <c:pt idx="0">
                  <c:v>Arts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EDA!$C$127</c:f>
              <c:numCache>
                <c:formatCode>General</c:formatCode>
                <c:ptCount val="1"/>
                <c:pt idx="0">
                  <c:v>36</c:v>
                </c:pt>
              </c:numCache>
            </c:numRef>
          </c:val>
          <c:extLst>
            <c:ext xmlns:c16="http://schemas.microsoft.com/office/drawing/2014/chart" uri="{C3380CC4-5D6E-409C-BE32-E72D297353CC}">
              <c16:uniqueId val="{00000000-C5C9-4215-A0BB-B62991A1E4E4}"/>
            </c:ext>
          </c:extLst>
        </c:ser>
        <c:ser>
          <c:idx val="1"/>
          <c:order val="1"/>
          <c:tx>
            <c:strRef>
              <c:f>EDA!$B$128</c:f>
              <c:strCache>
                <c:ptCount val="1"/>
                <c:pt idx="0">
                  <c:v>Business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EDA!$C$128</c:f>
              <c:numCache>
                <c:formatCode>General</c:formatCode>
                <c:ptCount val="1"/>
                <c:pt idx="0">
                  <c:v>102</c:v>
                </c:pt>
              </c:numCache>
            </c:numRef>
          </c:val>
          <c:extLst>
            <c:ext xmlns:c16="http://schemas.microsoft.com/office/drawing/2014/chart" uri="{C3380CC4-5D6E-409C-BE32-E72D297353CC}">
              <c16:uniqueId val="{00000001-C5C9-4215-A0BB-B62991A1E4E4}"/>
            </c:ext>
          </c:extLst>
        </c:ser>
        <c:ser>
          <c:idx val="2"/>
          <c:order val="2"/>
          <c:tx>
            <c:strRef>
              <c:f>EDA!$B$129</c:f>
              <c:strCache>
                <c:ptCount val="1"/>
                <c:pt idx="0">
                  <c:v>Health Sciences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EDA!$C$129</c:f>
              <c:numCache>
                <c:formatCode>General</c:formatCode>
                <c:ptCount val="1"/>
                <c:pt idx="0">
                  <c:v>55</c:v>
                </c:pt>
              </c:numCache>
            </c:numRef>
          </c:val>
          <c:extLst>
            <c:ext xmlns:c16="http://schemas.microsoft.com/office/drawing/2014/chart" uri="{C3380CC4-5D6E-409C-BE32-E72D297353CC}">
              <c16:uniqueId val="{00000002-C5C9-4215-A0BB-B62991A1E4E4}"/>
            </c:ext>
          </c:extLst>
        </c:ser>
        <c:ser>
          <c:idx val="3"/>
          <c:order val="3"/>
          <c:tx>
            <c:strRef>
              <c:f>EDA!$B$130</c:f>
              <c:strCache>
                <c:ptCount val="1"/>
                <c:pt idx="0">
                  <c:v>Humanities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EDA!$C$130</c:f>
              <c:numCache>
                <c:formatCode>General</c:formatCode>
                <c:ptCount val="1"/>
                <c:pt idx="0">
                  <c:v>53</c:v>
                </c:pt>
              </c:numCache>
            </c:numRef>
          </c:val>
          <c:extLst>
            <c:ext xmlns:c16="http://schemas.microsoft.com/office/drawing/2014/chart" uri="{C3380CC4-5D6E-409C-BE32-E72D297353CC}">
              <c16:uniqueId val="{00000003-C5C9-4215-A0BB-B62991A1E4E4}"/>
            </c:ext>
          </c:extLst>
        </c:ser>
        <c:ser>
          <c:idx val="4"/>
          <c:order val="4"/>
          <c:tx>
            <c:strRef>
              <c:f>EDA!$B$131</c:f>
              <c:strCache>
                <c:ptCount val="1"/>
                <c:pt idx="0">
                  <c:v>Law</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EDA!$C$131</c:f>
              <c:numCache>
                <c:formatCode>General</c:formatCode>
                <c:ptCount val="1"/>
                <c:pt idx="0">
                  <c:v>24</c:v>
                </c:pt>
              </c:numCache>
            </c:numRef>
          </c:val>
          <c:extLst>
            <c:ext xmlns:c16="http://schemas.microsoft.com/office/drawing/2014/chart" uri="{C3380CC4-5D6E-409C-BE32-E72D297353CC}">
              <c16:uniqueId val="{00000004-C5C9-4215-A0BB-B62991A1E4E4}"/>
            </c:ext>
          </c:extLst>
        </c:ser>
        <c:ser>
          <c:idx val="5"/>
          <c:order val="5"/>
          <c:tx>
            <c:strRef>
              <c:f>EDA!$B$132</c:f>
              <c:strCache>
                <c:ptCount val="1"/>
                <c:pt idx="0">
                  <c:v>Social Sciences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EDA!$C$132</c:f>
              <c:numCache>
                <c:formatCode>General</c:formatCode>
                <c:ptCount val="1"/>
                <c:pt idx="0">
                  <c:v>70</c:v>
                </c:pt>
              </c:numCache>
            </c:numRef>
          </c:val>
          <c:extLst>
            <c:ext xmlns:c16="http://schemas.microsoft.com/office/drawing/2014/chart" uri="{C3380CC4-5D6E-409C-BE32-E72D297353CC}">
              <c16:uniqueId val="{00000005-C5C9-4215-A0BB-B62991A1E4E4}"/>
            </c:ext>
          </c:extLst>
        </c:ser>
        <c:ser>
          <c:idx val="6"/>
          <c:order val="6"/>
          <c:tx>
            <c:strRef>
              <c:f>EDA!$B$133</c:f>
              <c:strCache>
                <c:ptCount val="1"/>
                <c:pt idx="0">
                  <c:v>STEM</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EDA!$C$126</c:f>
              <c:strCache>
                <c:ptCount val="1"/>
                <c:pt idx="0">
                  <c:v>Count of student_id</c:v>
                </c:pt>
              </c:strCache>
            </c:strRef>
          </c:cat>
          <c:val>
            <c:numRef>
              <c:f>EDA!$C$133</c:f>
              <c:numCache>
                <c:formatCode>General</c:formatCode>
                <c:ptCount val="1"/>
                <c:pt idx="0">
                  <c:v>160</c:v>
                </c:pt>
              </c:numCache>
            </c:numRef>
          </c:val>
          <c:extLst>
            <c:ext xmlns:c16="http://schemas.microsoft.com/office/drawing/2014/chart" uri="{C3380CC4-5D6E-409C-BE32-E72D297353CC}">
              <c16:uniqueId val="{00000006-C5C9-4215-A0BB-B62991A1E4E4}"/>
            </c:ext>
          </c:extLst>
        </c:ser>
        <c:dLbls>
          <c:dLblPos val="outEnd"/>
          <c:showLegendKey val="0"/>
          <c:showVal val="1"/>
          <c:showCatName val="0"/>
          <c:showSerName val="0"/>
          <c:showPercent val="0"/>
          <c:showBubbleSize val="0"/>
        </c:dLbls>
        <c:gapWidth val="182"/>
        <c:axId val="1216425359"/>
        <c:axId val="2013689488"/>
      </c:barChart>
      <c:catAx>
        <c:axId val="121642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89488"/>
        <c:crosses val="autoZero"/>
        <c:auto val="1"/>
        <c:lblAlgn val="ctr"/>
        <c:lblOffset val="100"/>
        <c:noMultiLvlLbl val="0"/>
      </c:catAx>
      <c:valAx>
        <c:axId val="201368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25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GAD-7 (most statistically signjificant) vs CGPA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Clean_Data!$V$4</c:f>
              <c:strCache>
                <c:ptCount val="1"/>
                <c:pt idx="0">
                  <c:v>cgpa</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2225" cap="rnd">
                <a:solidFill>
                  <a:srgbClr val="FF0000"/>
                </a:solidFill>
                <a:prstDash val="sysDot"/>
              </a:ln>
              <a:effectLst/>
            </c:spPr>
            <c:trendlineType val="linear"/>
            <c:dispRSqr val="1"/>
            <c:dispEq val="0"/>
            <c:trendlineLbl>
              <c:layout>
                <c:manualLayout>
                  <c:x val="7.7525360005674141E-3"/>
                  <c:y val="0.113149970836978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Clean_Data!$J$5:$J$504</c:f>
              <c:numCache>
                <c:formatCode>General</c:formatCode>
                <c:ptCount val="500"/>
                <c:pt idx="0">
                  <c:v>16</c:v>
                </c:pt>
                <c:pt idx="1">
                  <c:v>7</c:v>
                </c:pt>
                <c:pt idx="2">
                  <c:v>2</c:v>
                </c:pt>
                <c:pt idx="3">
                  <c:v>6</c:v>
                </c:pt>
                <c:pt idx="4">
                  <c:v>6</c:v>
                </c:pt>
                <c:pt idx="5">
                  <c:v>5</c:v>
                </c:pt>
                <c:pt idx="6">
                  <c:v>3</c:v>
                </c:pt>
                <c:pt idx="7">
                  <c:v>19</c:v>
                </c:pt>
                <c:pt idx="8">
                  <c:v>8</c:v>
                </c:pt>
                <c:pt idx="9">
                  <c:v>7</c:v>
                </c:pt>
                <c:pt idx="10">
                  <c:v>6</c:v>
                </c:pt>
                <c:pt idx="11">
                  <c:v>5</c:v>
                </c:pt>
                <c:pt idx="13">
                  <c:v>5</c:v>
                </c:pt>
                <c:pt idx="14">
                  <c:v>6</c:v>
                </c:pt>
                <c:pt idx="15">
                  <c:v>19</c:v>
                </c:pt>
                <c:pt idx="16">
                  <c:v>4</c:v>
                </c:pt>
                <c:pt idx="17">
                  <c:v>1</c:v>
                </c:pt>
                <c:pt idx="18">
                  <c:v>9</c:v>
                </c:pt>
                <c:pt idx="19">
                  <c:v>3</c:v>
                </c:pt>
                <c:pt idx="20">
                  <c:v>9</c:v>
                </c:pt>
                <c:pt idx="21">
                  <c:v>2</c:v>
                </c:pt>
                <c:pt idx="22">
                  <c:v>9</c:v>
                </c:pt>
                <c:pt idx="23">
                  <c:v>21</c:v>
                </c:pt>
                <c:pt idx="24">
                  <c:v>7</c:v>
                </c:pt>
                <c:pt idx="25">
                  <c:v>4</c:v>
                </c:pt>
                <c:pt idx="27">
                  <c:v>3</c:v>
                </c:pt>
                <c:pt idx="28">
                  <c:v>4</c:v>
                </c:pt>
                <c:pt idx="29">
                  <c:v>10</c:v>
                </c:pt>
                <c:pt idx="30">
                  <c:v>6</c:v>
                </c:pt>
                <c:pt idx="31">
                  <c:v>2</c:v>
                </c:pt>
                <c:pt idx="32">
                  <c:v>9</c:v>
                </c:pt>
                <c:pt idx="33">
                  <c:v>4</c:v>
                </c:pt>
                <c:pt idx="34">
                  <c:v>10</c:v>
                </c:pt>
                <c:pt idx="35">
                  <c:v>7</c:v>
                </c:pt>
                <c:pt idx="36">
                  <c:v>6</c:v>
                </c:pt>
                <c:pt idx="37">
                  <c:v>5</c:v>
                </c:pt>
                <c:pt idx="38">
                  <c:v>7</c:v>
                </c:pt>
                <c:pt idx="39">
                  <c:v>6</c:v>
                </c:pt>
                <c:pt idx="40">
                  <c:v>7</c:v>
                </c:pt>
                <c:pt idx="41">
                  <c:v>5</c:v>
                </c:pt>
                <c:pt idx="42">
                  <c:v>4</c:v>
                </c:pt>
                <c:pt idx="43">
                  <c:v>4</c:v>
                </c:pt>
                <c:pt idx="44">
                  <c:v>4</c:v>
                </c:pt>
                <c:pt idx="45">
                  <c:v>8</c:v>
                </c:pt>
                <c:pt idx="46">
                  <c:v>2</c:v>
                </c:pt>
                <c:pt idx="47">
                  <c:v>3</c:v>
                </c:pt>
                <c:pt idx="48">
                  <c:v>4</c:v>
                </c:pt>
                <c:pt idx="49">
                  <c:v>3</c:v>
                </c:pt>
                <c:pt idx="50">
                  <c:v>3</c:v>
                </c:pt>
                <c:pt idx="51">
                  <c:v>4</c:v>
                </c:pt>
                <c:pt idx="52">
                  <c:v>7</c:v>
                </c:pt>
                <c:pt idx="53">
                  <c:v>4</c:v>
                </c:pt>
                <c:pt idx="54">
                  <c:v>5</c:v>
                </c:pt>
                <c:pt idx="55">
                  <c:v>12</c:v>
                </c:pt>
                <c:pt idx="56">
                  <c:v>18</c:v>
                </c:pt>
                <c:pt idx="57">
                  <c:v>11</c:v>
                </c:pt>
                <c:pt idx="58">
                  <c:v>2</c:v>
                </c:pt>
                <c:pt idx="59">
                  <c:v>6</c:v>
                </c:pt>
                <c:pt idx="60">
                  <c:v>21</c:v>
                </c:pt>
                <c:pt idx="61">
                  <c:v>4</c:v>
                </c:pt>
                <c:pt idx="62">
                  <c:v>13</c:v>
                </c:pt>
                <c:pt idx="63">
                  <c:v>6</c:v>
                </c:pt>
                <c:pt idx="64">
                  <c:v>5</c:v>
                </c:pt>
                <c:pt idx="65">
                  <c:v>2</c:v>
                </c:pt>
                <c:pt idx="66">
                  <c:v>4</c:v>
                </c:pt>
                <c:pt idx="67">
                  <c:v>8</c:v>
                </c:pt>
                <c:pt idx="68">
                  <c:v>6</c:v>
                </c:pt>
                <c:pt idx="69">
                  <c:v>8</c:v>
                </c:pt>
                <c:pt idx="70">
                  <c:v>2</c:v>
                </c:pt>
                <c:pt idx="71">
                  <c:v>5</c:v>
                </c:pt>
                <c:pt idx="72">
                  <c:v>7</c:v>
                </c:pt>
                <c:pt idx="73">
                  <c:v>8</c:v>
                </c:pt>
                <c:pt idx="75">
                  <c:v>3</c:v>
                </c:pt>
                <c:pt idx="76">
                  <c:v>5</c:v>
                </c:pt>
                <c:pt idx="77">
                  <c:v>6</c:v>
                </c:pt>
                <c:pt idx="78">
                  <c:v>6</c:v>
                </c:pt>
                <c:pt idx="79">
                  <c:v>6</c:v>
                </c:pt>
                <c:pt idx="80">
                  <c:v>4</c:v>
                </c:pt>
                <c:pt idx="81">
                  <c:v>8</c:v>
                </c:pt>
                <c:pt idx="82">
                  <c:v>12</c:v>
                </c:pt>
                <c:pt idx="83">
                  <c:v>1</c:v>
                </c:pt>
                <c:pt idx="84">
                  <c:v>6</c:v>
                </c:pt>
                <c:pt idx="85">
                  <c:v>10</c:v>
                </c:pt>
                <c:pt idx="86">
                  <c:v>3</c:v>
                </c:pt>
                <c:pt idx="87">
                  <c:v>6</c:v>
                </c:pt>
                <c:pt idx="88">
                  <c:v>18</c:v>
                </c:pt>
                <c:pt idx="89">
                  <c:v>9</c:v>
                </c:pt>
                <c:pt idx="90">
                  <c:v>8</c:v>
                </c:pt>
                <c:pt idx="91">
                  <c:v>2</c:v>
                </c:pt>
                <c:pt idx="92">
                  <c:v>7</c:v>
                </c:pt>
                <c:pt idx="93">
                  <c:v>11</c:v>
                </c:pt>
                <c:pt idx="94">
                  <c:v>6</c:v>
                </c:pt>
                <c:pt idx="95">
                  <c:v>3</c:v>
                </c:pt>
                <c:pt idx="96">
                  <c:v>4</c:v>
                </c:pt>
                <c:pt idx="97">
                  <c:v>3</c:v>
                </c:pt>
                <c:pt idx="98">
                  <c:v>7</c:v>
                </c:pt>
                <c:pt idx="99">
                  <c:v>9</c:v>
                </c:pt>
                <c:pt idx="100">
                  <c:v>14</c:v>
                </c:pt>
                <c:pt idx="101">
                  <c:v>1</c:v>
                </c:pt>
                <c:pt idx="103">
                  <c:v>13</c:v>
                </c:pt>
                <c:pt idx="104">
                  <c:v>6</c:v>
                </c:pt>
                <c:pt idx="105">
                  <c:v>7</c:v>
                </c:pt>
                <c:pt idx="106">
                  <c:v>2</c:v>
                </c:pt>
                <c:pt idx="107">
                  <c:v>0</c:v>
                </c:pt>
                <c:pt idx="108">
                  <c:v>3</c:v>
                </c:pt>
                <c:pt idx="109">
                  <c:v>5</c:v>
                </c:pt>
                <c:pt idx="110">
                  <c:v>8</c:v>
                </c:pt>
                <c:pt idx="111">
                  <c:v>9</c:v>
                </c:pt>
                <c:pt idx="112">
                  <c:v>10</c:v>
                </c:pt>
                <c:pt idx="113">
                  <c:v>3</c:v>
                </c:pt>
                <c:pt idx="114">
                  <c:v>9</c:v>
                </c:pt>
                <c:pt idx="115">
                  <c:v>2</c:v>
                </c:pt>
                <c:pt idx="116">
                  <c:v>9</c:v>
                </c:pt>
                <c:pt idx="117">
                  <c:v>13</c:v>
                </c:pt>
                <c:pt idx="118">
                  <c:v>1</c:v>
                </c:pt>
                <c:pt idx="119">
                  <c:v>5</c:v>
                </c:pt>
                <c:pt idx="120">
                  <c:v>14</c:v>
                </c:pt>
                <c:pt idx="121">
                  <c:v>9</c:v>
                </c:pt>
                <c:pt idx="122">
                  <c:v>8</c:v>
                </c:pt>
                <c:pt idx="123">
                  <c:v>6</c:v>
                </c:pt>
                <c:pt idx="124">
                  <c:v>4</c:v>
                </c:pt>
                <c:pt idx="125">
                  <c:v>10</c:v>
                </c:pt>
                <c:pt idx="126">
                  <c:v>9</c:v>
                </c:pt>
                <c:pt idx="127">
                  <c:v>10</c:v>
                </c:pt>
                <c:pt idx="128">
                  <c:v>4</c:v>
                </c:pt>
                <c:pt idx="129">
                  <c:v>3</c:v>
                </c:pt>
                <c:pt idx="130">
                  <c:v>5</c:v>
                </c:pt>
                <c:pt idx="131">
                  <c:v>5</c:v>
                </c:pt>
                <c:pt idx="132">
                  <c:v>1</c:v>
                </c:pt>
                <c:pt idx="133">
                  <c:v>3</c:v>
                </c:pt>
                <c:pt idx="134">
                  <c:v>7</c:v>
                </c:pt>
                <c:pt idx="135">
                  <c:v>7</c:v>
                </c:pt>
                <c:pt idx="136">
                  <c:v>6</c:v>
                </c:pt>
                <c:pt idx="137">
                  <c:v>10</c:v>
                </c:pt>
                <c:pt idx="138">
                  <c:v>9</c:v>
                </c:pt>
                <c:pt idx="139">
                  <c:v>9</c:v>
                </c:pt>
                <c:pt idx="140">
                  <c:v>7</c:v>
                </c:pt>
                <c:pt idx="141">
                  <c:v>11</c:v>
                </c:pt>
                <c:pt idx="142">
                  <c:v>16</c:v>
                </c:pt>
                <c:pt idx="143">
                  <c:v>8</c:v>
                </c:pt>
                <c:pt idx="144">
                  <c:v>5</c:v>
                </c:pt>
                <c:pt idx="145">
                  <c:v>2</c:v>
                </c:pt>
                <c:pt idx="146">
                  <c:v>1</c:v>
                </c:pt>
                <c:pt idx="147">
                  <c:v>5</c:v>
                </c:pt>
                <c:pt idx="148">
                  <c:v>6</c:v>
                </c:pt>
                <c:pt idx="149">
                  <c:v>5</c:v>
                </c:pt>
                <c:pt idx="150">
                  <c:v>10</c:v>
                </c:pt>
                <c:pt idx="151">
                  <c:v>3</c:v>
                </c:pt>
                <c:pt idx="152">
                  <c:v>9</c:v>
                </c:pt>
                <c:pt idx="153">
                  <c:v>2</c:v>
                </c:pt>
                <c:pt idx="154">
                  <c:v>5</c:v>
                </c:pt>
                <c:pt idx="155">
                  <c:v>4</c:v>
                </c:pt>
                <c:pt idx="156">
                  <c:v>3</c:v>
                </c:pt>
                <c:pt idx="157">
                  <c:v>8</c:v>
                </c:pt>
                <c:pt idx="158">
                  <c:v>6</c:v>
                </c:pt>
                <c:pt idx="159">
                  <c:v>9</c:v>
                </c:pt>
                <c:pt idx="160">
                  <c:v>6</c:v>
                </c:pt>
                <c:pt idx="161">
                  <c:v>7</c:v>
                </c:pt>
                <c:pt idx="162">
                  <c:v>11</c:v>
                </c:pt>
                <c:pt idx="163">
                  <c:v>4</c:v>
                </c:pt>
                <c:pt idx="164">
                  <c:v>9</c:v>
                </c:pt>
                <c:pt idx="165">
                  <c:v>2</c:v>
                </c:pt>
                <c:pt idx="166">
                  <c:v>7</c:v>
                </c:pt>
                <c:pt idx="167">
                  <c:v>8</c:v>
                </c:pt>
                <c:pt idx="168">
                  <c:v>5</c:v>
                </c:pt>
                <c:pt idx="169">
                  <c:v>9</c:v>
                </c:pt>
                <c:pt idx="171">
                  <c:v>2</c:v>
                </c:pt>
                <c:pt idx="172">
                  <c:v>15</c:v>
                </c:pt>
                <c:pt idx="173">
                  <c:v>8</c:v>
                </c:pt>
                <c:pt idx="174">
                  <c:v>3</c:v>
                </c:pt>
                <c:pt idx="175">
                  <c:v>5</c:v>
                </c:pt>
                <c:pt idx="176">
                  <c:v>4</c:v>
                </c:pt>
                <c:pt idx="177">
                  <c:v>3</c:v>
                </c:pt>
                <c:pt idx="178">
                  <c:v>10</c:v>
                </c:pt>
                <c:pt idx="179">
                  <c:v>3</c:v>
                </c:pt>
                <c:pt idx="180">
                  <c:v>3</c:v>
                </c:pt>
                <c:pt idx="181">
                  <c:v>15</c:v>
                </c:pt>
                <c:pt idx="182">
                  <c:v>20</c:v>
                </c:pt>
                <c:pt idx="183">
                  <c:v>8</c:v>
                </c:pt>
                <c:pt idx="184">
                  <c:v>9</c:v>
                </c:pt>
                <c:pt idx="185">
                  <c:v>2</c:v>
                </c:pt>
                <c:pt idx="186">
                  <c:v>3</c:v>
                </c:pt>
                <c:pt idx="187">
                  <c:v>15</c:v>
                </c:pt>
                <c:pt idx="188">
                  <c:v>2</c:v>
                </c:pt>
                <c:pt idx="189">
                  <c:v>14</c:v>
                </c:pt>
                <c:pt idx="190">
                  <c:v>8</c:v>
                </c:pt>
                <c:pt idx="191">
                  <c:v>6</c:v>
                </c:pt>
                <c:pt idx="192">
                  <c:v>6</c:v>
                </c:pt>
                <c:pt idx="193">
                  <c:v>5</c:v>
                </c:pt>
                <c:pt idx="194">
                  <c:v>9</c:v>
                </c:pt>
                <c:pt idx="195">
                  <c:v>2</c:v>
                </c:pt>
                <c:pt idx="196">
                  <c:v>5</c:v>
                </c:pt>
                <c:pt idx="197">
                  <c:v>20</c:v>
                </c:pt>
                <c:pt idx="198">
                  <c:v>7</c:v>
                </c:pt>
                <c:pt idx="199">
                  <c:v>2</c:v>
                </c:pt>
                <c:pt idx="200">
                  <c:v>4</c:v>
                </c:pt>
                <c:pt idx="201">
                  <c:v>7</c:v>
                </c:pt>
                <c:pt idx="202">
                  <c:v>3</c:v>
                </c:pt>
                <c:pt idx="204">
                  <c:v>4</c:v>
                </c:pt>
                <c:pt idx="205">
                  <c:v>3</c:v>
                </c:pt>
                <c:pt idx="206">
                  <c:v>10</c:v>
                </c:pt>
                <c:pt idx="207">
                  <c:v>5</c:v>
                </c:pt>
                <c:pt idx="208">
                  <c:v>6</c:v>
                </c:pt>
                <c:pt idx="209">
                  <c:v>0</c:v>
                </c:pt>
                <c:pt idx="210">
                  <c:v>3</c:v>
                </c:pt>
                <c:pt idx="211">
                  <c:v>6</c:v>
                </c:pt>
                <c:pt idx="212">
                  <c:v>5</c:v>
                </c:pt>
                <c:pt idx="213">
                  <c:v>5</c:v>
                </c:pt>
                <c:pt idx="214">
                  <c:v>7</c:v>
                </c:pt>
                <c:pt idx="215">
                  <c:v>1</c:v>
                </c:pt>
                <c:pt idx="217">
                  <c:v>9</c:v>
                </c:pt>
                <c:pt idx="218">
                  <c:v>4</c:v>
                </c:pt>
                <c:pt idx="219">
                  <c:v>6</c:v>
                </c:pt>
                <c:pt idx="220">
                  <c:v>3</c:v>
                </c:pt>
                <c:pt idx="221">
                  <c:v>5</c:v>
                </c:pt>
                <c:pt idx="222">
                  <c:v>19</c:v>
                </c:pt>
                <c:pt idx="223">
                  <c:v>7</c:v>
                </c:pt>
                <c:pt idx="224">
                  <c:v>14</c:v>
                </c:pt>
                <c:pt idx="225">
                  <c:v>3</c:v>
                </c:pt>
                <c:pt idx="226">
                  <c:v>3</c:v>
                </c:pt>
                <c:pt idx="227">
                  <c:v>1</c:v>
                </c:pt>
                <c:pt idx="228">
                  <c:v>9</c:v>
                </c:pt>
                <c:pt idx="229">
                  <c:v>8</c:v>
                </c:pt>
                <c:pt idx="230">
                  <c:v>8</c:v>
                </c:pt>
                <c:pt idx="231">
                  <c:v>4</c:v>
                </c:pt>
                <c:pt idx="232">
                  <c:v>7</c:v>
                </c:pt>
                <c:pt idx="233">
                  <c:v>5</c:v>
                </c:pt>
                <c:pt idx="234">
                  <c:v>0</c:v>
                </c:pt>
                <c:pt idx="235">
                  <c:v>8</c:v>
                </c:pt>
                <c:pt idx="236">
                  <c:v>8</c:v>
                </c:pt>
                <c:pt idx="237">
                  <c:v>7</c:v>
                </c:pt>
                <c:pt idx="238">
                  <c:v>14</c:v>
                </c:pt>
                <c:pt idx="239">
                  <c:v>1</c:v>
                </c:pt>
                <c:pt idx="240">
                  <c:v>6</c:v>
                </c:pt>
                <c:pt idx="241">
                  <c:v>5</c:v>
                </c:pt>
                <c:pt idx="242">
                  <c:v>2</c:v>
                </c:pt>
                <c:pt idx="243">
                  <c:v>6</c:v>
                </c:pt>
                <c:pt idx="244">
                  <c:v>6</c:v>
                </c:pt>
                <c:pt idx="245">
                  <c:v>17</c:v>
                </c:pt>
                <c:pt idx="246">
                  <c:v>13</c:v>
                </c:pt>
                <c:pt idx="247">
                  <c:v>6</c:v>
                </c:pt>
                <c:pt idx="248">
                  <c:v>5</c:v>
                </c:pt>
                <c:pt idx="249">
                  <c:v>8</c:v>
                </c:pt>
                <c:pt idx="250">
                  <c:v>9</c:v>
                </c:pt>
                <c:pt idx="251">
                  <c:v>12</c:v>
                </c:pt>
                <c:pt idx="252">
                  <c:v>12</c:v>
                </c:pt>
                <c:pt idx="253">
                  <c:v>6</c:v>
                </c:pt>
                <c:pt idx="254">
                  <c:v>7</c:v>
                </c:pt>
                <c:pt idx="255">
                  <c:v>9</c:v>
                </c:pt>
                <c:pt idx="256">
                  <c:v>3</c:v>
                </c:pt>
                <c:pt idx="257">
                  <c:v>9</c:v>
                </c:pt>
                <c:pt idx="259">
                  <c:v>5</c:v>
                </c:pt>
                <c:pt idx="260">
                  <c:v>11</c:v>
                </c:pt>
                <c:pt idx="261">
                  <c:v>9</c:v>
                </c:pt>
                <c:pt idx="262">
                  <c:v>11</c:v>
                </c:pt>
                <c:pt idx="263">
                  <c:v>5</c:v>
                </c:pt>
                <c:pt idx="264">
                  <c:v>5</c:v>
                </c:pt>
                <c:pt idx="265">
                  <c:v>6</c:v>
                </c:pt>
                <c:pt idx="266">
                  <c:v>8</c:v>
                </c:pt>
                <c:pt idx="267">
                  <c:v>3</c:v>
                </c:pt>
                <c:pt idx="268">
                  <c:v>5</c:v>
                </c:pt>
                <c:pt idx="269">
                  <c:v>7</c:v>
                </c:pt>
                <c:pt idx="270">
                  <c:v>6</c:v>
                </c:pt>
                <c:pt idx="271">
                  <c:v>5</c:v>
                </c:pt>
                <c:pt idx="272">
                  <c:v>6</c:v>
                </c:pt>
                <c:pt idx="273">
                  <c:v>4</c:v>
                </c:pt>
                <c:pt idx="274">
                  <c:v>3</c:v>
                </c:pt>
                <c:pt idx="275">
                  <c:v>15</c:v>
                </c:pt>
                <c:pt idx="276">
                  <c:v>4</c:v>
                </c:pt>
                <c:pt idx="277">
                  <c:v>2</c:v>
                </c:pt>
                <c:pt idx="278">
                  <c:v>6</c:v>
                </c:pt>
                <c:pt idx="279">
                  <c:v>4</c:v>
                </c:pt>
                <c:pt idx="280">
                  <c:v>14</c:v>
                </c:pt>
                <c:pt idx="281">
                  <c:v>9</c:v>
                </c:pt>
                <c:pt idx="282">
                  <c:v>9</c:v>
                </c:pt>
                <c:pt idx="283">
                  <c:v>5</c:v>
                </c:pt>
                <c:pt idx="284">
                  <c:v>3</c:v>
                </c:pt>
                <c:pt idx="285">
                  <c:v>2</c:v>
                </c:pt>
                <c:pt idx="286">
                  <c:v>2</c:v>
                </c:pt>
                <c:pt idx="287">
                  <c:v>3</c:v>
                </c:pt>
                <c:pt idx="288">
                  <c:v>3</c:v>
                </c:pt>
                <c:pt idx="289">
                  <c:v>0</c:v>
                </c:pt>
                <c:pt idx="290">
                  <c:v>1</c:v>
                </c:pt>
                <c:pt idx="291">
                  <c:v>11</c:v>
                </c:pt>
                <c:pt idx="292">
                  <c:v>5</c:v>
                </c:pt>
                <c:pt idx="293">
                  <c:v>4</c:v>
                </c:pt>
                <c:pt idx="294">
                  <c:v>14</c:v>
                </c:pt>
                <c:pt idx="295">
                  <c:v>7</c:v>
                </c:pt>
                <c:pt idx="296">
                  <c:v>6</c:v>
                </c:pt>
                <c:pt idx="297">
                  <c:v>3</c:v>
                </c:pt>
                <c:pt idx="298">
                  <c:v>12</c:v>
                </c:pt>
                <c:pt idx="299">
                  <c:v>8</c:v>
                </c:pt>
                <c:pt idx="300">
                  <c:v>13</c:v>
                </c:pt>
                <c:pt idx="301">
                  <c:v>2</c:v>
                </c:pt>
                <c:pt idx="302">
                  <c:v>6</c:v>
                </c:pt>
                <c:pt idx="304">
                  <c:v>5</c:v>
                </c:pt>
                <c:pt idx="305">
                  <c:v>3</c:v>
                </c:pt>
                <c:pt idx="306">
                  <c:v>13</c:v>
                </c:pt>
                <c:pt idx="307">
                  <c:v>0</c:v>
                </c:pt>
                <c:pt idx="308">
                  <c:v>9</c:v>
                </c:pt>
                <c:pt idx="309">
                  <c:v>6</c:v>
                </c:pt>
                <c:pt idx="310">
                  <c:v>4</c:v>
                </c:pt>
                <c:pt idx="311">
                  <c:v>11</c:v>
                </c:pt>
                <c:pt idx="312">
                  <c:v>6</c:v>
                </c:pt>
                <c:pt idx="313">
                  <c:v>7</c:v>
                </c:pt>
                <c:pt idx="314">
                  <c:v>10</c:v>
                </c:pt>
                <c:pt idx="315">
                  <c:v>6</c:v>
                </c:pt>
                <c:pt idx="316">
                  <c:v>20</c:v>
                </c:pt>
                <c:pt idx="317">
                  <c:v>9</c:v>
                </c:pt>
                <c:pt idx="318">
                  <c:v>3</c:v>
                </c:pt>
                <c:pt idx="319">
                  <c:v>4</c:v>
                </c:pt>
                <c:pt idx="320">
                  <c:v>4</c:v>
                </c:pt>
                <c:pt idx="321">
                  <c:v>3</c:v>
                </c:pt>
                <c:pt idx="322">
                  <c:v>1</c:v>
                </c:pt>
                <c:pt idx="323">
                  <c:v>3</c:v>
                </c:pt>
                <c:pt idx="324">
                  <c:v>4</c:v>
                </c:pt>
                <c:pt idx="325">
                  <c:v>9</c:v>
                </c:pt>
                <c:pt idx="326">
                  <c:v>0</c:v>
                </c:pt>
                <c:pt idx="327">
                  <c:v>1</c:v>
                </c:pt>
                <c:pt idx="328">
                  <c:v>2</c:v>
                </c:pt>
                <c:pt idx="329">
                  <c:v>11</c:v>
                </c:pt>
                <c:pt idx="330">
                  <c:v>6</c:v>
                </c:pt>
                <c:pt idx="331">
                  <c:v>2</c:v>
                </c:pt>
                <c:pt idx="332">
                  <c:v>8</c:v>
                </c:pt>
                <c:pt idx="333">
                  <c:v>7</c:v>
                </c:pt>
                <c:pt idx="335">
                  <c:v>10</c:v>
                </c:pt>
                <c:pt idx="336">
                  <c:v>3</c:v>
                </c:pt>
                <c:pt idx="337">
                  <c:v>6</c:v>
                </c:pt>
                <c:pt idx="338">
                  <c:v>13</c:v>
                </c:pt>
                <c:pt idx="340">
                  <c:v>8</c:v>
                </c:pt>
                <c:pt idx="341">
                  <c:v>0</c:v>
                </c:pt>
                <c:pt idx="342">
                  <c:v>12</c:v>
                </c:pt>
                <c:pt idx="343">
                  <c:v>4</c:v>
                </c:pt>
                <c:pt idx="344">
                  <c:v>7</c:v>
                </c:pt>
                <c:pt idx="345">
                  <c:v>6</c:v>
                </c:pt>
                <c:pt idx="346">
                  <c:v>0</c:v>
                </c:pt>
                <c:pt idx="347">
                  <c:v>11</c:v>
                </c:pt>
                <c:pt idx="348">
                  <c:v>7</c:v>
                </c:pt>
                <c:pt idx="349">
                  <c:v>0</c:v>
                </c:pt>
                <c:pt idx="350">
                  <c:v>5</c:v>
                </c:pt>
                <c:pt idx="351">
                  <c:v>6</c:v>
                </c:pt>
                <c:pt idx="352">
                  <c:v>2</c:v>
                </c:pt>
                <c:pt idx="353">
                  <c:v>3</c:v>
                </c:pt>
                <c:pt idx="354">
                  <c:v>7</c:v>
                </c:pt>
                <c:pt idx="355">
                  <c:v>7</c:v>
                </c:pt>
                <c:pt idx="356">
                  <c:v>4</c:v>
                </c:pt>
                <c:pt idx="357">
                  <c:v>4</c:v>
                </c:pt>
                <c:pt idx="358">
                  <c:v>5</c:v>
                </c:pt>
                <c:pt idx="359">
                  <c:v>11</c:v>
                </c:pt>
                <c:pt idx="360">
                  <c:v>0</c:v>
                </c:pt>
                <c:pt idx="361">
                  <c:v>3</c:v>
                </c:pt>
                <c:pt idx="362">
                  <c:v>4</c:v>
                </c:pt>
                <c:pt idx="363">
                  <c:v>7</c:v>
                </c:pt>
                <c:pt idx="364">
                  <c:v>3</c:v>
                </c:pt>
                <c:pt idx="365">
                  <c:v>8</c:v>
                </c:pt>
                <c:pt idx="366">
                  <c:v>2</c:v>
                </c:pt>
                <c:pt idx="367">
                  <c:v>3</c:v>
                </c:pt>
                <c:pt idx="368">
                  <c:v>12</c:v>
                </c:pt>
                <c:pt idx="369">
                  <c:v>4</c:v>
                </c:pt>
                <c:pt idx="370">
                  <c:v>3</c:v>
                </c:pt>
                <c:pt idx="371">
                  <c:v>7</c:v>
                </c:pt>
                <c:pt idx="372">
                  <c:v>8</c:v>
                </c:pt>
                <c:pt idx="373">
                  <c:v>2</c:v>
                </c:pt>
                <c:pt idx="374">
                  <c:v>6</c:v>
                </c:pt>
                <c:pt idx="375">
                  <c:v>1</c:v>
                </c:pt>
                <c:pt idx="376">
                  <c:v>6</c:v>
                </c:pt>
                <c:pt idx="377">
                  <c:v>5</c:v>
                </c:pt>
                <c:pt idx="378">
                  <c:v>12</c:v>
                </c:pt>
                <c:pt idx="379">
                  <c:v>9</c:v>
                </c:pt>
                <c:pt idx="380">
                  <c:v>5</c:v>
                </c:pt>
                <c:pt idx="381">
                  <c:v>1</c:v>
                </c:pt>
                <c:pt idx="382">
                  <c:v>13</c:v>
                </c:pt>
                <c:pt idx="383">
                  <c:v>8</c:v>
                </c:pt>
                <c:pt idx="384">
                  <c:v>10</c:v>
                </c:pt>
                <c:pt idx="385">
                  <c:v>5</c:v>
                </c:pt>
                <c:pt idx="386">
                  <c:v>4</c:v>
                </c:pt>
                <c:pt idx="387">
                  <c:v>5</c:v>
                </c:pt>
                <c:pt idx="388">
                  <c:v>7</c:v>
                </c:pt>
                <c:pt idx="389">
                  <c:v>7</c:v>
                </c:pt>
                <c:pt idx="390">
                  <c:v>2</c:v>
                </c:pt>
                <c:pt idx="391">
                  <c:v>6</c:v>
                </c:pt>
                <c:pt idx="392">
                  <c:v>0</c:v>
                </c:pt>
                <c:pt idx="393">
                  <c:v>2</c:v>
                </c:pt>
                <c:pt idx="394">
                  <c:v>3</c:v>
                </c:pt>
                <c:pt idx="395">
                  <c:v>5</c:v>
                </c:pt>
                <c:pt idx="396">
                  <c:v>9</c:v>
                </c:pt>
                <c:pt idx="397">
                  <c:v>6</c:v>
                </c:pt>
                <c:pt idx="398">
                  <c:v>10</c:v>
                </c:pt>
                <c:pt idx="400">
                  <c:v>4</c:v>
                </c:pt>
                <c:pt idx="401">
                  <c:v>3</c:v>
                </c:pt>
                <c:pt idx="402">
                  <c:v>5</c:v>
                </c:pt>
                <c:pt idx="403">
                  <c:v>13</c:v>
                </c:pt>
                <c:pt idx="404">
                  <c:v>8</c:v>
                </c:pt>
                <c:pt idx="405">
                  <c:v>6</c:v>
                </c:pt>
                <c:pt idx="406">
                  <c:v>3</c:v>
                </c:pt>
                <c:pt idx="407">
                  <c:v>11</c:v>
                </c:pt>
                <c:pt idx="408">
                  <c:v>12</c:v>
                </c:pt>
                <c:pt idx="409">
                  <c:v>8</c:v>
                </c:pt>
                <c:pt idx="410">
                  <c:v>3</c:v>
                </c:pt>
                <c:pt idx="411">
                  <c:v>5</c:v>
                </c:pt>
                <c:pt idx="412">
                  <c:v>5</c:v>
                </c:pt>
                <c:pt idx="413">
                  <c:v>1</c:v>
                </c:pt>
                <c:pt idx="414">
                  <c:v>4</c:v>
                </c:pt>
                <c:pt idx="415">
                  <c:v>10</c:v>
                </c:pt>
                <c:pt idx="416">
                  <c:v>7</c:v>
                </c:pt>
                <c:pt idx="417">
                  <c:v>5</c:v>
                </c:pt>
                <c:pt idx="418">
                  <c:v>6</c:v>
                </c:pt>
                <c:pt idx="419">
                  <c:v>3</c:v>
                </c:pt>
                <c:pt idx="420">
                  <c:v>7</c:v>
                </c:pt>
                <c:pt idx="421">
                  <c:v>2</c:v>
                </c:pt>
                <c:pt idx="422">
                  <c:v>5</c:v>
                </c:pt>
                <c:pt idx="423">
                  <c:v>0</c:v>
                </c:pt>
                <c:pt idx="424">
                  <c:v>4</c:v>
                </c:pt>
                <c:pt idx="425">
                  <c:v>9</c:v>
                </c:pt>
                <c:pt idx="426">
                  <c:v>12</c:v>
                </c:pt>
                <c:pt idx="427">
                  <c:v>11</c:v>
                </c:pt>
                <c:pt idx="428">
                  <c:v>7</c:v>
                </c:pt>
                <c:pt idx="429">
                  <c:v>3</c:v>
                </c:pt>
                <c:pt idx="430">
                  <c:v>11</c:v>
                </c:pt>
                <c:pt idx="431">
                  <c:v>9</c:v>
                </c:pt>
                <c:pt idx="432">
                  <c:v>10</c:v>
                </c:pt>
                <c:pt idx="433">
                  <c:v>6</c:v>
                </c:pt>
                <c:pt idx="434">
                  <c:v>9</c:v>
                </c:pt>
                <c:pt idx="435">
                  <c:v>13</c:v>
                </c:pt>
                <c:pt idx="436">
                  <c:v>6</c:v>
                </c:pt>
                <c:pt idx="437">
                  <c:v>2</c:v>
                </c:pt>
                <c:pt idx="438">
                  <c:v>6</c:v>
                </c:pt>
                <c:pt idx="439">
                  <c:v>5</c:v>
                </c:pt>
                <c:pt idx="440">
                  <c:v>10</c:v>
                </c:pt>
                <c:pt idx="441">
                  <c:v>4</c:v>
                </c:pt>
                <c:pt idx="442">
                  <c:v>3</c:v>
                </c:pt>
                <c:pt idx="443">
                  <c:v>3</c:v>
                </c:pt>
                <c:pt idx="444">
                  <c:v>3</c:v>
                </c:pt>
                <c:pt idx="445">
                  <c:v>0</c:v>
                </c:pt>
                <c:pt idx="446">
                  <c:v>4</c:v>
                </c:pt>
                <c:pt idx="447">
                  <c:v>5</c:v>
                </c:pt>
                <c:pt idx="448">
                  <c:v>6</c:v>
                </c:pt>
                <c:pt idx="450">
                  <c:v>14</c:v>
                </c:pt>
                <c:pt idx="451">
                  <c:v>7</c:v>
                </c:pt>
                <c:pt idx="452">
                  <c:v>7</c:v>
                </c:pt>
                <c:pt idx="453">
                  <c:v>5</c:v>
                </c:pt>
                <c:pt idx="454">
                  <c:v>2</c:v>
                </c:pt>
                <c:pt idx="455">
                  <c:v>2</c:v>
                </c:pt>
                <c:pt idx="456">
                  <c:v>3</c:v>
                </c:pt>
                <c:pt idx="457">
                  <c:v>3</c:v>
                </c:pt>
                <c:pt idx="459">
                  <c:v>4</c:v>
                </c:pt>
                <c:pt idx="460">
                  <c:v>1</c:v>
                </c:pt>
                <c:pt idx="461">
                  <c:v>3</c:v>
                </c:pt>
                <c:pt idx="462">
                  <c:v>10</c:v>
                </c:pt>
                <c:pt idx="463">
                  <c:v>4</c:v>
                </c:pt>
                <c:pt idx="464">
                  <c:v>2</c:v>
                </c:pt>
                <c:pt idx="465">
                  <c:v>0</c:v>
                </c:pt>
                <c:pt idx="466">
                  <c:v>4</c:v>
                </c:pt>
                <c:pt idx="467">
                  <c:v>10</c:v>
                </c:pt>
                <c:pt idx="468">
                  <c:v>8</c:v>
                </c:pt>
                <c:pt idx="469">
                  <c:v>4</c:v>
                </c:pt>
                <c:pt idx="470">
                  <c:v>5</c:v>
                </c:pt>
                <c:pt idx="471">
                  <c:v>9</c:v>
                </c:pt>
                <c:pt idx="472">
                  <c:v>12</c:v>
                </c:pt>
                <c:pt idx="473">
                  <c:v>8</c:v>
                </c:pt>
                <c:pt idx="474">
                  <c:v>0</c:v>
                </c:pt>
                <c:pt idx="475">
                  <c:v>6</c:v>
                </c:pt>
                <c:pt idx="476">
                  <c:v>3</c:v>
                </c:pt>
                <c:pt idx="477">
                  <c:v>5</c:v>
                </c:pt>
                <c:pt idx="478">
                  <c:v>4</c:v>
                </c:pt>
                <c:pt idx="479">
                  <c:v>5</c:v>
                </c:pt>
                <c:pt idx="480">
                  <c:v>2</c:v>
                </c:pt>
                <c:pt idx="481">
                  <c:v>6</c:v>
                </c:pt>
                <c:pt idx="482">
                  <c:v>6</c:v>
                </c:pt>
                <c:pt idx="483">
                  <c:v>11</c:v>
                </c:pt>
                <c:pt idx="484">
                  <c:v>1</c:v>
                </c:pt>
                <c:pt idx="485">
                  <c:v>0</c:v>
                </c:pt>
                <c:pt idx="486">
                  <c:v>16</c:v>
                </c:pt>
                <c:pt idx="487">
                  <c:v>6</c:v>
                </c:pt>
                <c:pt idx="488">
                  <c:v>2</c:v>
                </c:pt>
                <c:pt idx="489">
                  <c:v>17</c:v>
                </c:pt>
                <c:pt idx="490">
                  <c:v>10</c:v>
                </c:pt>
                <c:pt idx="491">
                  <c:v>9</c:v>
                </c:pt>
                <c:pt idx="492">
                  <c:v>7</c:v>
                </c:pt>
                <c:pt idx="493">
                  <c:v>1</c:v>
                </c:pt>
                <c:pt idx="494">
                  <c:v>1</c:v>
                </c:pt>
                <c:pt idx="495">
                  <c:v>4</c:v>
                </c:pt>
                <c:pt idx="496">
                  <c:v>5</c:v>
                </c:pt>
                <c:pt idx="497">
                  <c:v>1</c:v>
                </c:pt>
                <c:pt idx="498">
                  <c:v>6</c:v>
                </c:pt>
                <c:pt idx="499">
                  <c:v>16</c:v>
                </c:pt>
              </c:numCache>
            </c:numRef>
          </c:xVal>
          <c:yVal>
            <c:numRef>
              <c:f>Clean_Data!$V$5:$V$504</c:f>
              <c:numCache>
                <c:formatCode>General</c:formatCode>
                <c:ptCount val="500"/>
                <c:pt idx="0">
                  <c:v>2.46</c:v>
                </c:pt>
                <c:pt idx="1">
                  <c:v>2.98</c:v>
                </c:pt>
                <c:pt idx="2">
                  <c:v>3.27</c:v>
                </c:pt>
                <c:pt idx="3">
                  <c:v>3.09</c:v>
                </c:pt>
                <c:pt idx="4">
                  <c:v>2.2799999999999998</c:v>
                </c:pt>
                <c:pt idx="5">
                  <c:v>2.69</c:v>
                </c:pt>
                <c:pt idx="6">
                  <c:v>2.9</c:v>
                </c:pt>
                <c:pt idx="8">
                  <c:v>3.18</c:v>
                </c:pt>
                <c:pt idx="9">
                  <c:v>3.11</c:v>
                </c:pt>
                <c:pt idx="10">
                  <c:v>2.85</c:v>
                </c:pt>
                <c:pt idx="11">
                  <c:v>2.4300000000000002</c:v>
                </c:pt>
                <c:pt idx="12">
                  <c:v>3.13</c:v>
                </c:pt>
                <c:pt idx="13">
                  <c:v>3.1</c:v>
                </c:pt>
                <c:pt idx="14">
                  <c:v>4.0999999999999996</c:v>
                </c:pt>
                <c:pt idx="15">
                  <c:v>2.37</c:v>
                </c:pt>
                <c:pt idx="16">
                  <c:v>3.37</c:v>
                </c:pt>
                <c:pt idx="17">
                  <c:v>2.99</c:v>
                </c:pt>
                <c:pt idx="18">
                  <c:v>2.78</c:v>
                </c:pt>
                <c:pt idx="19">
                  <c:v>2.73</c:v>
                </c:pt>
                <c:pt idx="20">
                  <c:v>3.29</c:v>
                </c:pt>
                <c:pt idx="21">
                  <c:v>2.88</c:v>
                </c:pt>
                <c:pt idx="22">
                  <c:v>2.96</c:v>
                </c:pt>
                <c:pt idx="23">
                  <c:v>2.2599999999999998</c:v>
                </c:pt>
                <c:pt idx="24">
                  <c:v>3.06</c:v>
                </c:pt>
                <c:pt idx="25">
                  <c:v>2.88</c:v>
                </c:pt>
                <c:pt idx="26">
                  <c:v>3.31</c:v>
                </c:pt>
                <c:pt idx="27">
                  <c:v>2.96</c:v>
                </c:pt>
                <c:pt idx="28">
                  <c:v>3.31</c:v>
                </c:pt>
                <c:pt idx="29">
                  <c:v>3.32</c:v>
                </c:pt>
                <c:pt idx="30">
                  <c:v>2.78</c:v>
                </c:pt>
                <c:pt idx="31">
                  <c:v>3.34</c:v>
                </c:pt>
                <c:pt idx="32">
                  <c:v>2.2799999999999998</c:v>
                </c:pt>
                <c:pt idx="33">
                  <c:v>3.26</c:v>
                </c:pt>
                <c:pt idx="34">
                  <c:v>2.2400000000000002</c:v>
                </c:pt>
                <c:pt idx="35">
                  <c:v>2.97</c:v>
                </c:pt>
                <c:pt idx="36">
                  <c:v>2.57</c:v>
                </c:pt>
                <c:pt idx="37">
                  <c:v>3.11</c:v>
                </c:pt>
                <c:pt idx="38">
                  <c:v>3.16</c:v>
                </c:pt>
                <c:pt idx="39">
                  <c:v>2.73</c:v>
                </c:pt>
                <c:pt idx="40">
                  <c:v>3.1</c:v>
                </c:pt>
                <c:pt idx="41">
                  <c:v>2.8</c:v>
                </c:pt>
                <c:pt idx="42">
                  <c:v>3.8</c:v>
                </c:pt>
                <c:pt idx="43">
                  <c:v>3.2</c:v>
                </c:pt>
                <c:pt idx="44">
                  <c:v>2.33</c:v>
                </c:pt>
                <c:pt idx="45">
                  <c:v>3</c:v>
                </c:pt>
                <c:pt idx="46">
                  <c:v>3.28</c:v>
                </c:pt>
                <c:pt idx="47">
                  <c:v>3.08</c:v>
                </c:pt>
                <c:pt idx="48">
                  <c:v>2.86</c:v>
                </c:pt>
                <c:pt idx="49">
                  <c:v>3.08</c:v>
                </c:pt>
                <c:pt idx="50">
                  <c:v>2.86</c:v>
                </c:pt>
                <c:pt idx="51">
                  <c:v>2.85</c:v>
                </c:pt>
                <c:pt idx="52">
                  <c:v>2.52</c:v>
                </c:pt>
                <c:pt idx="53">
                  <c:v>2.81</c:v>
                </c:pt>
                <c:pt idx="54">
                  <c:v>3.17</c:v>
                </c:pt>
                <c:pt idx="55">
                  <c:v>3</c:v>
                </c:pt>
                <c:pt idx="56">
                  <c:v>2.4</c:v>
                </c:pt>
                <c:pt idx="57">
                  <c:v>3.24</c:v>
                </c:pt>
                <c:pt idx="58">
                  <c:v>3.74</c:v>
                </c:pt>
                <c:pt idx="59">
                  <c:v>3.11</c:v>
                </c:pt>
                <c:pt idx="60">
                  <c:v>2.9</c:v>
                </c:pt>
                <c:pt idx="61">
                  <c:v>3.17</c:v>
                </c:pt>
                <c:pt idx="62">
                  <c:v>2.52</c:v>
                </c:pt>
                <c:pt idx="63">
                  <c:v>2.96</c:v>
                </c:pt>
                <c:pt idx="64">
                  <c:v>3.09</c:v>
                </c:pt>
                <c:pt idx="65">
                  <c:v>3.27</c:v>
                </c:pt>
                <c:pt idx="66">
                  <c:v>3.19</c:v>
                </c:pt>
                <c:pt idx="67">
                  <c:v>2.65</c:v>
                </c:pt>
                <c:pt idx="68">
                  <c:v>2.64</c:v>
                </c:pt>
                <c:pt idx="69">
                  <c:v>3.23</c:v>
                </c:pt>
                <c:pt idx="70">
                  <c:v>2.82</c:v>
                </c:pt>
                <c:pt idx="71">
                  <c:v>3.44</c:v>
                </c:pt>
                <c:pt idx="72">
                  <c:v>2.95</c:v>
                </c:pt>
                <c:pt idx="73">
                  <c:v>2.5099999999999998</c:v>
                </c:pt>
                <c:pt idx="74">
                  <c:v>2.5499999999999998</c:v>
                </c:pt>
                <c:pt idx="75">
                  <c:v>3.15</c:v>
                </c:pt>
                <c:pt idx="76">
                  <c:v>3.22</c:v>
                </c:pt>
                <c:pt idx="77">
                  <c:v>3.16</c:v>
                </c:pt>
                <c:pt idx="78">
                  <c:v>3.28</c:v>
                </c:pt>
                <c:pt idx="79">
                  <c:v>2.85</c:v>
                </c:pt>
                <c:pt idx="80">
                  <c:v>2.35</c:v>
                </c:pt>
                <c:pt idx="81">
                  <c:v>2.93</c:v>
                </c:pt>
                <c:pt idx="82">
                  <c:v>3.42</c:v>
                </c:pt>
                <c:pt idx="83">
                  <c:v>3.07</c:v>
                </c:pt>
                <c:pt idx="84">
                  <c:v>3.09</c:v>
                </c:pt>
                <c:pt idx="85">
                  <c:v>3.37</c:v>
                </c:pt>
                <c:pt idx="86">
                  <c:v>3.29</c:v>
                </c:pt>
                <c:pt idx="87">
                  <c:v>2.69</c:v>
                </c:pt>
                <c:pt idx="88">
                  <c:v>2.1</c:v>
                </c:pt>
                <c:pt idx="90">
                  <c:v>2.75</c:v>
                </c:pt>
                <c:pt idx="91">
                  <c:v>2.8</c:v>
                </c:pt>
                <c:pt idx="92">
                  <c:v>2.33</c:v>
                </c:pt>
                <c:pt idx="93">
                  <c:v>2.72</c:v>
                </c:pt>
                <c:pt idx="94">
                  <c:v>3.06</c:v>
                </c:pt>
                <c:pt idx="96">
                  <c:v>3.51</c:v>
                </c:pt>
                <c:pt idx="97">
                  <c:v>3.28</c:v>
                </c:pt>
                <c:pt idx="98">
                  <c:v>2.62</c:v>
                </c:pt>
                <c:pt idx="99">
                  <c:v>2.84</c:v>
                </c:pt>
                <c:pt idx="100">
                  <c:v>1.96</c:v>
                </c:pt>
                <c:pt idx="101">
                  <c:v>3.18</c:v>
                </c:pt>
                <c:pt idx="102">
                  <c:v>2.82</c:v>
                </c:pt>
                <c:pt idx="103">
                  <c:v>3.18</c:v>
                </c:pt>
                <c:pt idx="104">
                  <c:v>3.51</c:v>
                </c:pt>
                <c:pt idx="105">
                  <c:v>2.42</c:v>
                </c:pt>
                <c:pt idx="106">
                  <c:v>3.53</c:v>
                </c:pt>
                <c:pt idx="107">
                  <c:v>2.96</c:v>
                </c:pt>
                <c:pt idx="108">
                  <c:v>3.32</c:v>
                </c:pt>
                <c:pt idx="109">
                  <c:v>2.74</c:v>
                </c:pt>
                <c:pt idx="110">
                  <c:v>3.23</c:v>
                </c:pt>
                <c:pt idx="111">
                  <c:v>3.06</c:v>
                </c:pt>
                <c:pt idx="112">
                  <c:v>2.58</c:v>
                </c:pt>
                <c:pt idx="113">
                  <c:v>2.61</c:v>
                </c:pt>
                <c:pt idx="114">
                  <c:v>2.91</c:v>
                </c:pt>
                <c:pt idx="115">
                  <c:v>3.08</c:v>
                </c:pt>
                <c:pt idx="116">
                  <c:v>2.77</c:v>
                </c:pt>
                <c:pt idx="117">
                  <c:v>2.44</c:v>
                </c:pt>
                <c:pt idx="118">
                  <c:v>4</c:v>
                </c:pt>
                <c:pt idx="119">
                  <c:v>2.52</c:v>
                </c:pt>
                <c:pt idx="120">
                  <c:v>3.31</c:v>
                </c:pt>
                <c:pt idx="121">
                  <c:v>3</c:v>
                </c:pt>
                <c:pt idx="122">
                  <c:v>3.03</c:v>
                </c:pt>
                <c:pt idx="123">
                  <c:v>3.24</c:v>
                </c:pt>
                <c:pt idx="124">
                  <c:v>2.59</c:v>
                </c:pt>
                <c:pt idx="125">
                  <c:v>2.2999999999999998</c:v>
                </c:pt>
                <c:pt idx="126">
                  <c:v>2.84</c:v>
                </c:pt>
                <c:pt idx="127">
                  <c:v>2.76</c:v>
                </c:pt>
                <c:pt idx="128">
                  <c:v>3.39</c:v>
                </c:pt>
                <c:pt idx="129">
                  <c:v>3.47</c:v>
                </c:pt>
                <c:pt idx="130">
                  <c:v>2.73</c:v>
                </c:pt>
                <c:pt idx="131">
                  <c:v>2.94</c:v>
                </c:pt>
                <c:pt idx="132">
                  <c:v>2.95</c:v>
                </c:pt>
                <c:pt idx="133">
                  <c:v>2.96</c:v>
                </c:pt>
                <c:pt idx="134">
                  <c:v>3.6</c:v>
                </c:pt>
                <c:pt idx="135">
                  <c:v>3</c:v>
                </c:pt>
                <c:pt idx="136">
                  <c:v>2.2999999999999998</c:v>
                </c:pt>
                <c:pt idx="137">
                  <c:v>2.89</c:v>
                </c:pt>
                <c:pt idx="138">
                  <c:v>3.23</c:v>
                </c:pt>
                <c:pt idx="139">
                  <c:v>3.14</c:v>
                </c:pt>
                <c:pt idx="140">
                  <c:v>3.28</c:v>
                </c:pt>
                <c:pt idx="141">
                  <c:v>3.12</c:v>
                </c:pt>
                <c:pt idx="142">
                  <c:v>2.77</c:v>
                </c:pt>
                <c:pt idx="143">
                  <c:v>2.61</c:v>
                </c:pt>
                <c:pt idx="144">
                  <c:v>2.87</c:v>
                </c:pt>
                <c:pt idx="145">
                  <c:v>2.87</c:v>
                </c:pt>
                <c:pt idx="146">
                  <c:v>4.2</c:v>
                </c:pt>
                <c:pt idx="147">
                  <c:v>3.09</c:v>
                </c:pt>
                <c:pt idx="148">
                  <c:v>2.39</c:v>
                </c:pt>
                <c:pt idx="149">
                  <c:v>2.6</c:v>
                </c:pt>
                <c:pt idx="150">
                  <c:v>3.29</c:v>
                </c:pt>
                <c:pt idx="151">
                  <c:v>3.71</c:v>
                </c:pt>
                <c:pt idx="152">
                  <c:v>3.2</c:v>
                </c:pt>
                <c:pt idx="153">
                  <c:v>3.42</c:v>
                </c:pt>
                <c:pt idx="154">
                  <c:v>3</c:v>
                </c:pt>
                <c:pt idx="155">
                  <c:v>3.02</c:v>
                </c:pt>
                <c:pt idx="156">
                  <c:v>3.54</c:v>
                </c:pt>
                <c:pt idx="157">
                  <c:v>2.65</c:v>
                </c:pt>
                <c:pt idx="158">
                  <c:v>3.3</c:v>
                </c:pt>
                <c:pt idx="159">
                  <c:v>3.2</c:v>
                </c:pt>
                <c:pt idx="160">
                  <c:v>2.79</c:v>
                </c:pt>
                <c:pt idx="161">
                  <c:v>3.33</c:v>
                </c:pt>
                <c:pt idx="162">
                  <c:v>3.41</c:v>
                </c:pt>
                <c:pt idx="163">
                  <c:v>3.02</c:v>
                </c:pt>
                <c:pt idx="164">
                  <c:v>2.81</c:v>
                </c:pt>
                <c:pt idx="165">
                  <c:v>3.06</c:v>
                </c:pt>
                <c:pt idx="166">
                  <c:v>2.78</c:v>
                </c:pt>
                <c:pt idx="167">
                  <c:v>2.84</c:v>
                </c:pt>
                <c:pt idx="168">
                  <c:v>3.29</c:v>
                </c:pt>
                <c:pt idx="169">
                  <c:v>3.08</c:v>
                </c:pt>
                <c:pt idx="170">
                  <c:v>2.81</c:v>
                </c:pt>
                <c:pt idx="171">
                  <c:v>3.26</c:v>
                </c:pt>
                <c:pt idx="172">
                  <c:v>2.4500000000000002</c:v>
                </c:pt>
                <c:pt idx="173">
                  <c:v>3.24</c:v>
                </c:pt>
                <c:pt idx="174">
                  <c:v>3.08</c:v>
                </c:pt>
                <c:pt idx="175">
                  <c:v>2.95</c:v>
                </c:pt>
                <c:pt idx="176">
                  <c:v>3.42</c:v>
                </c:pt>
                <c:pt idx="177">
                  <c:v>2.61</c:v>
                </c:pt>
                <c:pt idx="178">
                  <c:v>2.23</c:v>
                </c:pt>
                <c:pt idx="179">
                  <c:v>3.52</c:v>
                </c:pt>
                <c:pt idx="180">
                  <c:v>2.2400000000000002</c:v>
                </c:pt>
                <c:pt idx="181">
                  <c:v>2.65</c:v>
                </c:pt>
                <c:pt idx="182">
                  <c:v>2.33</c:v>
                </c:pt>
                <c:pt idx="183">
                  <c:v>3.01</c:v>
                </c:pt>
                <c:pt idx="184">
                  <c:v>3.02</c:v>
                </c:pt>
                <c:pt idx="185">
                  <c:v>3.3</c:v>
                </c:pt>
                <c:pt idx="187">
                  <c:v>2.15</c:v>
                </c:pt>
                <c:pt idx="188">
                  <c:v>3.41</c:v>
                </c:pt>
                <c:pt idx="189">
                  <c:v>3.01</c:v>
                </c:pt>
                <c:pt idx="191">
                  <c:v>2.81</c:v>
                </c:pt>
                <c:pt idx="192">
                  <c:v>2.69</c:v>
                </c:pt>
                <c:pt idx="193">
                  <c:v>3.26</c:v>
                </c:pt>
                <c:pt idx="194">
                  <c:v>3.25</c:v>
                </c:pt>
                <c:pt idx="195">
                  <c:v>2.85</c:v>
                </c:pt>
                <c:pt idx="196">
                  <c:v>3.04</c:v>
                </c:pt>
                <c:pt idx="197">
                  <c:v>2.38</c:v>
                </c:pt>
                <c:pt idx="198">
                  <c:v>3.9</c:v>
                </c:pt>
                <c:pt idx="200">
                  <c:v>3.5</c:v>
                </c:pt>
                <c:pt idx="201">
                  <c:v>3.09</c:v>
                </c:pt>
                <c:pt idx="202">
                  <c:v>2.69</c:v>
                </c:pt>
                <c:pt idx="203">
                  <c:v>3.25</c:v>
                </c:pt>
                <c:pt idx="204">
                  <c:v>3.34</c:v>
                </c:pt>
                <c:pt idx="205">
                  <c:v>3</c:v>
                </c:pt>
                <c:pt idx="206">
                  <c:v>2.7</c:v>
                </c:pt>
                <c:pt idx="207">
                  <c:v>2.67</c:v>
                </c:pt>
                <c:pt idx="208">
                  <c:v>3.18</c:v>
                </c:pt>
                <c:pt idx="209">
                  <c:v>3.05</c:v>
                </c:pt>
                <c:pt idx="210">
                  <c:v>3.03</c:v>
                </c:pt>
                <c:pt idx="211">
                  <c:v>2.92</c:v>
                </c:pt>
                <c:pt idx="212">
                  <c:v>2.78</c:v>
                </c:pt>
                <c:pt idx="213">
                  <c:v>2.78</c:v>
                </c:pt>
                <c:pt idx="214">
                  <c:v>3.14</c:v>
                </c:pt>
                <c:pt idx="217">
                  <c:v>2.96</c:v>
                </c:pt>
                <c:pt idx="218">
                  <c:v>3.43</c:v>
                </c:pt>
                <c:pt idx="219">
                  <c:v>3.52</c:v>
                </c:pt>
                <c:pt idx="220">
                  <c:v>3.79</c:v>
                </c:pt>
                <c:pt idx="221">
                  <c:v>3.07</c:v>
                </c:pt>
                <c:pt idx="222">
                  <c:v>2.1800000000000002</c:v>
                </c:pt>
                <c:pt idx="223">
                  <c:v>2.57</c:v>
                </c:pt>
                <c:pt idx="224">
                  <c:v>2.74</c:v>
                </c:pt>
                <c:pt idx="225">
                  <c:v>2.58</c:v>
                </c:pt>
                <c:pt idx="226">
                  <c:v>3.02</c:v>
                </c:pt>
                <c:pt idx="227">
                  <c:v>3.87</c:v>
                </c:pt>
                <c:pt idx="228">
                  <c:v>3.26</c:v>
                </c:pt>
                <c:pt idx="229">
                  <c:v>2.75</c:v>
                </c:pt>
                <c:pt idx="230">
                  <c:v>3.15</c:v>
                </c:pt>
                <c:pt idx="231">
                  <c:v>2.87</c:v>
                </c:pt>
                <c:pt idx="232">
                  <c:v>2.8</c:v>
                </c:pt>
                <c:pt idx="233">
                  <c:v>3.52</c:v>
                </c:pt>
                <c:pt idx="234">
                  <c:v>3.48</c:v>
                </c:pt>
                <c:pt idx="235">
                  <c:v>2.77</c:v>
                </c:pt>
                <c:pt idx="236">
                  <c:v>2.97</c:v>
                </c:pt>
                <c:pt idx="237">
                  <c:v>3.01</c:v>
                </c:pt>
                <c:pt idx="238">
                  <c:v>3.24</c:v>
                </c:pt>
                <c:pt idx="239">
                  <c:v>3.2</c:v>
                </c:pt>
                <c:pt idx="240">
                  <c:v>2.15</c:v>
                </c:pt>
                <c:pt idx="241">
                  <c:v>3.76</c:v>
                </c:pt>
                <c:pt idx="242">
                  <c:v>3.04</c:v>
                </c:pt>
                <c:pt idx="243">
                  <c:v>3.03</c:v>
                </c:pt>
                <c:pt idx="244">
                  <c:v>3.15</c:v>
                </c:pt>
                <c:pt idx="245">
                  <c:v>2.4300000000000002</c:v>
                </c:pt>
                <c:pt idx="246">
                  <c:v>2.92</c:v>
                </c:pt>
                <c:pt idx="247">
                  <c:v>2.76</c:v>
                </c:pt>
                <c:pt idx="248">
                  <c:v>2.67</c:v>
                </c:pt>
                <c:pt idx="249">
                  <c:v>2.87</c:v>
                </c:pt>
                <c:pt idx="250">
                  <c:v>2.77</c:v>
                </c:pt>
                <c:pt idx="251">
                  <c:v>2.69</c:v>
                </c:pt>
                <c:pt idx="253">
                  <c:v>3.3</c:v>
                </c:pt>
                <c:pt idx="254">
                  <c:v>3.15</c:v>
                </c:pt>
                <c:pt idx="255">
                  <c:v>2.2599999999999998</c:v>
                </c:pt>
                <c:pt idx="256">
                  <c:v>3.09</c:v>
                </c:pt>
                <c:pt idx="257">
                  <c:v>3</c:v>
                </c:pt>
                <c:pt idx="258">
                  <c:v>2.75</c:v>
                </c:pt>
                <c:pt idx="259">
                  <c:v>3.05</c:v>
                </c:pt>
                <c:pt idx="260">
                  <c:v>3.02</c:v>
                </c:pt>
                <c:pt idx="261">
                  <c:v>3.26</c:v>
                </c:pt>
                <c:pt idx="262">
                  <c:v>2.95</c:v>
                </c:pt>
                <c:pt idx="263">
                  <c:v>3.64</c:v>
                </c:pt>
                <c:pt idx="264">
                  <c:v>3.23</c:v>
                </c:pt>
                <c:pt idx="265">
                  <c:v>2.52</c:v>
                </c:pt>
                <c:pt idx="266">
                  <c:v>2.76</c:v>
                </c:pt>
                <c:pt idx="267">
                  <c:v>3.33</c:v>
                </c:pt>
                <c:pt idx="268">
                  <c:v>3.29</c:v>
                </c:pt>
                <c:pt idx="269">
                  <c:v>3.04</c:v>
                </c:pt>
                <c:pt idx="270">
                  <c:v>2.95</c:v>
                </c:pt>
                <c:pt idx="271">
                  <c:v>3.1</c:v>
                </c:pt>
                <c:pt idx="272">
                  <c:v>2.94</c:v>
                </c:pt>
                <c:pt idx="273">
                  <c:v>3.05</c:v>
                </c:pt>
                <c:pt idx="274">
                  <c:v>3.44</c:v>
                </c:pt>
                <c:pt idx="275">
                  <c:v>2.98</c:v>
                </c:pt>
                <c:pt idx="276">
                  <c:v>2.88</c:v>
                </c:pt>
                <c:pt idx="277">
                  <c:v>2.85</c:v>
                </c:pt>
                <c:pt idx="278">
                  <c:v>2.89</c:v>
                </c:pt>
                <c:pt idx="279">
                  <c:v>2.83</c:v>
                </c:pt>
                <c:pt idx="280">
                  <c:v>2.65</c:v>
                </c:pt>
                <c:pt idx="281">
                  <c:v>3.12</c:v>
                </c:pt>
                <c:pt idx="282">
                  <c:v>2.69</c:v>
                </c:pt>
                <c:pt idx="283">
                  <c:v>2.78</c:v>
                </c:pt>
                <c:pt idx="284">
                  <c:v>3.23</c:v>
                </c:pt>
                <c:pt idx="285">
                  <c:v>3.11</c:v>
                </c:pt>
                <c:pt idx="286">
                  <c:v>3.27</c:v>
                </c:pt>
                <c:pt idx="287">
                  <c:v>2.85</c:v>
                </c:pt>
                <c:pt idx="288">
                  <c:v>2.76</c:v>
                </c:pt>
                <c:pt idx="289">
                  <c:v>3.09</c:v>
                </c:pt>
                <c:pt idx="290">
                  <c:v>3.32</c:v>
                </c:pt>
                <c:pt idx="291">
                  <c:v>2.31</c:v>
                </c:pt>
                <c:pt idx="292">
                  <c:v>2.2799999999999998</c:v>
                </c:pt>
                <c:pt idx="293">
                  <c:v>2.96</c:v>
                </c:pt>
                <c:pt idx="294">
                  <c:v>2.6</c:v>
                </c:pt>
                <c:pt idx="295">
                  <c:v>2.83</c:v>
                </c:pt>
                <c:pt idx="296">
                  <c:v>2.39</c:v>
                </c:pt>
                <c:pt idx="297">
                  <c:v>3.06</c:v>
                </c:pt>
                <c:pt idx="298">
                  <c:v>2.04</c:v>
                </c:pt>
                <c:pt idx="299">
                  <c:v>2.97</c:v>
                </c:pt>
                <c:pt idx="300">
                  <c:v>2.89</c:v>
                </c:pt>
                <c:pt idx="301">
                  <c:v>2.83</c:v>
                </c:pt>
                <c:pt idx="302">
                  <c:v>3.22</c:v>
                </c:pt>
                <c:pt idx="303">
                  <c:v>3.62</c:v>
                </c:pt>
                <c:pt idx="304">
                  <c:v>2.77</c:v>
                </c:pt>
                <c:pt idx="307">
                  <c:v>3.05</c:v>
                </c:pt>
                <c:pt idx="308">
                  <c:v>3.64</c:v>
                </c:pt>
                <c:pt idx="309">
                  <c:v>3.28</c:v>
                </c:pt>
                <c:pt idx="310">
                  <c:v>2.75</c:v>
                </c:pt>
                <c:pt idx="311">
                  <c:v>2.62</c:v>
                </c:pt>
                <c:pt idx="312">
                  <c:v>3.12</c:v>
                </c:pt>
                <c:pt idx="313">
                  <c:v>2.38</c:v>
                </c:pt>
                <c:pt idx="314">
                  <c:v>2.75</c:v>
                </c:pt>
                <c:pt idx="315">
                  <c:v>2.79</c:v>
                </c:pt>
                <c:pt idx="316">
                  <c:v>2.54</c:v>
                </c:pt>
                <c:pt idx="317">
                  <c:v>2.84</c:v>
                </c:pt>
                <c:pt idx="318">
                  <c:v>3.3</c:v>
                </c:pt>
                <c:pt idx="319">
                  <c:v>2.6</c:v>
                </c:pt>
                <c:pt idx="320">
                  <c:v>3.2</c:v>
                </c:pt>
                <c:pt idx="321">
                  <c:v>2.71</c:v>
                </c:pt>
                <c:pt idx="322">
                  <c:v>3.25</c:v>
                </c:pt>
                <c:pt idx="323">
                  <c:v>3.55</c:v>
                </c:pt>
                <c:pt idx="324">
                  <c:v>3.45</c:v>
                </c:pt>
                <c:pt idx="325">
                  <c:v>3.01</c:v>
                </c:pt>
                <c:pt idx="326">
                  <c:v>4</c:v>
                </c:pt>
                <c:pt idx="327">
                  <c:v>2.93</c:v>
                </c:pt>
                <c:pt idx="328">
                  <c:v>3.33</c:v>
                </c:pt>
                <c:pt idx="329">
                  <c:v>2.62</c:v>
                </c:pt>
                <c:pt idx="330">
                  <c:v>3.16</c:v>
                </c:pt>
                <c:pt idx="331">
                  <c:v>2.63</c:v>
                </c:pt>
                <c:pt idx="332">
                  <c:v>2.93</c:v>
                </c:pt>
                <c:pt idx="333">
                  <c:v>2.89</c:v>
                </c:pt>
                <c:pt idx="334">
                  <c:v>3.26</c:v>
                </c:pt>
                <c:pt idx="335">
                  <c:v>3.1</c:v>
                </c:pt>
                <c:pt idx="336">
                  <c:v>2.63</c:v>
                </c:pt>
                <c:pt idx="337">
                  <c:v>2.89</c:v>
                </c:pt>
                <c:pt idx="338">
                  <c:v>2.83</c:v>
                </c:pt>
                <c:pt idx="339">
                  <c:v>2.74</c:v>
                </c:pt>
                <c:pt idx="340">
                  <c:v>2.82</c:v>
                </c:pt>
                <c:pt idx="341">
                  <c:v>2.66</c:v>
                </c:pt>
                <c:pt idx="342">
                  <c:v>2.17</c:v>
                </c:pt>
                <c:pt idx="343">
                  <c:v>3.44</c:v>
                </c:pt>
                <c:pt idx="344">
                  <c:v>2.91</c:v>
                </c:pt>
                <c:pt idx="345">
                  <c:v>3.3</c:v>
                </c:pt>
                <c:pt idx="346">
                  <c:v>2.66</c:v>
                </c:pt>
                <c:pt idx="347">
                  <c:v>3.19</c:v>
                </c:pt>
                <c:pt idx="348">
                  <c:v>2.82</c:v>
                </c:pt>
                <c:pt idx="349">
                  <c:v>4.3</c:v>
                </c:pt>
                <c:pt idx="350">
                  <c:v>2.94</c:v>
                </c:pt>
                <c:pt idx="351">
                  <c:v>2.9</c:v>
                </c:pt>
                <c:pt idx="352">
                  <c:v>3.09</c:v>
                </c:pt>
                <c:pt idx="353">
                  <c:v>3.19</c:v>
                </c:pt>
                <c:pt idx="354">
                  <c:v>3.08</c:v>
                </c:pt>
                <c:pt idx="355">
                  <c:v>2.06</c:v>
                </c:pt>
                <c:pt idx="356">
                  <c:v>2.78</c:v>
                </c:pt>
                <c:pt idx="357">
                  <c:v>2.87</c:v>
                </c:pt>
                <c:pt idx="358">
                  <c:v>3.29</c:v>
                </c:pt>
                <c:pt idx="359">
                  <c:v>2.61</c:v>
                </c:pt>
                <c:pt idx="360">
                  <c:v>2.6</c:v>
                </c:pt>
                <c:pt idx="361">
                  <c:v>3.43</c:v>
                </c:pt>
                <c:pt idx="362">
                  <c:v>2.66</c:v>
                </c:pt>
                <c:pt idx="363">
                  <c:v>2.8</c:v>
                </c:pt>
                <c:pt idx="364">
                  <c:v>3.28</c:v>
                </c:pt>
                <c:pt idx="365">
                  <c:v>2.77</c:v>
                </c:pt>
                <c:pt idx="366">
                  <c:v>2.77</c:v>
                </c:pt>
                <c:pt idx="367">
                  <c:v>2.36</c:v>
                </c:pt>
                <c:pt idx="368">
                  <c:v>2.68</c:v>
                </c:pt>
                <c:pt idx="369">
                  <c:v>2.61</c:v>
                </c:pt>
                <c:pt idx="370">
                  <c:v>3.18</c:v>
                </c:pt>
                <c:pt idx="371">
                  <c:v>2.8</c:v>
                </c:pt>
                <c:pt idx="372">
                  <c:v>3.23</c:v>
                </c:pt>
                <c:pt idx="374">
                  <c:v>3.33</c:v>
                </c:pt>
                <c:pt idx="375">
                  <c:v>3.45</c:v>
                </c:pt>
                <c:pt idx="376">
                  <c:v>3.14</c:v>
                </c:pt>
                <c:pt idx="377">
                  <c:v>3.64</c:v>
                </c:pt>
                <c:pt idx="378">
                  <c:v>2.52</c:v>
                </c:pt>
                <c:pt idx="379">
                  <c:v>2.59</c:v>
                </c:pt>
                <c:pt idx="380">
                  <c:v>2.48</c:v>
                </c:pt>
                <c:pt idx="381">
                  <c:v>3.24</c:v>
                </c:pt>
                <c:pt idx="382">
                  <c:v>3.04</c:v>
                </c:pt>
                <c:pt idx="383">
                  <c:v>2.92</c:v>
                </c:pt>
                <c:pt idx="384">
                  <c:v>2.84</c:v>
                </c:pt>
                <c:pt idx="385">
                  <c:v>2.91</c:v>
                </c:pt>
                <c:pt idx="386">
                  <c:v>3.38</c:v>
                </c:pt>
                <c:pt idx="387">
                  <c:v>2.85</c:v>
                </c:pt>
                <c:pt idx="388">
                  <c:v>2.4500000000000002</c:v>
                </c:pt>
                <c:pt idx="389">
                  <c:v>3.32</c:v>
                </c:pt>
                <c:pt idx="390">
                  <c:v>3.21</c:v>
                </c:pt>
                <c:pt idx="391">
                  <c:v>3.32</c:v>
                </c:pt>
                <c:pt idx="392">
                  <c:v>3</c:v>
                </c:pt>
                <c:pt idx="393">
                  <c:v>3.34</c:v>
                </c:pt>
                <c:pt idx="394">
                  <c:v>2.95</c:v>
                </c:pt>
                <c:pt idx="395">
                  <c:v>2.9</c:v>
                </c:pt>
                <c:pt idx="396">
                  <c:v>2.66</c:v>
                </c:pt>
                <c:pt idx="397">
                  <c:v>2.3199999999999998</c:v>
                </c:pt>
                <c:pt idx="398">
                  <c:v>2.95</c:v>
                </c:pt>
                <c:pt idx="399">
                  <c:v>2.63</c:v>
                </c:pt>
                <c:pt idx="400">
                  <c:v>2.7</c:v>
                </c:pt>
                <c:pt idx="401">
                  <c:v>3.03</c:v>
                </c:pt>
                <c:pt idx="402">
                  <c:v>2.89</c:v>
                </c:pt>
                <c:pt idx="403">
                  <c:v>1.83</c:v>
                </c:pt>
                <c:pt idx="404">
                  <c:v>2.82</c:v>
                </c:pt>
                <c:pt idx="405">
                  <c:v>2.87</c:v>
                </c:pt>
                <c:pt idx="406">
                  <c:v>2.86</c:v>
                </c:pt>
                <c:pt idx="407">
                  <c:v>2.68</c:v>
                </c:pt>
                <c:pt idx="408">
                  <c:v>3.19</c:v>
                </c:pt>
                <c:pt idx="409">
                  <c:v>2.78</c:v>
                </c:pt>
                <c:pt idx="410">
                  <c:v>2.1</c:v>
                </c:pt>
                <c:pt idx="411">
                  <c:v>3.14</c:v>
                </c:pt>
                <c:pt idx="412">
                  <c:v>2.4300000000000002</c:v>
                </c:pt>
                <c:pt idx="413">
                  <c:v>3.45</c:v>
                </c:pt>
                <c:pt idx="414">
                  <c:v>2.61</c:v>
                </c:pt>
                <c:pt idx="415">
                  <c:v>3.29</c:v>
                </c:pt>
                <c:pt idx="416">
                  <c:v>3.5</c:v>
                </c:pt>
                <c:pt idx="417">
                  <c:v>3.06</c:v>
                </c:pt>
                <c:pt idx="418">
                  <c:v>2.8</c:v>
                </c:pt>
                <c:pt idx="419">
                  <c:v>3.54</c:v>
                </c:pt>
                <c:pt idx="420">
                  <c:v>3.57</c:v>
                </c:pt>
                <c:pt idx="421">
                  <c:v>2.35</c:v>
                </c:pt>
                <c:pt idx="422">
                  <c:v>2.2200000000000002</c:v>
                </c:pt>
                <c:pt idx="423">
                  <c:v>2.76</c:v>
                </c:pt>
                <c:pt idx="424">
                  <c:v>3.35</c:v>
                </c:pt>
                <c:pt idx="425">
                  <c:v>2.72</c:v>
                </c:pt>
                <c:pt idx="426">
                  <c:v>3.11</c:v>
                </c:pt>
                <c:pt idx="427">
                  <c:v>4.3</c:v>
                </c:pt>
                <c:pt idx="428">
                  <c:v>2.84</c:v>
                </c:pt>
                <c:pt idx="429">
                  <c:v>3.03</c:v>
                </c:pt>
                <c:pt idx="430">
                  <c:v>2.97</c:v>
                </c:pt>
                <c:pt idx="431">
                  <c:v>2.72</c:v>
                </c:pt>
                <c:pt idx="432">
                  <c:v>2.29</c:v>
                </c:pt>
                <c:pt idx="433">
                  <c:v>2.4700000000000002</c:v>
                </c:pt>
                <c:pt idx="434">
                  <c:v>2.99</c:v>
                </c:pt>
                <c:pt idx="435">
                  <c:v>2.64</c:v>
                </c:pt>
                <c:pt idx="436">
                  <c:v>3.43</c:v>
                </c:pt>
                <c:pt idx="437">
                  <c:v>2.86</c:v>
                </c:pt>
                <c:pt idx="438">
                  <c:v>2.89</c:v>
                </c:pt>
                <c:pt idx="439">
                  <c:v>2.85</c:v>
                </c:pt>
                <c:pt idx="440">
                  <c:v>3.41</c:v>
                </c:pt>
                <c:pt idx="441">
                  <c:v>3.92</c:v>
                </c:pt>
                <c:pt idx="442">
                  <c:v>3.41</c:v>
                </c:pt>
                <c:pt idx="443">
                  <c:v>3.22</c:v>
                </c:pt>
                <c:pt idx="444">
                  <c:v>3.14</c:v>
                </c:pt>
                <c:pt idx="445">
                  <c:v>3.29</c:v>
                </c:pt>
                <c:pt idx="446">
                  <c:v>3.11</c:v>
                </c:pt>
                <c:pt idx="447">
                  <c:v>2.84</c:v>
                </c:pt>
                <c:pt idx="448">
                  <c:v>2.85</c:v>
                </c:pt>
                <c:pt idx="449">
                  <c:v>2.97</c:v>
                </c:pt>
                <c:pt idx="450">
                  <c:v>2.5499999999999998</c:v>
                </c:pt>
                <c:pt idx="451">
                  <c:v>3.19</c:v>
                </c:pt>
                <c:pt idx="452">
                  <c:v>3.28</c:v>
                </c:pt>
                <c:pt idx="453">
                  <c:v>3.47</c:v>
                </c:pt>
                <c:pt idx="454">
                  <c:v>2.95</c:v>
                </c:pt>
                <c:pt idx="455">
                  <c:v>2.88</c:v>
                </c:pt>
                <c:pt idx="456">
                  <c:v>2.5299999999999998</c:v>
                </c:pt>
                <c:pt idx="457">
                  <c:v>2.64</c:v>
                </c:pt>
                <c:pt idx="458">
                  <c:v>2.7</c:v>
                </c:pt>
                <c:pt idx="459">
                  <c:v>3.47</c:v>
                </c:pt>
                <c:pt idx="460">
                  <c:v>3.33</c:v>
                </c:pt>
                <c:pt idx="461">
                  <c:v>2.95</c:v>
                </c:pt>
                <c:pt idx="462">
                  <c:v>2.74</c:v>
                </c:pt>
                <c:pt idx="463">
                  <c:v>2.7</c:v>
                </c:pt>
                <c:pt idx="464">
                  <c:v>3.39</c:v>
                </c:pt>
                <c:pt idx="465">
                  <c:v>3.26</c:v>
                </c:pt>
                <c:pt idx="466">
                  <c:v>3.21</c:v>
                </c:pt>
                <c:pt idx="467">
                  <c:v>3.11</c:v>
                </c:pt>
                <c:pt idx="468">
                  <c:v>1.94</c:v>
                </c:pt>
                <c:pt idx="469">
                  <c:v>2.4500000000000002</c:v>
                </c:pt>
                <c:pt idx="470">
                  <c:v>3.35</c:v>
                </c:pt>
                <c:pt idx="471">
                  <c:v>2.95</c:v>
                </c:pt>
                <c:pt idx="472">
                  <c:v>2.5499999999999998</c:v>
                </c:pt>
                <c:pt idx="473">
                  <c:v>2.59</c:v>
                </c:pt>
                <c:pt idx="474">
                  <c:v>2.57</c:v>
                </c:pt>
                <c:pt idx="475">
                  <c:v>2.99</c:v>
                </c:pt>
                <c:pt idx="476">
                  <c:v>3.4</c:v>
                </c:pt>
                <c:pt idx="477">
                  <c:v>2.89</c:v>
                </c:pt>
                <c:pt idx="478">
                  <c:v>3.5</c:v>
                </c:pt>
                <c:pt idx="479">
                  <c:v>2.48</c:v>
                </c:pt>
                <c:pt idx="480">
                  <c:v>2.86</c:v>
                </c:pt>
                <c:pt idx="481">
                  <c:v>2.41</c:v>
                </c:pt>
                <c:pt idx="482">
                  <c:v>2.33</c:v>
                </c:pt>
                <c:pt idx="483">
                  <c:v>2.6</c:v>
                </c:pt>
                <c:pt idx="484">
                  <c:v>4</c:v>
                </c:pt>
                <c:pt idx="485">
                  <c:v>2.66</c:v>
                </c:pt>
                <c:pt idx="486">
                  <c:v>4.0999999999999996</c:v>
                </c:pt>
                <c:pt idx="487">
                  <c:v>2.89</c:v>
                </c:pt>
                <c:pt idx="488">
                  <c:v>3.7</c:v>
                </c:pt>
                <c:pt idx="489">
                  <c:v>2.95</c:v>
                </c:pt>
                <c:pt idx="490">
                  <c:v>3.13</c:v>
                </c:pt>
                <c:pt idx="491">
                  <c:v>2.65</c:v>
                </c:pt>
                <c:pt idx="492">
                  <c:v>2.66</c:v>
                </c:pt>
                <c:pt idx="493">
                  <c:v>3.2</c:v>
                </c:pt>
                <c:pt idx="494">
                  <c:v>2.82</c:v>
                </c:pt>
                <c:pt idx="495">
                  <c:v>2.93</c:v>
                </c:pt>
                <c:pt idx="496">
                  <c:v>2.46</c:v>
                </c:pt>
                <c:pt idx="497">
                  <c:v>3.14</c:v>
                </c:pt>
                <c:pt idx="498">
                  <c:v>2.75</c:v>
                </c:pt>
                <c:pt idx="499">
                  <c:v>2.29</c:v>
                </c:pt>
              </c:numCache>
            </c:numRef>
          </c:yVal>
          <c:smooth val="0"/>
          <c:extLst>
            <c:ext xmlns:c16="http://schemas.microsoft.com/office/drawing/2014/chart" uri="{C3380CC4-5D6E-409C-BE32-E72D297353CC}">
              <c16:uniqueId val="{00000002-A405-43A2-A61B-4AF9DEEFBB3E}"/>
            </c:ext>
          </c:extLst>
        </c:ser>
        <c:dLbls>
          <c:showLegendKey val="0"/>
          <c:showVal val="0"/>
          <c:showCatName val="0"/>
          <c:showSerName val="0"/>
          <c:showPercent val="0"/>
          <c:showBubbleSize val="0"/>
        </c:dLbls>
        <c:axId val="287693168"/>
        <c:axId val="1215014255"/>
      </c:scatterChart>
      <c:valAx>
        <c:axId val="28769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14255"/>
        <c:crosses val="autoZero"/>
        <c:crossBetween val="midCat"/>
      </c:valAx>
      <c:valAx>
        <c:axId val="121501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931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Student Distribution in Study Year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Student Distribution in Study Year</a:t>
          </a:r>
        </a:p>
      </cx:txPr>
    </cx:title>
    <cx:plotArea>
      <cx:plotAreaRegion>
        <cx:series layoutId="treemap" uniqueId="{00000000-45EF-4A96-B93D-B175690CB1EE}">
          <cx:tx>
            <cx:txData>
              <cx:f>_xlchart.v1.1</cx:f>
              <cx:v>Count of student_id</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7620</xdr:colOff>
      <xdr:row>19</xdr:row>
      <xdr:rowOff>0</xdr:rowOff>
    </xdr:from>
    <xdr:to>
      <xdr:col>10</xdr:col>
      <xdr:colOff>15240</xdr:colOff>
      <xdr:row>28</xdr:row>
      <xdr:rowOff>7620</xdr:rowOff>
    </xdr:to>
    <xdr:sp macro="" textlink="">
      <xdr:nvSpPr>
        <xdr:cNvPr id="2" name="TextBox 1">
          <a:extLst>
            <a:ext uri="{FF2B5EF4-FFF2-40B4-BE49-F238E27FC236}">
              <a16:creationId xmlns:a16="http://schemas.microsoft.com/office/drawing/2014/main" id="{0C9B2E9D-81E6-C9FB-1AA0-F9A119F8BB40}"/>
            </a:ext>
          </a:extLst>
        </xdr:cNvPr>
        <xdr:cNvSpPr txBox="1"/>
      </xdr:nvSpPr>
      <xdr:spPr>
        <a:xfrm>
          <a:off x="7620" y="3520440"/>
          <a:ext cx="6972300" cy="165354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Data Quality Notes</a:t>
          </a:r>
          <a:r>
            <a:rPr lang="en-IN" b="1">
              <a:effectLst/>
            </a:rPr>
            <a:t> </a:t>
          </a:r>
        </a:p>
        <a:p>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 Gender_cleaned field standardizes inconsistent raw gender labels such as M/male/F/female.</a:t>
          </a:r>
          <a:r>
            <a:rPr lang="en-IN">
              <a:effectLst/>
            </a:rPr>
            <a:t> </a:t>
          </a:r>
        </a:p>
        <a:p>
          <a:r>
            <a:rPr lang="en-IN" sz="1100" b="0" i="0" u="none" strike="noStrike">
              <a:solidFill>
                <a:schemeClr val="dk1"/>
              </a:solidFill>
              <a:effectLst/>
              <a:latin typeface="+mn-lt"/>
              <a:ea typeface="+mn-ea"/>
              <a:cs typeface="+mn-cs"/>
            </a:rPr>
            <a:t>   * PHQ-9 and GAD-7 each have 14 missing scores; the supplied category fields mark these as 'Answer Not Provided'.</a:t>
          </a:r>
          <a:r>
            <a:rPr lang="en-IN">
              <a:effectLst/>
            </a:rPr>
            <a:t> </a:t>
          </a:r>
        </a:p>
        <a:p>
          <a:r>
            <a:rPr lang="en-IN" sz="1100" b="0" i="0" u="none" strike="noStrike">
              <a:solidFill>
                <a:schemeClr val="dk1"/>
              </a:solidFill>
              <a:effectLst/>
              <a:latin typeface="+mn-lt"/>
              <a:ea typeface="+mn-ea"/>
              <a:cs typeface="+mn-cs"/>
            </a:rPr>
            <a:t>   * Online Learning Satisfaction has 24 mising data.</a:t>
          </a:r>
          <a:r>
            <a:rPr lang="en-IN">
              <a:effectLst/>
            </a:rPr>
            <a:t> </a:t>
          </a:r>
        </a:p>
        <a:p>
          <a:r>
            <a:rPr lang="en-IN" sz="1100" b="0" i="0" u="none" strike="noStrike">
              <a:solidFill>
                <a:schemeClr val="dk1"/>
              </a:solidFill>
              <a:effectLst/>
              <a:latin typeface="+mn-lt"/>
              <a:ea typeface="+mn-ea"/>
              <a:cs typeface="+mn-cs"/>
            </a:rPr>
            <a:t>   * Missing values were retained during EDA rather than imputed because missingness was limited and CGPA missingness was concentrated among Year 1 students.</a:t>
          </a:r>
          <a:r>
            <a:rPr lang="en-IN">
              <a:effectLst/>
            </a:rPr>
            <a:t> </a:t>
          </a:r>
        </a:p>
        <a:p>
          <a:endParaRPr lang="en-IN">
            <a:effectLst/>
          </a:endParaRPr>
        </a:p>
        <a:p>
          <a:r>
            <a:rPr lang="en-IN" sz="1100" b="0" i="0" u="none" strike="noStrike">
              <a:solidFill>
                <a:schemeClr val="dk1"/>
              </a:solidFill>
              <a:effectLst/>
              <a:latin typeface="+mn-lt"/>
              <a:ea typeface="+mn-ea"/>
              <a:cs typeface="+mn-cs"/>
            </a:rPr>
            <a:t>   ** it is important to note that EDA was performed using available observations (missing data was not imputed).</a:t>
          </a:r>
          <a:endParaRPr lang="en-IN">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3498</xdr:colOff>
      <xdr:row>13</xdr:row>
      <xdr:rowOff>3153</xdr:rowOff>
    </xdr:from>
    <xdr:to>
      <xdr:col>7</xdr:col>
      <xdr:colOff>1625</xdr:colOff>
      <xdr:row>25</xdr:row>
      <xdr:rowOff>175846</xdr:rowOff>
    </xdr:to>
    <xdr:graphicFrame macro="">
      <xdr:nvGraphicFramePr>
        <xdr:cNvPr id="2" name="Chart 1">
          <a:extLst>
            <a:ext uri="{FF2B5EF4-FFF2-40B4-BE49-F238E27FC236}">
              <a16:creationId xmlns:a16="http://schemas.microsoft.com/office/drawing/2014/main" id="{D0F04AC4-26FC-4B79-AE23-D8B0BA74D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424064</xdr:colOff>
      <xdr:row>39</xdr:row>
      <xdr:rowOff>105848</xdr:rowOff>
    </xdr:from>
    <xdr:to>
      <xdr:col>13</xdr:col>
      <xdr:colOff>236113</xdr:colOff>
      <xdr:row>54</xdr:row>
      <xdr:rowOff>32198</xdr:rowOff>
    </xdr:to>
    <xdr:graphicFrame macro="">
      <xdr:nvGraphicFramePr>
        <xdr:cNvPr id="18" name="Chart 17">
          <a:extLst>
            <a:ext uri="{FF2B5EF4-FFF2-40B4-BE49-F238E27FC236}">
              <a16:creationId xmlns:a16="http://schemas.microsoft.com/office/drawing/2014/main" id="{BE750171-1C15-4B0A-B323-B26E738A9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26</xdr:row>
      <xdr:rowOff>104017</xdr:rowOff>
    </xdr:from>
    <xdr:to>
      <xdr:col>8</xdr:col>
      <xdr:colOff>203970</xdr:colOff>
      <xdr:row>39</xdr:row>
      <xdr:rowOff>9786</xdr:rowOff>
    </xdr:to>
    <xdr:graphicFrame macro="">
      <xdr:nvGraphicFramePr>
        <xdr:cNvPr id="19" name="Chart 18">
          <a:extLst>
            <a:ext uri="{FF2B5EF4-FFF2-40B4-BE49-F238E27FC236}">
              <a16:creationId xmlns:a16="http://schemas.microsoft.com/office/drawing/2014/main" id="{10C5250F-5CB8-4419-8778-7CA764E85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268075</xdr:colOff>
      <xdr:row>26</xdr:row>
      <xdr:rowOff>108857</xdr:rowOff>
    </xdr:from>
    <xdr:to>
      <xdr:col>14</xdr:col>
      <xdr:colOff>455111</xdr:colOff>
      <xdr:row>39</xdr:row>
      <xdr:rowOff>31557</xdr:rowOff>
    </xdr:to>
    <xdr:graphicFrame macro="">
      <xdr:nvGraphicFramePr>
        <xdr:cNvPr id="20" name="Chart 19">
          <a:extLst>
            <a:ext uri="{FF2B5EF4-FFF2-40B4-BE49-F238E27FC236}">
              <a16:creationId xmlns:a16="http://schemas.microsoft.com/office/drawing/2014/main" id="{AC9BF957-B098-4AF3-B90F-FF641E7DE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508329</xdr:colOff>
      <xdr:row>26</xdr:row>
      <xdr:rowOff>108857</xdr:rowOff>
    </xdr:from>
    <xdr:to>
      <xdr:col>21</xdr:col>
      <xdr:colOff>9567</xdr:colOff>
      <xdr:row>39</xdr:row>
      <xdr:rowOff>40024</xdr:rowOff>
    </xdr:to>
    <xdr:graphicFrame macro="">
      <xdr:nvGraphicFramePr>
        <xdr:cNvPr id="21" name="Chart 20">
          <a:extLst>
            <a:ext uri="{FF2B5EF4-FFF2-40B4-BE49-F238E27FC236}">
              <a16:creationId xmlns:a16="http://schemas.microsoft.com/office/drawing/2014/main" id="{3495B02F-DC4B-4D8F-9697-2246BA6CD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10886</xdr:colOff>
      <xdr:row>39</xdr:row>
      <xdr:rowOff>96591</xdr:rowOff>
    </xdr:from>
    <xdr:to>
      <xdr:col>9</xdr:col>
      <xdr:colOff>321972</xdr:colOff>
      <xdr:row>54</xdr:row>
      <xdr:rowOff>21465</xdr:rowOff>
    </xdr:to>
    <xdr:graphicFrame macro="">
      <xdr:nvGraphicFramePr>
        <xdr:cNvPr id="22" name="Chart 21">
          <a:extLst>
            <a:ext uri="{FF2B5EF4-FFF2-40B4-BE49-F238E27FC236}">
              <a16:creationId xmlns:a16="http://schemas.microsoft.com/office/drawing/2014/main" id="{949DCF21-BD25-4EBC-9340-CAE9CB636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321973</xdr:colOff>
      <xdr:row>39</xdr:row>
      <xdr:rowOff>107323</xdr:rowOff>
    </xdr:from>
    <xdr:to>
      <xdr:col>21</xdr:col>
      <xdr:colOff>10733</xdr:colOff>
      <xdr:row>54</xdr:row>
      <xdr:rowOff>21465</xdr:rowOff>
    </xdr:to>
    <xdr:graphicFrame macro="">
      <xdr:nvGraphicFramePr>
        <xdr:cNvPr id="23" name="Chart 22">
          <a:extLst>
            <a:ext uri="{FF2B5EF4-FFF2-40B4-BE49-F238E27FC236}">
              <a16:creationId xmlns:a16="http://schemas.microsoft.com/office/drawing/2014/main" id="{975EEF28-EC81-4347-9162-8B679653B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972672</xdr:colOff>
      <xdr:row>55</xdr:row>
      <xdr:rowOff>7353</xdr:rowOff>
    </xdr:from>
    <xdr:to>
      <xdr:col>20</xdr:col>
      <xdr:colOff>959554</xdr:colOff>
      <xdr:row>75</xdr:row>
      <xdr:rowOff>0</xdr:rowOff>
    </xdr:to>
    <xdr:graphicFrame macro="">
      <xdr:nvGraphicFramePr>
        <xdr:cNvPr id="24" name="Chart 23">
          <a:extLst>
            <a:ext uri="{FF2B5EF4-FFF2-40B4-BE49-F238E27FC236}">
              <a16:creationId xmlns:a16="http://schemas.microsoft.com/office/drawing/2014/main" id="{D5485DAE-4F9F-463A-907C-059F2A61B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96591</xdr:colOff>
      <xdr:row>13</xdr:row>
      <xdr:rowOff>32197</xdr:rowOff>
    </xdr:from>
    <xdr:to>
      <xdr:col>13</xdr:col>
      <xdr:colOff>547352</xdr:colOff>
      <xdr:row>26</xdr:row>
      <xdr:rowOff>21464</xdr:rowOff>
    </xdr:to>
    <xdr:graphicFrame macro="">
      <xdr:nvGraphicFramePr>
        <xdr:cNvPr id="26" name="Chart 25">
          <a:extLst>
            <a:ext uri="{FF2B5EF4-FFF2-40B4-BE49-F238E27FC236}">
              <a16:creationId xmlns:a16="http://schemas.microsoft.com/office/drawing/2014/main" id="{D4F5AFDE-E6B3-4FC0-99E8-AABCC8797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643944</xdr:colOff>
      <xdr:row>13</xdr:row>
      <xdr:rowOff>21464</xdr:rowOff>
    </xdr:from>
    <xdr:to>
      <xdr:col>20</xdr:col>
      <xdr:colOff>676140</xdr:colOff>
      <xdr:row>26</xdr:row>
      <xdr:rowOff>32197</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AC9CF901-FA6F-4315-BD68-8751C24718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426744" y="2840864"/>
              <a:ext cx="6966396" cy="2388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98778</xdr:colOff>
      <xdr:row>55</xdr:row>
      <xdr:rowOff>0</xdr:rowOff>
    </xdr:from>
    <xdr:to>
      <xdr:col>13</xdr:col>
      <xdr:colOff>677334</xdr:colOff>
      <xdr:row>74</xdr:row>
      <xdr:rowOff>169333</xdr:rowOff>
    </xdr:to>
    <xdr:graphicFrame macro="">
      <xdr:nvGraphicFramePr>
        <xdr:cNvPr id="28" name="Chart 27">
          <a:extLst>
            <a:ext uri="{FF2B5EF4-FFF2-40B4-BE49-F238E27FC236}">
              <a16:creationId xmlns:a16="http://schemas.microsoft.com/office/drawing/2014/main" id="{0F34E345-8F7B-425C-89A7-4A3D6B34C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Sharma" refreshedDate="46254.724224652775" createdVersion="8" refreshedVersion="8" minRefreshableVersion="3" recordCount="500" xr:uid="{7E65E2B0-8F2A-4C23-AB0A-DFFB7B584027}">
  <cacheSource type="worksheet">
    <worksheetSource name="stdsurvey"/>
  </cacheSource>
  <cacheFields count="25">
    <cacheField name="student_id" numFmtId="0">
      <sharedItems count="500">
        <s v="STU1001"/>
        <s v="STU1002"/>
        <s v="STU1003"/>
        <s v="STU1004"/>
        <s v="STU1005"/>
        <s v="STU1006"/>
        <s v="STU1007"/>
        <s v="STU1008"/>
        <s v="STU1009"/>
        <s v="STU1010"/>
        <s v="STU1011"/>
        <s v="STU1012"/>
        <s v="STU1013"/>
        <s v="STU1014"/>
        <s v="STU1015"/>
        <s v="STU1016"/>
        <s v="STU1017"/>
        <s v="STU1018"/>
        <s v="STU1019"/>
        <s v="STU1020"/>
        <s v="STU1021"/>
        <s v="STU1022"/>
        <s v="STU1023"/>
        <s v="STU1024"/>
        <s v="STU1025"/>
        <s v="STU1026"/>
        <s v="STU1027"/>
        <s v="STU1028"/>
        <s v="STU1029"/>
        <s v="STU1030"/>
        <s v="STU1031"/>
        <s v="STU1032"/>
        <s v="STU1033"/>
        <s v="STU1034"/>
        <s v="STU1035"/>
        <s v="STU1036"/>
        <s v="STU1037"/>
        <s v="STU1038"/>
        <s v="STU1039"/>
        <s v="STU1040"/>
        <s v="STU1041"/>
        <s v="STU1042"/>
        <s v="STU1043"/>
        <s v="STU1044"/>
        <s v="STU1045"/>
        <s v="STU1046"/>
        <s v="STU1047"/>
        <s v="STU1048"/>
        <s v="STU1049"/>
        <s v="STU1050"/>
        <s v="STU1051"/>
        <s v="STU1052"/>
        <s v="STU1053"/>
        <s v="STU1054"/>
        <s v="STU1055"/>
        <s v="STU1056"/>
        <s v="STU1057"/>
        <s v="STU1058"/>
        <s v="STU1059"/>
        <s v="STU1060"/>
        <s v="STU1061"/>
        <s v="STU1062"/>
        <s v="STU1063"/>
        <s v="STU1064"/>
        <s v="STU1065"/>
        <s v="STU1066"/>
        <s v="STU1067"/>
        <s v="STU1068"/>
        <s v="STU1069"/>
        <s v="STU1070"/>
        <s v="STU1071"/>
        <s v="STU1072"/>
        <s v="STU1073"/>
        <s v="STU1074"/>
        <s v="STU1075"/>
        <s v="STU1076"/>
        <s v="STU1077"/>
        <s v="STU1078"/>
        <s v="STU1079"/>
        <s v="STU1080"/>
        <s v="STU1081"/>
        <s v="STU1082"/>
        <s v="STU1083"/>
        <s v="STU1084"/>
        <s v="STU1085"/>
        <s v="STU1086"/>
        <s v="STU1087"/>
        <s v="STU1088"/>
        <s v="STU1089"/>
        <s v="STU1090"/>
        <s v="STU1091"/>
        <s v="STU1092"/>
        <s v="STU1093"/>
        <s v="STU1094"/>
        <s v="STU1095"/>
        <s v="STU1096"/>
        <s v="STU1097"/>
        <s v="STU1098"/>
        <s v="STU1099"/>
        <s v="STU1100"/>
        <s v="STU1101"/>
        <s v="STU1102"/>
        <s v="STU1103"/>
        <s v="STU1104"/>
        <s v="STU1105"/>
        <s v="STU1106"/>
        <s v="STU1107"/>
        <s v="STU1108"/>
        <s v="STU1109"/>
        <s v="STU1110"/>
        <s v="STU1111"/>
        <s v="STU1112"/>
        <s v="STU1113"/>
        <s v="STU1114"/>
        <s v="STU1115"/>
        <s v="STU1116"/>
        <s v="STU1117"/>
        <s v="STU1118"/>
        <s v="STU1119"/>
        <s v="STU1120"/>
        <s v="STU1121"/>
        <s v="STU1122"/>
        <s v="STU1123"/>
        <s v="STU1124"/>
        <s v="STU1125"/>
        <s v="STU1126"/>
        <s v="STU1127"/>
        <s v="STU1128"/>
        <s v="STU1129"/>
        <s v="STU1130"/>
        <s v="STU1131"/>
        <s v="STU1132"/>
        <s v="STU1133"/>
        <s v="STU1134"/>
        <s v="STU1135"/>
        <s v="STU1136"/>
        <s v="STU1137"/>
        <s v="STU1138"/>
        <s v="STU1139"/>
        <s v="STU1140"/>
        <s v="STU1141"/>
        <s v="STU1142"/>
        <s v="STU1143"/>
        <s v="STU1144"/>
        <s v="STU1145"/>
        <s v="STU1146"/>
        <s v="STU1147"/>
        <s v="STU1148"/>
        <s v="STU1149"/>
        <s v="STU1150"/>
        <s v="STU1151"/>
        <s v="STU1152"/>
        <s v="STU1153"/>
        <s v="STU1154"/>
        <s v="STU1155"/>
        <s v="STU1156"/>
        <s v="STU1157"/>
        <s v="STU1158"/>
        <s v="STU1159"/>
        <s v="STU1160"/>
        <s v="STU1161"/>
        <s v="STU1162"/>
        <s v="STU1163"/>
        <s v="STU1164"/>
        <s v="STU1165"/>
        <s v="STU1166"/>
        <s v="STU1167"/>
        <s v="STU1168"/>
        <s v="STU1169"/>
        <s v="STU1170"/>
        <s v="STU1171"/>
        <s v="STU1172"/>
        <s v="STU1173"/>
        <s v="STU1174"/>
        <s v="STU1175"/>
        <s v="STU1176"/>
        <s v="STU1177"/>
        <s v="STU1178"/>
        <s v="STU1179"/>
        <s v="STU1180"/>
        <s v="STU1181"/>
        <s v="STU1182"/>
        <s v="STU1183"/>
        <s v="STU1184"/>
        <s v="STU1185"/>
        <s v="STU1186"/>
        <s v="STU1187"/>
        <s v="STU1188"/>
        <s v="STU1189"/>
        <s v="STU1190"/>
        <s v="STU1191"/>
        <s v="STU1192"/>
        <s v="STU1193"/>
        <s v="STU1194"/>
        <s v="STU1195"/>
        <s v="STU1196"/>
        <s v="STU1197"/>
        <s v="STU1198"/>
        <s v="STU1199"/>
        <s v="STU1200"/>
        <s v="STU1201"/>
        <s v="STU1202"/>
        <s v="STU1203"/>
        <s v="STU1204"/>
        <s v="STU1205"/>
        <s v="STU1206"/>
        <s v="STU1207"/>
        <s v="STU1208"/>
        <s v="STU1209"/>
        <s v="STU1210"/>
        <s v="STU1211"/>
        <s v="STU1212"/>
        <s v="STU1213"/>
        <s v="STU1214"/>
        <s v="STU1215"/>
        <s v="STU1216"/>
        <s v="STU1217"/>
        <s v="STU1218"/>
        <s v="STU1219"/>
        <s v="STU1220"/>
        <s v="STU1221"/>
        <s v="STU1222"/>
        <s v="STU1223"/>
        <s v="STU1224"/>
        <s v="STU1225"/>
        <s v="STU1226"/>
        <s v="STU1227"/>
        <s v="STU1228"/>
        <s v="STU1229"/>
        <s v="STU1230"/>
        <s v="STU1231"/>
        <s v="STU1232"/>
        <s v="STU1233"/>
        <s v="STU1234"/>
        <s v="STU1235"/>
        <s v="STU1236"/>
        <s v="STU1237"/>
        <s v="STU1238"/>
        <s v="STU1239"/>
        <s v="STU1240"/>
        <s v="STU1241"/>
        <s v="STU1242"/>
        <s v="STU1243"/>
        <s v="STU1244"/>
        <s v="STU1245"/>
        <s v="STU1246"/>
        <s v="STU1247"/>
        <s v="STU1248"/>
        <s v="STU1249"/>
        <s v="STU1250"/>
        <s v="STU1251"/>
        <s v="STU1252"/>
        <s v="STU1253"/>
        <s v="STU1254"/>
        <s v="STU1255"/>
        <s v="STU1256"/>
        <s v="STU1257"/>
        <s v="STU1258"/>
        <s v="STU1259"/>
        <s v="STU1260"/>
        <s v="STU1261"/>
        <s v="STU1262"/>
        <s v="STU1263"/>
        <s v="STU1264"/>
        <s v="STU1265"/>
        <s v="STU1266"/>
        <s v="STU1267"/>
        <s v="STU1268"/>
        <s v="STU1269"/>
        <s v="STU1270"/>
        <s v="STU1271"/>
        <s v="STU1272"/>
        <s v="STU1273"/>
        <s v="STU1274"/>
        <s v="STU1275"/>
        <s v="STU1276"/>
        <s v="STU1277"/>
        <s v="STU1278"/>
        <s v="STU1279"/>
        <s v="STU1280"/>
        <s v="STU1281"/>
        <s v="STU1282"/>
        <s v="STU1283"/>
        <s v="STU1284"/>
        <s v="STU1285"/>
        <s v="STU1286"/>
        <s v="STU1287"/>
        <s v="STU1288"/>
        <s v="STU1289"/>
        <s v="STU1290"/>
        <s v="STU1291"/>
        <s v="STU1292"/>
        <s v="STU1293"/>
        <s v="STU1294"/>
        <s v="STU1295"/>
        <s v="STU1296"/>
        <s v="STU1297"/>
        <s v="STU1298"/>
        <s v="STU1299"/>
        <s v="STU1300"/>
        <s v="STU1301"/>
        <s v="STU1302"/>
        <s v="STU1303"/>
        <s v="STU1304"/>
        <s v="STU1305"/>
        <s v="STU1306"/>
        <s v="STU1307"/>
        <s v="STU1308"/>
        <s v="STU1309"/>
        <s v="STU1310"/>
        <s v="STU1311"/>
        <s v="STU1312"/>
        <s v="STU1313"/>
        <s v="STU1314"/>
        <s v="STU1315"/>
        <s v="STU1316"/>
        <s v="STU1317"/>
        <s v="STU1318"/>
        <s v="STU1319"/>
        <s v="STU1320"/>
        <s v="STU1321"/>
        <s v="STU1322"/>
        <s v="STU1323"/>
        <s v="STU1324"/>
        <s v="STU1325"/>
        <s v="STU1326"/>
        <s v="STU1327"/>
        <s v="STU1328"/>
        <s v="STU1329"/>
        <s v="STU1330"/>
        <s v="STU1331"/>
        <s v="STU1332"/>
        <s v="STU1333"/>
        <s v="STU1334"/>
        <s v="STU1335"/>
        <s v="STU1336"/>
        <s v="STU1337"/>
        <s v="STU1338"/>
        <s v="STU1339"/>
        <s v="STU1340"/>
        <s v="STU1341"/>
        <s v="STU1342"/>
        <s v="STU1343"/>
        <s v="STU1344"/>
        <s v="STU1345"/>
        <s v="STU1346"/>
        <s v="STU1347"/>
        <s v="STU1348"/>
        <s v="STU1349"/>
        <s v="STU1350"/>
        <s v="STU1351"/>
        <s v="STU1352"/>
        <s v="STU1353"/>
        <s v="STU1354"/>
        <s v="STU1355"/>
        <s v="STU1356"/>
        <s v="STU1357"/>
        <s v="STU1358"/>
        <s v="STU1359"/>
        <s v="STU1360"/>
        <s v="STU1361"/>
        <s v="STU1362"/>
        <s v="STU1363"/>
        <s v="STU1364"/>
        <s v="STU1365"/>
        <s v="STU1366"/>
        <s v="STU1367"/>
        <s v="STU1368"/>
        <s v="STU1369"/>
        <s v="STU1370"/>
        <s v="STU1371"/>
        <s v="STU1372"/>
        <s v="STU1373"/>
        <s v="STU1374"/>
        <s v="STU1375"/>
        <s v="STU1376"/>
        <s v="STU1377"/>
        <s v="STU1378"/>
        <s v="STU1379"/>
        <s v="STU1380"/>
        <s v="STU1381"/>
        <s v="STU1382"/>
        <s v="STU1383"/>
        <s v="STU1384"/>
        <s v="STU1385"/>
        <s v="STU1386"/>
        <s v="STU1387"/>
        <s v="STU1388"/>
        <s v="STU1389"/>
        <s v="STU1390"/>
        <s v="STU1391"/>
        <s v="STU1392"/>
        <s v="STU1393"/>
        <s v="STU1394"/>
        <s v="STU1395"/>
        <s v="STU1396"/>
        <s v="STU1397"/>
        <s v="STU1398"/>
        <s v="STU1399"/>
        <s v="STU1400"/>
        <s v="STU1401"/>
        <s v="STU1402"/>
        <s v="STU1403"/>
        <s v="STU1404"/>
        <s v="STU1405"/>
        <s v="STU1406"/>
        <s v="STU1407"/>
        <s v="STU1408"/>
        <s v="STU1409"/>
        <s v="STU1410"/>
        <s v="STU1411"/>
        <s v="STU1412"/>
        <s v="STU1413"/>
        <s v="STU1414"/>
        <s v="STU1415"/>
        <s v="STU1416"/>
        <s v="STU1417"/>
        <s v="STU1418"/>
        <s v="STU1419"/>
        <s v="STU1420"/>
        <s v="STU1421"/>
        <s v="STU1422"/>
        <s v="STU1423"/>
        <s v="STU1424"/>
        <s v="STU1425"/>
        <s v="STU1426"/>
        <s v="STU1427"/>
        <s v="STU1428"/>
        <s v="STU1429"/>
        <s v="STU1430"/>
        <s v="STU1431"/>
        <s v="STU1432"/>
        <s v="STU1433"/>
        <s v="STU1434"/>
        <s v="STU1435"/>
        <s v="STU1436"/>
        <s v="STU1437"/>
        <s v="STU1438"/>
        <s v="STU1439"/>
        <s v="STU1440"/>
        <s v="STU1441"/>
        <s v="STU1442"/>
        <s v="STU1443"/>
        <s v="STU1444"/>
        <s v="STU1445"/>
        <s v="STU1446"/>
        <s v="STU1447"/>
        <s v="STU1448"/>
        <s v="STU1449"/>
        <s v="STU1450"/>
        <s v="STU1451"/>
        <s v="STU1452"/>
        <s v="STU1453"/>
        <s v="STU1454"/>
        <s v="STU1455"/>
        <s v="STU1456"/>
        <s v="STU1457"/>
        <s v="STU1458"/>
        <s v="STU1459"/>
        <s v="STU1460"/>
        <s v="STU1461"/>
        <s v="STU1462"/>
        <s v="STU1463"/>
        <s v="STU1464"/>
        <s v="STU1465"/>
        <s v="STU1466"/>
        <s v="STU1467"/>
        <s v="STU1468"/>
        <s v="STU1469"/>
        <s v="STU1470"/>
        <s v="STU1471"/>
        <s v="STU1472"/>
        <s v="STU1473"/>
        <s v="STU1474"/>
        <s v="STU1475"/>
        <s v="STU1476"/>
        <s v="STU1477"/>
        <s v="STU1478"/>
        <s v="STU1479"/>
        <s v="STU1480"/>
        <s v="STU1481"/>
        <s v="STU1482"/>
        <s v="STU1483"/>
        <s v="STU1484"/>
        <s v="STU1485"/>
        <s v="STU1486"/>
        <s v="STU1487"/>
        <s v="STU1488"/>
        <s v="STU1489"/>
        <s v="STU1490"/>
        <s v="STU1491"/>
        <s v="STU1492"/>
        <s v="STU1493"/>
        <s v="STU1494"/>
        <s v="STU1495"/>
        <s v="STU1496"/>
        <s v="STU1497"/>
        <s v="STU1498"/>
        <s v="STU1499"/>
        <s v="STU1500"/>
      </sharedItems>
    </cacheField>
    <cacheField name="age" numFmtId="0">
      <sharedItems containsSemiMixedTypes="0" containsString="0" containsNumber="1" containsInteger="1" minValue="17" maxValue="28"/>
    </cacheField>
    <cacheField name="gender" numFmtId="0">
      <sharedItems/>
    </cacheField>
    <cacheField name="year_of_study" numFmtId="0">
      <sharedItems containsSemiMixedTypes="0" containsString="0" containsNumber="1" containsInteger="1" minValue="1" maxValue="5" count="5">
        <n v="3"/>
        <n v="2"/>
        <n v="5"/>
        <n v="1"/>
        <n v="4"/>
      </sharedItems>
    </cacheField>
    <cacheField name="major_category" numFmtId="0">
      <sharedItems count="7">
        <s v="Business"/>
        <s v="STEM"/>
        <s v="Humanities"/>
        <s v="Arts"/>
        <s v="Health Sciences"/>
        <s v="Social Sciences"/>
        <s v="Law"/>
      </sharedItems>
    </cacheField>
    <cacheField name="daily_sleep_hours" numFmtId="0">
      <sharedItems containsSemiMixedTypes="0" containsString="0" containsNumber="1" minValue="3" maxValue="10"/>
    </cacheField>
    <cacheField name="daily_screen_time_hours" numFmtId="0">
      <sharedItems containsSemiMixedTypes="0" containsString="0" containsNumber="1" minValue="1" maxValue="16"/>
    </cacheField>
    <cacheField name="physical_activity_days_per_week" numFmtId="0">
      <sharedItems containsSemiMixedTypes="0" containsString="0" containsNumber="1" containsInteger="1" minValue="0" maxValue="7"/>
    </cacheField>
    <cacheField name="phq9_score" numFmtId="0">
      <sharedItems containsString="0" containsBlank="1" containsNumber="1" containsInteger="1" minValue="0" maxValue="27" count="27">
        <n v="17"/>
        <n v="9"/>
        <n v="1"/>
        <n v="4"/>
        <n v="10"/>
        <n v="5"/>
        <n v="3"/>
        <n v="27"/>
        <n v="7"/>
        <n v="6"/>
        <n v="8"/>
        <m/>
        <n v="2"/>
        <n v="13"/>
        <n v="25"/>
        <n v="14"/>
        <n v="12"/>
        <n v="0"/>
        <n v="20"/>
        <n v="15"/>
        <n v="22"/>
        <n v="18"/>
        <n v="11"/>
        <n v="16"/>
        <n v="26"/>
        <n v="19"/>
        <n v="21"/>
      </sharedItems>
    </cacheField>
    <cacheField name="gad7_score" numFmtId="0">
      <sharedItems containsString="0" containsBlank="1" containsNumber="1" containsInteger="1" minValue="0" maxValue="21" count="23">
        <n v="16"/>
        <n v="7"/>
        <n v="2"/>
        <n v="6"/>
        <n v="5"/>
        <n v="3"/>
        <n v="19"/>
        <n v="8"/>
        <m/>
        <n v="4"/>
        <n v="1"/>
        <n v="9"/>
        <n v="21"/>
        <n v="10"/>
        <n v="12"/>
        <n v="18"/>
        <n v="11"/>
        <n v="13"/>
        <n v="14"/>
        <n v="0"/>
        <n v="15"/>
        <n v="20"/>
        <n v="17"/>
      </sharedItems>
    </cacheField>
    <cacheField name="phq9_score_category" numFmtId="0">
      <sharedItems count="6">
        <s v="Moderately Severe"/>
        <s v="Mild"/>
        <s v="Minimal"/>
        <s v="Moderate"/>
        <s v="Severe"/>
        <s v="Answer Not Provided"/>
      </sharedItems>
    </cacheField>
    <cacheField name="perceived_stress_scale" numFmtId="0">
      <sharedItems containsSemiMixedTypes="0" containsString="0" containsNumber="1" containsInteger="1" minValue="1" maxValue="38" count="32">
        <n v="26"/>
        <n v="19"/>
        <n v="10"/>
        <n v="9"/>
        <n v="15"/>
        <n v="8"/>
        <n v="5"/>
        <n v="28"/>
        <n v="12"/>
        <n v="13"/>
        <n v="7"/>
        <n v="21"/>
        <n v="27"/>
        <n v="11"/>
        <n v="1"/>
        <n v="17"/>
        <n v="2"/>
        <n v="20"/>
        <n v="31"/>
        <n v="14"/>
        <n v="22"/>
        <n v="4"/>
        <n v="16"/>
        <n v="6"/>
        <n v="25"/>
        <n v="38"/>
        <n v="24"/>
        <n v="18"/>
        <n v="23"/>
        <n v="3"/>
        <n v="32"/>
        <n v="29"/>
      </sharedItems>
    </cacheField>
    <cacheField name="gad7_score_interpretation" numFmtId="0">
      <sharedItems count="5">
        <s v="Severe"/>
        <s v="Mild"/>
        <s v="Minimal"/>
        <s v="Answer Not Provided"/>
        <s v="Moderate"/>
      </sharedItems>
    </cacheField>
    <cacheField name="weekly_study_hours" numFmtId="0">
      <sharedItems containsSemiMixedTypes="0" containsString="0" containsNumber="1" minValue="1" maxValue="85.3"/>
    </cacheField>
    <cacheField name="pss_category" numFmtId="0">
      <sharedItems count="3">
        <s v="Moderate Stress"/>
        <s v="Low Stress"/>
        <s v="High Stress"/>
      </sharedItems>
    </cacheField>
    <cacheField name="class_attendance_percent" numFmtId="0">
      <sharedItems containsSemiMixedTypes="0" containsString="0" containsNumber="1" minValue="31.8" maxValue="100"/>
    </cacheField>
    <cacheField name="online_learning_satisfaction" numFmtId="0">
      <sharedItems containsString="0" containsBlank="1" containsNumber="1" containsInteger="1" minValue="1" maxValue="5"/>
    </cacheField>
    <cacheField name="attendance_band" numFmtId="0">
      <sharedItems/>
    </cacheField>
    <cacheField name="has_part_time_job" numFmtId="0">
      <sharedItems count="2">
        <s v="No"/>
        <s v="Yes"/>
      </sharedItems>
    </cacheField>
    <cacheField name="financial_stress" numFmtId="0">
      <sharedItems containsSemiMixedTypes="0" containsString="0" containsNumber="1" containsInteger="1" minValue="1" maxValue="5" count="5">
        <n v="1"/>
        <n v="4"/>
        <n v="3"/>
        <n v="2"/>
        <n v="5"/>
      </sharedItems>
    </cacheField>
    <cacheField name="semester_type" numFmtId="0">
      <sharedItems count="3">
        <s v="Spring"/>
        <s v="Fall"/>
        <s v="Summer"/>
      </sharedItems>
    </cacheField>
    <cacheField name="cgpa" numFmtId="0">
      <sharedItems containsString="0" containsBlank="1" containsNumber="1" minValue="1.83" maxValue="4.3" count="152">
        <n v="2.46"/>
        <n v="2.98"/>
        <n v="3.27"/>
        <n v="3.09"/>
        <n v="2.2799999999999998"/>
        <n v="2.69"/>
        <n v="2.9"/>
        <m/>
        <n v="3.18"/>
        <n v="3.11"/>
        <n v="2.85"/>
        <n v="2.4300000000000002"/>
        <n v="3.13"/>
        <n v="3.1"/>
        <n v="4.0999999999999996"/>
        <n v="2.37"/>
        <n v="3.37"/>
        <n v="2.99"/>
        <n v="2.78"/>
        <n v="2.73"/>
        <n v="3.29"/>
        <n v="2.88"/>
        <n v="2.96"/>
        <n v="2.2599999999999998"/>
        <n v="3.06"/>
        <n v="3.31"/>
        <n v="3.32"/>
        <n v="3.34"/>
        <n v="3.26"/>
        <n v="2.2400000000000002"/>
        <n v="2.97"/>
        <n v="2.57"/>
        <n v="3.16"/>
        <n v="2.8"/>
        <n v="3.8"/>
        <n v="3.2"/>
        <n v="2.33"/>
        <n v="3"/>
        <n v="3.28"/>
        <n v="3.08"/>
        <n v="2.86"/>
        <n v="2.52"/>
        <n v="2.81"/>
        <n v="3.17"/>
        <n v="2.4"/>
        <n v="3.24"/>
        <n v="3.74"/>
        <n v="3.19"/>
        <n v="2.65"/>
        <n v="2.64"/>
        <n v="3.23"/>
        <n v="2.82"/>
        <n v="3.44"/>
        <n v="2.95"/>
        <n v="2.5099999999999998"/>
        <n v="2.5499999999999998"/>
        <n v="3.15"/>
        <n v="3.22"/>
        <n v="2.35"/>
        <n v="2.93"/>
        <n v="3.42"/>
        <n v="3.07"/>
        <n v="2.1"/>
        <n v="2.75"/>
        <n v="2.72"/>
        <n v="3.51"/>
        <n v="2.62"/>
        <n v="2.84"/>
        <n v="1.96"/>
        <n v="2.42"/>
        <n v="3.53"/>
        <n v="2.74"/>
        <n v="2.58"/>
        <n v="2.61"/>
        <n v="2.91"/>
        <n v="2.77"/>
        <n v="2.44"/>
        <n v="4"/>
        <n v="3.03"/>
        <n v="2.59"/>
        <n v="2.2999999999999998"/>
        <n v="2.76"/>
        <n v="3.39"/>
        <n v="3.47"/>
        <n v="2.94"/>
        <n v="3.6"/>
        <n v="2.89"/>
        <n v="3.14"/>
        <n v="3.12"/>
        <n v="2.87"/>
        <n v="4.2"/>
        <n v="2.39"/>
        <n v="2.6"/>
        <n v="3.71"/>
        <n v="3.02"/>
        <n v="3.54"/>
        <n v="3.3"/>
        <n v="2.79"/>
        <n v="3.33"/>
        <n v="3.41"/>
        <n v="2.4500000000000002"/>
        <n v="2.23"/>
        <n v="3.52"/>
        <n v="3.01"/>
        <n v="2.15"/>
        <n v="3.25"/>
        <n v="3.04"/>
        <n v="2.38"/>
        <n v="3.9"/>
        <n v="3.5"/>
        <n v="2.7"/>
        <n v="2.67"/>
        <n v="3.05"/>
        <n v="2.92"/>
        <n v="3.43"/>
        <n v="3.79"/>
        <n v="2.1800000000000002"/>
        <n v="3.87"/>
        <n v="3.48"/>
        <n v="3.76"/>
        <n v="3.64"/>
        <n v="2.83"/>
        <n v="2.31"/>
        <n v="2.04"/>
        <n v="3.62"/>
        <n v="2.54"/>
        <n v="2.71"/>
        <n v="3.55"/>
        <n v="3.45"/>
        <n v="2.63"/>
        <n v="2.66"/>
        <n v="2.17"/>
        <n v="4.3"/>
        <n v="2.06"/>
        <n v="2.36"/>
        <n v="2.68"/>
        <n v="2.48"/>
        <n v="3.38"/>
        <n v="3.21"/>
        <n v="2.3199999999999998"/>
        <n v="1.83"/>
        <n v="3.57"/>
        <n v="2.2200000000000002"/>
        <n v="3.35"/>
        <n v="2.29"/>
        <n v="2.4700000000000002"/>
        <n v="3.92"/>
        <n v="2.5299999999999998"/>
        <n v="1.94"/>
        <n v="3.4"/>
        <n v="2.41"/>
        <n v="3.7"/>
      </sharedItems>
    </cacheField>
    <cacheField name="screen_time_band" numFmtId="0">
      <sharedItems/>
    </cacheField>
    <cacheField name="sleep_hour_band" numFmtId="0">
      <sharedItems/>
    </cacheField>
    <cacheField name="gender_cleaned" numFmtId="0">
      <sharedItems count="4">
        <s v="Female"/>
        <s v="Male"/>
        <s v="Prefer not to say"/>
        <s v="Non-bina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22"/>
    <s v="Female"/>
    <x v="0"/>
    <x v="0"/>
    <n v="6.1"/>
    <n v="4.0999999999999996"/>
    <n v="1"/>
    <x v="0"/>
    <x v="0"/>
    <x v="0"/>
    <x v="0"/>
    <x v="0"/>
    <n v="6.3"/>
    <x v="0"/>
    <n v="63.9"/>
    <n v="5"/>
    <s v="60-70 %"/>
    <x v="0"/>
    <x v="0"/>
    <x v="0"/>
    <x v="0"/>
    <s v="4-8 hrs"/>
    <s v="6-8 hrs"/>
    <x v="0"/>
  </r>
  <r>
    <x v="1"/>
    <n v="19"/>
    <s v="M"/>
    <x v="1"/>
    <x v="0"/>
    <n v="7"/>
    <n v="2.2999999999999998"/>
    <n v="3"/>
    <x v="1"/>
    <x v="1"/>
    <x v="1"/>
    <x v="1"/>
    <x v="1"/>
    <n v="20.7"/>
    <x v="0"/>
    <n v="78.5"/>
    <n v="3"/>
    <s v="70-80%"/>
    <x v="0"/>
    <x v="1"/>
    <x v="1"/>
    <x v="1"/>
    <s v="1-4 hrs"/>
    <s v="6-8 hrs"/>
    <x v="1"/>
  </r>
  <r>
    <x v="2"/>
    <n v="23"/>
    <s v="Prefer not to say"/>
    <x v="0"/>
    <x v="1"/>
    <n v="5"/>
    <n v="9.1999999999999993"/>
    <n v="1"/>
    <x v="2"/>
    <x v="2"/>
    <x v="2"/>
    <x v="2"/>
    <x v="2"/>
    <n v="17.100000000000001"/>
    <x v="1"/>
    <n v="92.5"/>
    <n v="5"/>
    <s v="More than 90%"/>
    <x v="0"/>
    <x v="2"/>
    <x v="0"/>
    <x v="2"/>
    <s v="8-12 hrs"/>
    <s v="4-6 hrs"/>
    <x v="2"/>
  </r>
  <r>
    <x v="3"/>
    <n v="23"/>
    <s v="Male"/>
    <x v="1"/>
    <x v="2"/>
    <n v="3.8"/>
    <n v="2"/>
    <n v="6"/>
    <x v="3"/>
    <x v="3"/>
    <x v="2"/>
    <x v="3"/>
    <x v="1"/>
    <n v="25.2"/>
    <x v="1"/>
    <n v="86.5"/>
    <n v="3"/>
    <s v="80-90%"/>
    <x v="1"/>
    <x v="3"/>
    <x v="0"/>
    <x v="3"/>
    <s v="1-4 hrs"/>
    <s v="&lt; 4 hrs"/>
    <x v="1"/>
  </r>
  <r>
    <x v="4"/>
    <n v="17"/>
    <s v="Female"/>
    <x v="2"/>
    <x v="3"/>
    <n v="5.8"/>
    <n v="4.0999999999999996"/>
    <n v="0"/>
    <x v="4"/>
    <x v="3"/>
    <x v="3"/>
    <x v="4"/>
    <x v="1"/>
    <n v="4.5999999999999996"/>
    <x v="0"/>
    <n v="83.9"/>
    <n v="5"/>
    <s v="80-90%"/>
    <x v="1"/>
    <x v="2"/>
    <x v="0"/>
    <x v="4"/>
    <s v="4-8 hrs"/>
    <s v="4-6 hrs"/>
    <x v="0"/>
  </r>
  <r>
    <x v="5"/>
    <n v="19"/>
    <s v="Female"/>
    <x v="1"/>
    <x v="0"/>
    <n v="5.2"/>
    <n v="5.8"/>
    <n v="4"/>
    <x v="5"/>
    <x v="4"/>
    <x v="1"/>
    <x v="5"/>
    <x v="1"/>
    <n v="12.5"/>
    <x v="1"/>
    <n v="78.400000000000006"/>
    <n v="2"/>
    <s v="70-80%"/>
    <x v="0"/>
    <x v="2"/>
    <x v="0"/>
    <x v="5"/>
    <s v="4-8 hrs"/>
    <s v="4-6 hrs"/>
    <x v="0"/>
  </r>
  <r>
    <x v="6"/>
    <n v="22"/>
    <s v="Male"/>
    <x v="0"/>
    <x v="2"/>
    <n v="4.3"/>
    <n v="4.5999999999999996"/>
    <n v="4"/>
    <x v="6"/>
    <x v="5"/>
    <x v="2"/>
    <x v="6"/>
    <x v="2"/>
    <n v="20.8"/>
    <x v="1"/>
    <n v="75.5"/>
    <n v="4"/>
    <s v="70-80%"/>
    <x v="0"/>
    <x v="2"/>
    <x v="1"/>
    <x v="6"/>
    <s v="4-8 hrs"/>
    <s v="4-6 hrs"/>
    <x v="1"/>
  </r>
  <r>
    <x v="7"/>
    <n v="21"/>
    <s v="Male"/>
    <x v="3"/>
    <x v="1"/>
    <n v="8.3000000000000007"/>
    <n v="5.3"/>
    <n v="0"/>
    <x v="7"/>
    <x v="6"/>
    <x v="4"/>
    <x v="7"/>
    <x v="0"/>
    <n v="24.6"/>
    <x v="2"/>
    <n v="71.2"/>
    <n v="2"/>
    <s v="70-80%"/>
    <x v="0"/>
    <x v="4"/>
    <x v="1"/>
    <x v="7"/>
    <s v="4-8 hrs"/>
    <s v="&gt; 8 hrs"/>
    <x v="1"/>
  </r>
  <r>
    <x v="8"/>
    <n v="21"/>
    <s v="Female"/>
    <x v="1"/>
    <x v="1"/>
    <n v="6.8"/>
    <n v="2.2999999999999998"/>
    <n v="1"/>
    <x v="8"/>
    <x v="7"/>
    <x v="1"/>
    <x v="8"/>
    <x v="1"/>
    <n v="32.700000000000003"/>
    <x v="1"/>
    <n v="96"/>
    <n v="5"/>
    <s v="More than 90%"/>
    <x v="0"/>
    <x v="1"/>
    <x v="0"/>
    <x v="8"/>
    <s v="1-4 hrs"/>
    <s v="6-8 hrs"/>
    <x v="0"/>
  </r>
  <r>
    <x v="9"/>
    <n v="20"/>
    <s v="Female"/>
    <x v="4"/>
    <x v="1"/>
    <n v="6.6"/>
    <n v="5.9"/>
    <n v="2"/>
    <x v="9"/>
    <x v="1"/>
    <x v="1"/>
    <x v="9"/>
    <x v="1"/>
    <n v="20.8"/>
    <x v="1"/>
    <n v="97.1"/>
    <n v="5"/>
    <s v="More than 90%"/>
    <x v="0"/>
    <x v="1"/>
    <x v="1"/>
    <x v="9"/>
    <s v="4-8 hrs"/>
    <s v="6-8 hrs"/>
    <x v="0"/>
  </r>
  <r>
    <x v="10"/>
    <n v="23"/>
    <s v="Male"/>
    <x v="0"/>
    <x v="1"/>
    <n v="6.1"/>
    <n v="1.1000000000000001"/>
    <n v="5"/>
    <x v="10"/>
    <x v="3"/>
    <x v="1"/>
    <x v="10"/>
    <x v="1"/>
    <n v="31.6"/>
    <x v="1"/>
    <n v="65.599999999999994"/>
    <n v="3"/>
    <s v="60-70 %"/>
    <x v="0"/>
    <x v="2"/>
    <x v="0"/>
    <x v="10"/>
    <s v="1-4 hrs"/>
    <s v="6-8 hrs"/>
    <x v="1"/>
  </r>
  <r>
    <x v="11"/>
    <n v="23"/>
    <s v="Male"/>
    <x v="1"/>
    <x v="3"/>
    <n v="5.2"/>
    <n v="9.1"/>
    <n v="3"/>
    <x v="3"/>
    <x v="4"/>
    <x v="2"/>
    <x v="2"/>
    <x v="1"/>
    <n v="11.5"/>
    <x v="1"/>
    <n v="89"/>
    <n v="3"/>
    <s v="80-90%"/>
    <x v="1"/>
    <x v="4"/>
    <x v="0"/>
    <x v="11"/>
    <s v="8-12 hrs"/>
    <s v="4-6 hrs"/>
    <x v="1"/>
  </r>
  <r>
    <x v="12"/>
    <n v="22"/>
    <s v="Female"/>
    <x v="2"/>
    <x v="0"/>
    <n v="8.1999999999999993"/>
    <n v="1"/>
    <n v="3"/>
    <x v="11"/>
    <x v="8"/>
    <x v="5"/>
    <x v="11"/>
    <x v="3"/>
    <n v="24.5"/>
    <x v="0"/>
    <n v="71.8"/>
    <n v="4"/>
    <s v="70-80%"/>
    <x v="0"/>
    <x v="3"/>
    <x v="0"/>
    <x v="12"/>
    <s v="1-4 hrs"/>
    <s v="&gt; 8 hrs"/>
    <x v="0"/>
  </r>
  <r>
    <x v="13"/>
    <n v="24"/>
    <s v="Male"/>
    <x v="4"/>
    <x v="4"/>
    <n v="6.4"/>
    <n v="2.9"/>
    <n v="4"/>
    <x v="8"/>
    <x v="4"/>
    <x v="1"/>
    <x v="4"/>
    <x v="1"/>
    <n v="11.4"/>
    <x v="0"/>
    <n v="86.2"/>
    <n v="3"/>
    <s v="80-90%"/>
    <x v="0"/>
    <x v="3"/>
    <x v="0"/>
    <x v="13"/>
    <s v="1-4 hrs"/>
    <s v="6-8 hrs"/>
    <x v="1"/>
  </r>
  <r>
    <x v="14"/>
    <n v="22"/>
    <s v="Male"/>
    <x v="1"/>
    <x v="5"/>
    <n v="7.6"/>
    <n v="4.0999999999999996"/>
    <n v="4"/>
    <x v="9"/>
    <x v="3"/>
    <x v="1"/>
    <x v="2"/>
    <x v="1"/>
    <n v="18.899999999999999"/>
    <x v="1"/>
    <n v="75.7"/>
    <n v="4"/>
    <s v="70-80%"/>
    <x v="0"/>
    <x v="0"/>
    <x v="0"/>
    <x v="14"/>
    <s v="4-8 hrs"/>
    <s v="6-8 hrs"/>
    <x v="1"/>
  </r>
  <r>
    <x v="15"/>
    <n v="20"/>
    <s v="Male"/>
    <x v="0"/>
    <x v="1"/>
    <n v="5.5"/>
    <n v="8.8000000000000007"/>
    <n v="3"/>
    <x v="7"/>
    <x v="6"/>
    <x v="4"/>
    <x v="12"/>
    <x v="0"/>
    <n v="1.5"/>
    <x v="2"/>
    <n v="97.8"/>
    <m/>
    <s v="More than 90%"/>
    <x v="0"/>
    <x v="2"/>
    <x v="2"/>
    <x v="15"/>
    <s v="8-12 hrs"/>
    <s v="4-6 hrs"/>
    <x v="1"/>
  </r>
  <r>
    <x v="16"/>
    <n v="22"/>
    <s v="Female"/>
    <x v="0"/>
    <x v="1"/>
    <n v="5.9"/>
    <n v="2"/>
    <n v="3"/>
    <x v="3"/>
    <x v="9"/>
    <x v="2"/>
    <x v="13"/>
    <x v="2"/>
    <n v="15.4"/>
    <x v="1"/>
    <n v="75.3"/>
    <n v="3"/>
    <s v="70-80%"/>
    <x v="1"/>
    <x v="2"/>
    <x v="1"/>
    <x v="16"/>
    <s v="1-4 hrs"/>
    <s v="4-6 hrs"/>
    <x v="0"/>
  </r>
  <r>
    <x v="17"/>
    <n v="19"/>
    <s v="Female"/>
    <x v="0"/>
    <x v="4"/>
    <n v="4.5999999999999996"/>
    <n v="7.3"/>
    <n v="4"/>
    <x v="6"/>
    <x v="10"/>
    <x v="2"/>
    <x v="14"/>
    <x v="2"/>
    <n v="23.7"/>
    <x v="1"/>
    <n v="85.9"/>
    <n v="2"/>
    <s v="80-90%"/>
    <x v="1"/>
    <x v="1"/>
    <x v="0"/>
    <x v="17"/>
    <s v="4-8 hrs"/>
    <s v="4-6 hrs"/>
    <x v="0"/>
  </r>
  <r>
    <x v="18"/>
    <n v="23"/>
    <s v="Female"/>
    <x v="1"/>
    <x v="1"/>
    <n v="4.5"/>
    <n v="1"/>
    <n v="2"/>
    <x v="8"/>
    <x v="11"/>
    <x v="1"/>
    <x v="15"/>
    <x v="1"/>
    <n v="11.9"/>
    <x v="0"/>
    <n v="92"/>
    <n v="5"/>
    <s v="More than 90%"/>
    <x v="0"/>
    <x v="2"/>
    <x v="1"/>
    <x v="18"/>
    <s v="1-4 hrs"/>
    <s v="4-6 hrs"/>
    <x v="0"/>
  </r>
  <r>
    <x v="19"/>
    <n v="21"/>
    <s v="Male"/>
    <x v="1"/>
    <x v="3"/>
    <n v="6.4"/>
    <n v="2.8"/>
    <n v="5"/>
    <x v="3"/>
    <x v="5"/>
    <x v="2"/>
    <x v="5"/>
    <x v="2"/>
    <n v="17.5"/>
    <x v="1"/>
    <n v="66.7"/>
    <n v="2"/>
    <s v="60-70 %"/>
    <x v="0"/>
    <x v="0"/>
    <x v="0"/>
    <x v="19"/>
    <s v="1-4 hrs"/>
    <s v="6-8 hrs"/>
    <x v="1"/>
  </r>
  <r>
    <x v="20"/>
    <n v="21"/>
    <s v="Male"/>
    <x v="4"/>
    <x v="1"/>
    <n v="7.1"/>
    <n v="1"/>
    <n v="0"/>
    <x v="8"/>
    <x v="11"/>
    <x v="1"/>
    <x v="1"/>
    <x v="1"/>
    <n v="26.8"/>
    <x v="0"/>
    <n v="80"/>
    <n v="4"/>
    <s v="80-90%"/>
    <x v="1"/>
    <x v="1"/>
    <x v="0"/>
    <x v="20"/>
    <s v="1-4 hrs"/>
    <s v="6-8 hrs"/>
    <x v="1"/>
  </r>
  <r>
    <x v="21"/>
    <n v="20"/>
    <s v="M"/>
    <x v="4"/>
    <x v="5"/>
    <n v="4.5"/>
    <n v="4.3"/>
    <n v="1"/>
    <x v="12"/>
    <x v="2"/>
    <x v="2"/>
    <x v="16"/>
    <x v="2"/>
    <n v="14.1"/>
    <x v="1"/>
    <n v="72.7"/>
    <n v="2"/>
    <s v="70-80%"/>
    <x v="0"/>
    <x v="4"/>
    <x v="0"/>
    <x v="21"/>
    <s v="4-8 hrs"/>
    <s v="4-6 hrs"/>
    <x v="1"/>
  </r>
  <r>
    <x v="22"/>
    <n v="24"/>
    <s v="Female"/>
    <x v="4"/>
    <x v="4"/>
    <n v="6.4"/>
    <n v="2.4"/>
    <n v="4"/>
    <x v="13"/>
    <x v="11"/>
    <x v="3"/>
    <x v="17"/>
    <x v="1"/>
    <n v="14.7"/>
    <x v="0"/>
    <n v="69.3"/>
    <n v="2"/>
    <s v="60-70 %"/>
    <x v="1"/>
    <x v="3"/>
    <x v="0"/>
    <x v="22"/>
    <s v="1-4 hrs"/>
    <s v="6-8 hrs"/>
    <x v="0"/>
  </r>
  <r>
    <x v="23"/>
    <n v="21"/>
    <s v="Female"/>
    <x v="2"/>
    <x v="1"/>
    <n v="6.5"/>
    <n v="2.6"/>
    <n v="2"/>
    <x v="14"/>
    <x v="12"/>
    <x v="4"/>
    <x v="18"/>
    <x v="0"/>
    <n v="12.8"/>
    <x v="2"/>
    <n v="62.4"/>
    <n v="1"/>
    <s v="60-70 %"/>
    <x v="0"/>
    <x v="3"/>
    <x v="0"/>
    <x v="23"/>
    <s v="1-4 hrs"/>
    <s v="6-8 hrs"/>
    <x v="0"/>
  </r>
  <r>
    <x v="24"/>
    <n v="21"/>
    <s v="Non-binary"/>
    <x v="4"/>
    <x v="1"/>
    <n v="3"/>
    <n v="10.6"/>
    <n v="1"/>
    <x v="3"/>
    <x v="1"/>
    <x v="2"/>
    <x v="2"/>
    <x v="1"/>
    <n v="13.2"/>
    <x v="1"/>
    <n v="97.3"/>
    <n v="3"/>
    <s v="More than 90%"/>
    <x v="0"/>
    <x v="3"/>
    <x v="1"/>
    <x v="24"/>
    <s v="8-12 hrs"/>
    <s v="&lt; 4 hrs"/>
    <x v="3"/>
  </r>
  <r>
    <x v="25"/>
    <n v="21"/>
    <s v="Male"/>
    <x v="4"/>
    <x v="6"/>
    <n v="5.3"/>
    <n v="2.9"/>
    <n v="1"/>
    <x v="6"/>
    <x v="9"/>
    <x v="2"/>
    <x v="6"/>
    <x v="2"/>
    <n v="19"/>
    <x v="1"/>
    <n v="73.8"/>
    <n v="4"/>
    <s v="70-80%"/>
    <x v="1"/>
    <x v="2"/>
    <x v="0"/>
    <x v="21"/>
    <s v="1-4 hrs"/>
    <s v="4-6 hrs"/>
    <x v="1"/>
  </r>
  <r>
    <x v="26"/>
    <n v="23"/>
    <s v="Male"/>
    <x v="4"/>
    <x v="1"/>
    <n v="6.5"/>
    <n v="9.6999999999999993"/>
    <n v="3"/>
    <x v="11"/>
    <x v="8"/>
    <x v="5"/>
    <x v="13"/>
    <x v="3"/>
    <n v="21.1"/>
    <x v="1"/>
    <n v="88.4"/>
    <n v="3"/>
    <s v="80-90%"/>
    <x v="0"/>
    <x v="3"/>
    <x v="1"/>
    <x v="25"/>
    <s v="8-12 hrs"/>
    <s v="6-8 hrs"/>
    <x v="1"/>
  </r>
  <r>
    <x v="27"/>
    <n v="22"/>
    <s v="Female"/>
    <x v="0"/>
    <x v="0"/>
    <n v="7.1"/>
    <n v="2.2999999999999998"/>
    <n v="4"/>
    <x v="6"/>
    <x v="5"/>
    <x v="2"/>
    <x v="2"/>
    <x v="2"/>
    <n v="13.2"/>
    <x v="1"/>
    <n v="83.8"/>
    <n v="4"/>
    <s v="80-90%"/>
    <x v="0"/>
    <x v="2"/>
    <x v="2"/>
    <x v="22"/>
    <s v="1-4 hrs"/>
    <s v="6-8 hrs"/>
    <x v="0"/>
  </r>
  <r>
    <x v="28"/>
    <n v="22"/>
    <s v="Female"/>
    <x v="1"/>
    <x v="0"/>
    <n v="4.5"/>
    <n v="4.5999999999999996"/>
    <n v="0"/>
    <x v="6"/>
    <x v="9"/>
    <x v="2"/>
    <x v="19"/>
    <x v="2"/>
    <n v="34.4"/>
    <x v="0"/>
    <n v="66.7"/>
    <n v="4"/>
    <s v="60-70 %"/>
    <x v="0"/>
    <x v="1"/>
    <x v="0"/>
    <x v="25"/>
    <s v="4-8 hrs"/>
    <s v="4-6 hrs"/>
    <x v="0"/>
  </r>
  <r>
    <x v="29"/>
    <n v="22"/>
    <s v="Female"/>
    <x v="1"/>
    <x v="1"/>
    <n v="6"/>
    <n v="4.2"/>
    <n v="0"/>
    <x v="15"/>
    <x v="13"/>
    <x v="3"/>
    <x v="20"/>
    <x v="4"/>
    <n v="11.7"/>
    <x v="0"/>
    <n v="80"/>
    <n v="2"/>
    <s v="80-90%"/>
    <x v="1"/>
    <x v="2"/>
    <x v="0"/>
    <x v="26"/>
    <s v="4-8 hrs"/>
    <s v="4-6 hrs"/>
    <x v="0"/>
  </r>
  <r>
    <x v="30"/>
    <n v="26"/>
    <s v="M"/>
    <x v="0"/>
    <x v="5"/>
    <n v="7.5"/>
    <n v="8.6"/>
    <n v="3"/>
    <x v="6"/>
    <x v="3"/>
    <x v="2"/>
    <x v="5"/>
    <x v="1"/>
    <n v="27.2"/>
    <x v="1"/>
    <n v="63.4"/>
    <n v="1"/>
    <s v="60-70 %"/>
    <x v="1"/>
    <x v="2"/>
    <x v="2"/>
    <x v="18"/>
    <s v="8-12 hrs"/>
    <s v="6-8 hrs"/>
    <x v="1"/>
  </r>
  <r>
    <x v="31"/>
    <n v="21"/>
    <s v="Female"/>
    <x v="1"/>
    <x v="5"/>
    <n v="6.9"/>
    <n v="6.7"/>
    <n v="6"/>
    <x v="12"/>
    <x v="2"/>
    <x v="2"/>
    <x v="21"/>
    <x v="2"/>
    <n v="11.1"/>
    <x v="1"/>
    <n v="90.5"/>
    <n v="4"/>
    <s v="More than 90%"/>
    <x v="0"/>
    <x v="0"/>
    <x v="0"/>
    <x v="27"/>
    <s v="4-8 hrs"/>
    <s v="6-8 hrs"/>
    <x v="0"/>
  </r>
  <r>
    <x v="32"/>
    <n v="20"/>
    <s v="Male"/>
    <x v="1"/>
    <x v="0"/>
    <n v="6.1"/>
    <n v="3.4"/>
    <n v="2"/>
    <x v="9"/>
    <x v="11"/>
    <x v="1"/>
    <x v="3"/>
    <x v="1"/>
    <n v="18.100000000000001"/>
    <x v="1"/>
    <n v="67.400000000000006"/>
    <n v="4"/>
    <s v="60-70 %"/>
    <x v="0"/>
    <x v="4"/>
    <x v="0"/>
    <x v="4"/>
    <s v="1-4 hrs"/>
    <s v="6-8 hrs"/>
    <x v="1"/>
  </r>
  <r>
    <x v="33"/>
    <n v="20"/>
    <s v="M"/>
    <x v="0"/>
    <x v="4"/>
    <n v="5.4"/>
    <n v="6.6"/>
    <n v="6"/>
    <x v="3"/>
    <x v="9"/>
    <x v="2"/>
    <x v="19"/>
    <x v="2"/>
    <n v="28.3"/>
    <x v="0"/>
    <n v="84.6"/>
    <n v="3"/>
    <s v="80-90%"/>
    <x v="0"/>
    <x v="2"/>
    <x v="1"/>
    <x v="28"/>
    <s v="4-8 hrs"/>
    <s v="4-6 hrs"/>
    <x v="1"/>
  </r>
  <r>
    <x v="34"/>
    <n v="23"/>
    <s v="Female"/>
    <x v="1"/>
    <x v="1"/>
    <n v="4.8"/>
    <n v="6.3"/>
    <n v="5"/>
    <x v="16"/>
    <x v="13"/>
    <x v="3"/>
    <x v="4"/>
    <x v="4"/>
    <n v="26.7"/>
    <x v="0"/>
    <n v="56.6"/>
    <n v="2"/>
    <s v="Less than 0%"/>
    <x v="0"/>
    <x v="2"/>
    <x v="1"/>
    <x v="29"/>
    <s v="4-8 hrs"/>
    <s v="4-6 hrs"/>
    <x v="0"/>
  </r>
  <r>
    <x v="35"/>
    <n v="24"/>
    <s v="Female"/>
    <x v="3"/>
    <x v="1"/>
    <n v="7.5"/>
    <n v="2.1"/>
    <n v="2"/>
    <x v="9"/>
    <x v="1"/>
    <x v="1"/>
    <x v="22"/>
    <x v="1"/>
    <n v="16.7"/>
    <x v="0"/>
    <n v="80.900000000000006"/>
    <n v="4"/>
    <s v="80-90%"/>
    <x v="0"/>
    <x v="0"/>
    <x v="2"/>
    <x v="30"/>
    <s v="1-4 hrs"/>
    <s v="6-8 hrs"/>
    <x v="0"/>
  </r>
  <r>
    <x v="36"/>
    <n v="21"/>
    <s v="Female"/>
    <x v="4"/>
    <x v="2"/>
    <n v="5.7"/>
    <n v="10.1"/>
    <n v="4"/>
    <x v="9"/>
    <x v="3"/>
    <x v="1"/>
    <x v="9"/>
    <x v="1"/>
    <n v="18.8"/>
    <x v="1"/>
    <n v="89.4"/>
    <n v="1"/>
    <s v="80-90%"/>
    <x v="1"/>
    <x v="1"/>
    <x v="2"/>
    <x v="31"/>
    <s v="8-12 hrs"/>
    <s v="4-6 hrs"/>
    <x v="0"/>
  </r>
  <r>
    <x v="37"/>
    <n v="20"/>
    <s v="M"/>
    <x v="4"/>
    <x v="6"/>
    <n v="6.6"/>
    <n v="11.2"/>
    <n v="4"/>
    <x v="9"/>
    <x v="4"/>
    <x v="1"/>
    <x v="8"/>
    <x v="1"/>
    <n v="24.3"/>
    <x v="1"/>
    <n v="74.099999999999994"/>
    <n v="4"/>
    <s v="70-80%"/>
    <x v="0"/>
    <x v="4"/>
    <x v="0"/>
    <x v="9"/>
    <s v="8-12 hrs"/>
    <s v="6-8 hrs"/>
    <x v="1"/>
  </r>
  <r>
    <x v="38"/>
    <n v="20"/>
    <s v="Female"/>
    <x v="3"/>
    <x v="1"/>
    <n v="6.3"/>
    <n v="5.2"/>
    <n v="3"/>
    <x v="10"/>
    <x v="1"/>
    <x v="1"/>
    <x v="8"/>
    <x v="1"/>
    <n v="15.6"/>
    <x v="1"/>
    <n v="66.7"/>
    <n v="2"/>
    <s v="60-70 %"/>
    <x v="0"/>
    <x v="0"/>
    <x v="1"/>
    <x v="32"/>
    <s v="4-8 hrs"/>
    <s v="6-8 hrs"/>
    <x v="0"/>
  </r>
  <r>
    <x v="39"/>
    <n v="23"/>
    <s v="Female"/>
    <x v="3"/>
    <x v="1"/>
    <n v="8"/>
    <n v="1.9"/>
    <n v="2"/>
    <x v="3"/>
    <x v="3"/>
    <x v="2"/>
    <x v="8"/>
    <x v="1"/>
    <n v="25.9"/>
    <x v="1"/>
    <n v="83.4"/>
    <m/>
    <s v="80-90%"/>
    <x v="1"/>
    <x v="3"/>
    <x v="1"/>
    <x v="19"/>
    <s v="1-4 hrs"/>
    <s v="6-8 hrs"/>
    <x v="0"/>
  </r>
  <r>
    <x v="40"/>
    <n v="23"/>
    <s v="Female"/>
    <x v="1"/>
    <x v="2"/>
    <n v="6.4"/>
    <n v="4.8"/>
    <n v="4"/>
    <x v="1"/>
    <x v="1"/>
    <x v="1"/>
    <x v="19"/>
    <x v="1"/>
    <n v="29"/>
    <x v="0"/>
    <n v="88.2"/>
    <n v="3"/>
    <s v="80-90%"/>
    <x v="1"/>
    <x v="3"/>
    <x v="2"/>
    <x v="13"/>
    <s v="4-8 hrs"/>
    <s v="6-8 hrs"/>
    <x v="0"/>
  </r>
  <r>
    <x v="41"/>
    <n v="23"/>
    <s v="Male"/>
    <x v="4"/>
    <x v="4"/>
    <n v="7.7"/>
    <n v="2.2999999999999998"/>
    <n v="4"/>
    <x v="5"/>
    <x v="4"/>
    <x v="1"/>
    <x v="3"/>
    <x v="1"/>
    <n v="22.8"/>
    <x v="1"/>
    <n v="45.7"/>
    <n v="4"/>
    <s v="Less than 0%"/>
    <x v="0"/>
    <x v="2"/>
    <x v="1"/>
    <x v="33"/>
    <s v="1-4 hrs"/>
    <s v="6-8 hrs"/>
    <x v="1"/>
  </r>
  <r>
    <x v="42"/>
    <n v="20"/>
    <s v="Female"/>
    <x v="4"/>
    <x v="1"/>
    <n v="7.7"/>
    <n v="2.8"/>
    <n v="4"/>
    <x v="6"/>
    <x v="9"/>
    <x v="2"/>
    <x v="13"/>
    <x v="2"/>
    <n v="23.6"/>
    <x v="1"/>
    <n v="100"/>
    <n v="1"/>
    <s v="More than 90%"/>
    <x v="0"/>
    <x v="4"/>
    <x v="0"/>
    <x v="34"/>
    <s v="1-4 hrs"/>
    <s v="6-8 hrs"/>
    <x v="0"/>
  </r>
  <r>
    <x v="43"/>
    <n v="22"/>
    <s v="Female"/>
    <x v="3"/>
    <x v="0"/>
    <n v="5.8"/>
    <n v="2.1"/>
    <n v="7"/>
    <x v="17"/>
    <x v="9"/>
    <x v="2"/>
    <x v="23"/>
    <x v="2"/>
    <n v="19.600000000000001"/>
    <x v="1"/>
    <n v="90.9"/>
    <n v="3"/>
    <s v="More than 90%"/>
    <x v="0"/>
    <x v="2"/>
    <x v="1"/>
    <x v="35"/>
    <s v="1-4 hrs"/>
    <s v="4-6 hrs"/>
    <x v="0"/>
  </r>
  <r>
    <x v="44"/>
    <n v="22"/>
    <s v="Female"/>
    <x v="4"/>
    <x v="5"/>
    <n v="4"/>
    <n v="5.8"/>
    <n v="3"/>
    <x v="3"/>
    <x v="9"/>
    <x v="2"/>
    <x v="10"/>
    <x v="2"/>
    <n v="6.9"/>
    <x v="1"/>
    <n v="82"/>
    <n v="2"/>
    <s v="80-90%"/>
    <x v="1"/>
    <x v="2"/>
    <x v="1"/>
    <x v="36"/>
    <s v="4-8 hrs"/>
    <s v="4-6 hrs"/>
    <x v="0"/>
  </r>
  <r>
    <x v="45"/>
    <n v="22"/>
    <s v="Male"/>
    <x v="3"/>
    <x v="0"/>
    <n v="8.3000000000000007"/>
    <n v="2.6"/>
    <n v="4"/>
    <x v="3"/>
    <x v="7"/>
    <x v="2"/>
    <x v="9"/>
    <x v="1"/>
    <n v="19.8"/>
    <x v="1"/>
    <n v="75.599999999999994"/>
    <n v="4"/>
    <s v="70-80%"/>
    <x v="0"/>
    <x v="1"/>
    <x v="0"/>
    <x v="37"/>
    <s v="1-4 hrs"/>
    <s v="&gt; 8 hrs"/>
    <x v="1"/>
  </r>
  <r>
    <x v="46"/>
    <n v="23"/>
    <s v="Female"/>
    <x v="1"/>
    <x v="1"/>
    <n v="7.5"/>
    <n v="1.3"/>
    <n v="5"/>
    <x v="2"/>
    <x v="2"/>
    <x v="2"/>
    <x v="23"/>
    <x v="2"/>
    <n v="16.100000000000001"/>
    <x v="1"/>
    <n v="53.2"/>
    <n v="2"/>
    <s v="Less than 0%"/>
    <x v="1"/>
    <x v="1"/>
    <x v="2"/>
    <x v="38"/>
    <s v="1-4 hrs"/>
    <s v="6-8 hrs"/>
    <x v="0"/>
  </r>
  <r>
    <x v="47"/>
    <n v="22"/>
    <s v="Male"/>
    <x v="2"/>
    <x v="1"/>
    <n v="3.9"/>
    <n v="4.7"/>
    <n v="1"/>
    <x v="6"/>
    <x v="5"/>
    <x v="2"/>
    <x v="2"/>
    <x v="2"/>
    <n v="14"/>
    <x v="1"/>
    <n v="91.8"/>
    <n v="1"/>
    <s v="More than 90%"/>
    <x v="1"/>
    <x v="3"/>
    <x v="0"/>
    <x v="39"/>
    <s v="4-8 hrs"/>
    <s v="&lt; 4 hrs"/>
    <x v="1"/>
  </r>
  <r>
    <x v="48"/>
    <n v="23"/>
    <s v="Male"/>
    <x v="3"/>
    <x v="0"/>
    <n v="5.5"/>
    <n v="3.6"/>
    <n v="0"/>
    <x v="6"/>
    <x v="9"/>
    <x v="2"/>
    <x v="10"/>
    <x v="2"/>
    <n v="31.5"/>
    <x v="1"/>
    <n v="79.400000000000006"/>
    <n v="4"/>
    <s v="70-80%"/>
    <x v="0"/>
    <x v="3"/>
    <x v="0"/>
    <x v="40"/>
    <s v="1-4 hrs"/>
    <s v="4-6 hrs"/>
    <x v="1"/>
  </r>
  <r>
    <x v="49"/>
    <n v="22"/>
    <s v="Female"/>
    <x v="3"/>
    <x v="0"/>
    <n v="7.4"/>
    <n v="2.7"/>
    <n v="2"/>
    <x v="9"/>
    <x v="5"/>
    <x v="1"/>
    <x v="10"/>
    <x v="2"/>
    <n v="13.5"/>
    <x v="1"/>
    <n v="89.8"/>
    <n v="1"/>
    <s v="80-90%"/>
    <x v="0"/>
    <x v="2"/>
    <x v="0"/>
    <x v="39"/>
    <s v="1-4 hrs"/>
    <s v="6-8 hrs"/>
    <x v="0"/>
  </r>
  <r>
    <x v="50"/>
    <n v="22"/>
    <s v="Female"/>
    <x v="1"/>
    <x v="4"/>
    <n v="5.4"/>
    <n v="10.1"/>
    <n v="5"/>
    <x v="3"/>
    <x v="5"/>
    <x v="2"/>
    <x v="19"/>
    <x v="2"/>
    <n v="18.100000000000001"/>
    <x v="0"/>
    <n v="76.900000000000006"/>
    <n v="2"/>
    <s v="70-80%"/>
    <x v="0"/>
    <x v="1"/>
    <x v="2"/>
    <x v="40"/>
    <s v="8-12 hrs"/>
    <s v="4-6 hrs"/>
    <x v="0"/>
  </r>
  <r>
    <x v="51"/>
    <n v="23"/>
    <s v="Male"/>
    <x v="0"/>
    <x v="5"/>
    <n v="5.3"/>
    <n v="5.9"/>
    <n v="2"/>
    <x v="3"/>
    <x v="9"/>
    <x v="2"/>
    <x v="19"/>
    <x v="2"/>
    <n v="23.7"/>
    <x v="0"/>
    <n v="77.599999999999994"/>
    <m/>
    <s v="70-80%"/>
    <x v="0"/>
    <x v="1"/>
    <x v="0"/>
    <x v="10"/>
    <s v="4-8 hrs"/>
    <s v="4-6 hrs"/>
    <x v="1"/>
  </r>
  <r>
    <x v="52"/>
    <n v="18"/>
    <s v="Female"/>
    <x v="2"/>
    <x v="5"/>
    <n v="7.9"/>
    <n v="5.5"/>
    <n v="4"/>
    <x v="3"/>
    <x v="1"/>
    <x v="2"/>
    <x v="9"/>
    <x v="1"/>
    <n v="11.9"/>
    <x v="1"/>
    <n v="69.5"/>
    <n v="4"/>
    <s v="60-70 %"/>
    <x v="0"/>
    <x v="1"/>
    <x v="0"/>
    <x v="41"/>
    <s v="4-8 hrs"/>
    <s v="6-8 hrs"/>
    <x v="0"/>
  </r>
  <r>
    <x v="53"/>
    <n v="21"/>
    <s v="Male"/>
    <x v="2"/>
    <x v="6"/>
    <n v="4.8"/>
    <n v="6"/>
    <n v="0"/>
    <x v="6"/>
    <x v="9"/>
    <x v="2"/>
    <x v="5"/>
    <x v="2"/>
    <n v="16.399999999999999"/>
    <x v="1"/>
    <n v="96.9"/>
    <n v="5"/>
    <s v="More than 90%"/>
    <x v="1"/>
    <x v="1"/>
    <x v="0"/>
    <x v="42"/>
    <s v="4-8 hrs"/>
    <s v="4-6 hrs"/>
    <x v="1"/>
  </r>
  <r>
    <x v="54"/>
    <n v="21"/>
    <s v="Male"/>
    <x v="3"/>
    <x v="0"/>
    <n v="4.7"/>
    <n v="5.8"/>
    <n v="2"/>
    <x v="9"/>
    <x v="4"/>
    <x v="1"/>
    <x v="2"/>
    <x v="1"/>
    <n v="25.6"/>
    <x v="1"/>
    <n v="68.400000000000006"/>
    <n v="3"/>
    <s v="60-70 %"/>
    <x v="1"/>
    <x v="3"/>
    <x v="1"/>
    <x v="43"/>
    <s v="4-8 hrs"/>
    <s v="4-6 hrs"/>
    <x v="1"/>
  </r>
  <r>
    <x v="55"/>
    <n v="20"/>
    <s v="Non-binary"/>
    <x v="3"/>
    <x v="0"/>
    <n v="6.6"/>
    <n v="3.7"/>
    <n v="3"/>
    <x v="16"/>
    <x v="14"/>
    <x v="3"/>
    <x v="20"/>
    <x v="4"/>
    <n v="13.7"/>
    <x v="0"/>
    <n v="100"/>
    <n v="3"/>
    <s v="More than 90%"/>
    <x v="0"/>
    <x v="2"/>
    <x v="1"/>
    <x v="37"/>
    <s v="1-4 hrs"/>
    <s v="6-8 hrs"/>
    <x v="3"/>
  </r>
  <r>
    <x v="56"/>
    <n v="21"/>
    <s v="Female"/>
    <x v="4"/>
    <x v="3"/>
    <n v="6.6"/>
    <n v="2.6"/>
    <n v="1"/>
    <x v="18"/>
    <x v="15"/>
    <x v="4"/>
    <x v="24"/>
    <x v="0"/>
    <n v="1.3"/>
    <x v="0"/>
    <n v="100"/>
    <n v="4"/>
    <s v="More than 90%"/>
    <x v="0"/>
    <x v="0"/>
    <x v="2"/>
    <x v="44"/>
    <s v="1-4 hrs"/>
    <s v="6-8 hrs"/>
    <x v="0"/>
  </r>
  <r>
    <x v="57"/>
    <n v="25"/>
    <s v="Prefer not to say"/>
    <x v="1"/>
    <x v="1"/>
    <n v="6.3"/>
    <n v="4.8"/>
    <n v="5"/>
    <x v="4"/>
    <x v="16"/>
    <x v="3"/>
    <x v="4"/>
    <x v="4"/>
    <n v="25"/>
    <x v="0"/>
    <n v="100"/>
    <n v="2"/>
    <s v="More than 90%"/>
    <x v="1"/>
    <x v="4"/>
    <x v="0"/>
    <x v="45"/>
    <s v="4-8 hrs"/>
    <s v="6-8 hrs"/>
    <x v="2"/>
  </r>
  <r>
    <x v="58"/>
    <n v="20"/>
    <s v="Female"/>
    <x v="4"/>
    <x v="5"/>
    <n v="7.5"/>
    <n v="3.7"/>
    <n v="1"/>
    <x v="12"/>
    <x v="2"/>
    <x v="2"/>
    <x v="9"/>
    <x v="2"/>
    <n v="12.4"/>
    <x v="1"/>
    <n v="100"/>
    <n v="4"/>
    <s v="More than 90%"/>
    <x v="1"/>
    <x v="2"/>
    <x v="1"/>
    <x v="46"/>
    <s v="1-4 hrs"/>
    <s v="6-8 hrs"/>
    <x v="0"/>
  </r>
  <r>
    <x v="59"/>
    <n v="24"/>
    <s v="Female"/>
    <x v="0"/>
    <x v="5"/>
    <n v="7.1"/>
    <n v="1"/>
    <n v="5"/>
    <x v="10"/>
    <x v="3"/>
    <x v="1"/>
    <x v="9"/>
    <x v="1"/>
    <n v="28.4"/>
    <x v="1"/>
    <n v="75.8"/>
    <n v="2"/>
    <s v="70-80%"/>
    <x v="1"/>
    <x v="3"/>
    <x v="1"/>
    <x v="9"/>
    <s v="1-4 hrs"/>
    <s v="6-8 hrs"/>
    <x v="0"/>
  </r>
  <r>
    <x v="60"/>
    <n v="18"/>
    <s v="Male"/>
    <x v="3"/>
    <x v="1"/>
    <n v="7.3"/>
    <n v="1.9"/>
    <n v="1"/>
    <x v="7"/>
    <x v="12"/>
    <x v="4"/>
    <x v="25"/>
    <x v="0"/>
    <n v="12.9"/>
    <x v="2"/>
    <n v="85.4"/>
    <n v="5"/>
    <s v="80-90%"/>
    <x v="1"/>
    <x v="0"/>
    <x v="2"/>
    <x v="6"/>
    <s v="1-4 hrs"/>
    <s v="6-8 hrs"/>
    <x v="1"/>
  </r>
  <r>
    <x v="61"/>
    <n v="21"/>
    <s v="Female"/>
    <x v="4"/>
    <x v="0"/>
    <n v="6.3"/>
    <n v="3.3"/>
    <n v="7"/>
    <x v="12"/>
    <x v="9"/>
    <x v="2"/>
    <x v="21"/>
    <x v="2"/>
    <n v="25.8"/>
    <x v="1"/>
    <n v="84"/>
    <n v="4"/>
    <s v="80-90%"/>
    <x v="0"/>
    <x v="1"/>
    <x v="0"/>
    <x v="43"/>
    <s v="1-4 hrs"/>
    <s v="6-8 hrs"/>
    <x v="0"/>
  </r>
  <r>
    <x v="62"/>
    <n v="22"/>
    <s v="Male"/>
    <x v="3"/>
    <x v="1"/>
    <n v="5.4"/>
    <n v="7.8"/>
    <n v="3"/>
    <x v="0"/>
    <x v="17"/>
    <x v="0"/>
    <x v="26"/>
    <x v="4"/>
    <n v="31.8"/>
    <x v="0"/>
    <n v="56.2"/>
    <n v="3"/>
    <s v="Less than 0%"/>
    <x v="1"/>
    <x v="1"/>
    <x v="0"/>
    <x v="41"/>
    <s v="4-8 hrs"/>
    <s v="4-6 hrs"/>
    <x v="1"/>
  </r>
  <r>
    <x v="63"/>
    <n v="23"/>
    <s v="F"/>
    <x v="1"/>
    <x v="1"/>
    <n v="5.9"/>
    <n v="4.8"/>
    <n v="0"/>
    <x v="3"/>
    <x v="3"/>
    <x v="2"/>
    <x v="22"/>
    <x v="1"/>
    <n v="12.6"/>
    <x v="0"/>
    <n v="96.8"/>
    <n v="3"/>
    <s v="More than 90%"/>
    <x v="0"/>
    <x v="1"/>
    <x v="1"/>
    <x v="22"/>
    <s v="4-8 hrs"/>
    <s v="4-6 hrs"/>
    <x v="0"/>
  </r>
  <r>
    <x v="64"/>
    <n v="23"/>
    <s v="Male"/>
    <x v="0"/>
    <x v="0"/>
    <n v="7.4"/>
    <n v="2.2999999999999998"/>
    <n v="0"/>
    <x v="12"/>
    <x v="4"/>
    <x v="2"/>
    <x v="5"/>
    <x v="1"/>
    <n v="14.4"/>
    <x v="1"/>
    <n v="100"/>
    <n v="2"/>
    <s v="More than 90%"/>
    <x v="0"/>
    <x v="3"/>
    <x v="2"/>
    <x v="3"/>
    <s v="1-4 hrs"/>
    <s v="6-8 hrs"/>
    <x v="1"/>
  </r>
  <r>
    <x v="65"/>
    <n v="23"/>
    <s v="Female"/>
    <x v="0"/>
    <x v="1"/>
    <n v="7.2"/>
    <n v="1.8"/>
    <n v="0"/>
    <x v="12"/>
    <x v="2"/>
    <x v="2"/>
    <x v="23"/>
    <x v="2"/>
    <n v="24.9"/>
    <x v="1"/>
    <n v="83.3"/>
    <n v="3"/>
    <s v="80-90%"/>
    <x v="0"/>
    <x v="4"/>
    <x v="2"/>
    <x v="2"/>
    <s v="1-4 hrs"/>
    <s v="6-8 hrs"/>
    <x v="0"/>
  </r>
  <r>
    <x v="66"/>
    <n v="21"/>
    <s v="Male"/>
    <x v="0"/>
    <x v="4"/>
    <n v="6.6"/>
    <n v="8.8000000000000007"/>
    <n v="3"/>
    <x v="12"/>
    <x v="9"/>
    <x v="2"/>
    <x v="21"/>
    <x v="2"/>
    <n v="13.4"/>
    <x v="1"/>
    <n v="61.8"/>
    <n v="4"/>
    <s v="60-70 %"/>
    <x v="0"/>
    <x v="1"/>
    <x v="0"/>
    <x v="47"/>
    <s v="8-12 hrs"/>
    <s v="6-8 hrs"/>
    <x v="1"/>
  </r>
  <r>
    <x v="67"/>
    <n v="21"/>
    <s v="Male"/>
    <x v="0"/>
    <x v="3"/>
    <n v="6.2"/>
    <n v="3.8"/>
    <n v="4"/>
    <x v="9"/>
    <x v="7"/>
    <x v="1"/>
    <x v="22"/>
    <x v="1"/>
    <n v="13.5"/>
    <x v="0"/>
    <n v="67.3"/>
    <n v="3"/>
    <s v="60-70 %"/>
    <x v="1"/>
    <x v="1"/>
    <x v="1"/>
    <x v="48"/>
    <s v="1-4 hrs"/>
    <s v="6-8 hrs"/>
    <x v="1"/>
  </r>
  <r>
    <x v="68"/>
    <n v="23"/>
    <s v="Female"/>
    <x v="2"/>
    <x v="4"/>
    <n v="5.7"/>
    <n v="1"/>
    <n v="2"/>
    <x v="1"/>
    <x v="3"/>
    <x v="1"/>
    <x v="13"/>
    <x v="1"/>
    <n v="19.399999999999999"/>
    <x v="1"/>
    <n v="59.8"/>
    <n v="3"/>
    <s v="Less than 0%"/>
    <x v="1"/>
    <x v="1"/>
    <x v="0"/>
    <x v="49"/>
    <s v="1-4 hrs"/>
    <s v="4-6 hrs"/>
    <x v="0"/>
  </r>
  <r>
    <x v="69"/>
    <n v="21"/>
    <s v="Female"/>
    <x v="2"/>
    <x v="1"/>
    <n v="6.2"/>
    <n v="4"/>
    <n v="2"/>
    <x v="1"/>
    <x v="7"/>
    <x v="1"/>
    <x v="19"/>
    <x v="1"/>
    <n v="15.9"/>
    <x v="0"/>
    <n v="91.6"/>
    <n v="2"/>
    <s v="More than 90%"/>
    <x v="1"/>
    <x v="4"/>
    <x v="2"/>
    <x v="50"/>
    <s v="4-8 hrs"/>
    <s v="6-8 hrs"/>
    <x v="0"/>
  </r>
  <r>
    <x v="70"/>
    <n v="19"/>
    <s v="Female"/>
    <x v="0"/>
    <x v="1"/>
    <n v="6.1"/>
    <n v="6.8"/>
    <n v="3"/>
    <x v="6"/>
    <x v="2"/>
    <x v="2"/>
    <x v="21"/>
    <x v="2"/>
    <n v="21.8"/>
    <x v="1"/>
    <n v="63.2"/>
    <n v="4"/>
    <s v="60-70 %"/>
    <x v="1"/>
    <x v="4"/>
    <x v="0"/>
    <x v="51"/>
    <s v="4-8 hrs"/>
    <s v="6-8 hrs"/>
    <x v="0"/>
  </r>
  <r>
    <x v="71"/>
    <n v="19"/>
    <s v="F"/>
    <x v="3"/>
    <x v="1"/>
    <n v="6.9"/>
    <n v="1.8"/>
    <n v="3"/>
    <x v="8"/>
    <x v="4"/>
    <x v="1"/>
    <x v="15"/>
    <x v="1"/>
    <n v="23.2"/>
    <x v="0"/>
    <n v="87.2"/>
    <m/>
    <s v="80-90%"/>
    <x v="1"/>
    <x v="2"/>
    <x v="2"/>
    <x v="52"/>
    <s v="1-4 hrs"/>
    <s v="6-8 hrs"/>
    <x v="0"/>
  </r>
  <r>
    <x v="72"/>
    <n v="20"/>
    <s v="Prefer not to say"/>
    <x v="4"/>
    <x v="1"/>
    <n v="8.8000000000000007"/>
    <n v="4.5"/>
    <n v="4"/>
    <x v="1"/>
    <x v="1"/>
    <x v="1"/>
    <x v="27"/>
    <x v="1"/>
    <n v="20.8"/>
    <x v="0"/>
    <n v="66.099999999999994"/>
    <n v="2"/>
    <s v="60-70 %"/>
    <x v="1"/>
    <x v="2"/>
    <x v="0"/>
    <x v="53"/>
    <s v="4-8 hrs"/>
    <s v="&gt; 8 hrs"/>
    <x v="2"/>
  </r>
  <r>
    <x v="73"/>
    <n v="23"/>
    <s v="Male"/>
    <x v="2"/>
    <x v="3"/>
    <n v="5.3"/>
    <n v="4.8"/>
    <n v="3"/>
    <x v="8"/>
    <x v="7"/>
    <x v="1"/>
    <x v="9"/>
    <x v="1"/>
    <n v="14.7"/>
    <x v="1"/>
    <n v="57.3"/>
    <n v="5"/>
    <s v="Less than 0%"/>
    <x v="1"/>
    <x v="2"/>
    <x v="1"/>
    <x v="54"/>
    <s v="4-8 hrs"/>
    <s v="4-6 hrs"/>
    <x v="1"/>
  </r>
  <r>
    <x v="74"/>
    <n v="22"/>
    <s v="Male"/>
    <x v="1"/>
    <x v="0"/>
    <n v="7.2"/>
    <n v="1.9"/>
    <n v="4"/>
    <x v="11"/>
    <x v="8"/>
    <x v="5"/>
    <x v="10"/>
    <x v="3"/>
    <n v="13.7"/>
    <x v="1"/>
    <n v="86.9"/>
    <n v="3"/>
    <s v="80-90%"/>
    <x v="1"/>
    <x v="1"/>
    <x v="0"/>
    <x v="55"/>
    <s v="1-4 hrs"/>
    <s v="6-8 hrs"/>
    <x v="1"/>
  </r>
  <r>
    <x v="75"/>
    <n v="23"/>
    <s v="Male"/>
    <x v="1"/>
    <x v="1"/>
    <n v="6.6"/>
    <n v="9.3000000000000007"/>
    <n v="7"/>
    <x v="3"/>
    <x v="5"/>
    <x v="2"/>
    <x v="19"/>
    <x v="2"/>
    <n v="22.7"/>
    <x v="0"/>
    <n v="81.099999999999994"/>
    <n v="3"/>
    <s v="80-90%"/>
    <x v="0"/>
    <x v="1"/>
    <x v="0"/>
    <x v="56"/>
    <s v="8-12 hrs"/>
    <s v="6-8 hrs"/>
    <x v="1"/>
  </r>
  <r>
    <x v="76"/>
    <n v="21"/>
    <s v="Female"/>
    <x v="1"/>
    <x v="4"/>
    <n v="6.5"/>
    <n v="4.9000000000000004"/>
    <n v="2"/>
    <x v="3"/>
    <x v="4"/>
    <x v="2"/>
    <x v="3"/>
    <x v="1"/>
    <n v="18"/>
    <x v="1"/>
    <n v="86.5"/>
    <n v="5"/>
    <s v="80-90%"/>
    <x v="1"/>
    <x v="0"/>
    <x v="1"/>
    <x v="57"/>
    <s v="4-8 hrs"/>
    <s v="6-8 hrs"/>
    <x v="0"/>
  </r>
  <r>
    <x v="77"/>
    <n v="22"/>
    <s v="Male"/>
    <x v="3"/>
    <x v="0"/>
    <n v="10"/>
    <n v="3.3"/>
    <n v="0"/>
    <x v="4"/>
    <x v="3"/>
    <x v="3"/>
    <x v="13"/>
    <x v="1"/>
    <n v="13.4"/>
    <x v="1"/>
    <n v="61.6"/>
    <n v="3"/>
    <s v="60-70 %"/>
    <x v="0"/>
    <x v="3"/>
    <x v="1"/>
    <x v="32"/>
    <s v="1-4 hrs"/>
    <s v="&gt; 8 hrs"/>
    <x v="1"/>
  </r>
  <r>
    <x v="78"/>
    <n v="23"/>
    <s v="Male"/>
    <x v="0"/>
    <x v="1"/>
    <n v="6.3"/>
    <n v="3.9"/>
    <n v="1"/>
    <x v="5"/>
    <x v="3"/>
    <x v="1"/>
    <x v="23"/>
    <x v="1"/>
    <n v="23.9"/>
    <x v="1"/>
    <n v="70.3"/>
    <n v="5"/>
    <s v="70-80%"/>
    <x v="0"/>
    <x v="4"/>
    <x v="0"/>
    <x v="38"/>
    <s v="1-4 hrs"/>
    <s v="6-8 hrs"/>
    <x v="1"/>
  </r>
  <r>
    <x v="79"/>
    <n v="21"/>
    <s v="Male"/>
    <x v="1"/>
    <x v="1"/>
    <n v="7.2"/>
    <n v="1.6"/>
    <n v="3"/>
    <x v="12"/>
    <x v="3"/>
    <x v="2"/>
    <x v="10"/>
    <x v="1"/>
    <n v="7.6"/>
    <x v="1"/>
    <n v="42.4"/>
    <n v="4"/>
    <s v="Less than 0%"/>
    <x v="1"/>
    <x v="4"/>
    <x v="0"/>
    <x v="10"/>
    <s v="1-4 hrs"/>
    <s v="6-8 hrs"/>
    <x v="1"/>
  </r>
  <r>
    <x v="80"/>
    <n v="22"/>
    <s v="Female"/>
    <x v="4"/>
    <x v="5"/>
    <n v="5.6"/>
    <n v="1.5"/>
    <n v="2"/>
    <x v="6"/>
    <x v="9"/>
    <x v="2"/>
    <x v="21"/>
    <x v="2"/>
    <n v="14.7"/>
    <x v="1"/>
    <n v="50.2"/>
    <n v="4"/>
    <s v="Less than 0%"/>
    <x v="0"/>
    <x v="4"/>
    <x v="0"/>
    <x v="58"/>
    <s v="1-4 hrs"/>
    <s v="4-6 hrs"/>
    <x v="0"/>
  </r>
  <r>
    <x v="81"/>
    <n v="20"/>
    <s v="Prefer not to say"/>
    <x v="4"/>
    <x v="4"/>
    <n v="5.4"/>
    <n v="3.1"/>
    <n v="5"/>
    <x v="4"/>
    <x v="7"/>
    <x v="3"/>
    <x v="9"/>
    <x v="1"/>
    <n v="16.7"/>
    <x v="1"/>
    <n v="99.5"/>
    <m/>
    <s v="More than 90%"/>
    <x v="0"/>
    <x v="2"/>
    <x v="1"/>
    <x v="59"/>
    <s v="1-4 hrs"/>
    <s v="4-6 hrs"/>
    <x v="2"/>
  </r>
  <r>
    <x v="82"/>
    <n v="21"/>
    <s v="Female"/>
    <x v="4"/>
    <x v="1"/>
    <n v="6.3"/>
    <n v="3.3"/>
    <n v="3"/>
    <x v="19"/>
    <x v="14"/>
    <x v="0"/>
    <x v="28"/>
    <x v="4"/>
    <n v="16.899999999999999"/>
    <x v="0"/>
    <n v="100"/>
    <n v="1"/>
    <s v="More than 90%"/>
    <x v="0"/>
    <x v="1"/>
    <x v="1"/>
    <x v="60"/>
    <s v="1-4 hrs"/>
    <s v="6-8 hrs"/>
    <x v="0"/>
  </r>
  <r>
    <x v="83"/>
    <n v="21"/>
    <s v="F"/>
    <x v="1"/>
    <x v="3"/>
    <n v="7.8"/>
    <n v="3.7"/>
    <n v="3"/>
    <x v="3"/>
    <x v="10"/>
    <x v="2"/>
    <x v="10"/>
    <x v="2"/>
    <n v="33"/>
    <x v="1"/>
    <n v="82.3"/>
    <n v="3"/>
    <s v="80-90%"/>
    <x v="1"/>
    <x v="1"/>
    <x v="1"/>
    <x v="61"/>
    <s v="1-4 hrs"/>
    <s v="6-8 hrs"/>
    <x v="0"/>
  </r>
  <r>
    <x v="84"/>
    <n v="19"/>
    <s v="Female"/>
    <x v="1"/>
    <x v="4"/>
    <n v="5.8"/>
    <n v="9.9"/>
    <n v="4"/>
    <x v="5"/>
    <x v="3"/>
    <x v="1"/>
    <x v="8"/>
    <x v="1"/>
    <n v="20.9"/>
    <x v="1"/>
    <n v="67.599999999999994"/>
    <n v="1"/>
    <s v="60-70 %"/>
    <x v="0"/>
    <x v="3"/>
    <x v="0"/>
    <x v="3"/>
    <s v="8-12 hrs"/>
    <s v="4-6 hrs"/>
    <x v="0"/>
  </r>
  <r>
    <x v="85"/>
    <n v="23"/>
    <s v="Male"/>
    <x v="4"/>
    <x v="4"/>
    <n v="7.3"/>
    <n v="6.5"/>
    <n v="1"/>
    <x v="12"/>
    <x v="13"/>
    <x v="2"/>
    <x v="5"/>
    <x v="4"/>
    <n v="23"/>
    <x v="1"/>
    <n v="77.599999999999994"/>
    <n v="1"/>
    <s v="70-80%"/>
    <x v="0"/>
    <x v="3"/>
    <x v="0"/>
    <x v="16"/>
    <s v="4-8 hrs"/>
    <s v="6-8 hrs"/>
    <x v="1"/>
  </r>
  <r>
    <x v="86"/>
    <n v="21"/>
    <s v="Male"/>
    <x v="4"/>
    <x v="1"/>
    <n v="6.5"/>
    <n v="1"/>
    <n v="4"/>
    <x v="12"/>
    <x v="5"/>
    <x v="2"/>
    <x v="5"/>
    <x v="2"/>
    <n v="19.7"/>
    <x v="1"/>
    <n v="90.5"/>
    <n v="4"/>
    <s v="More than 90%"/>
    <x v="1"/>
    <x v="4"/>
    <x v="0"/>
    <x v="20"/>
    <s v="1-4 hrs"/>
    <s v="6-8 hrs"/>
    <x v="1"/>
  </r>
  <r>
    <x v="87"/>
    <n v="22"/>
    <s v="Female"/>
    <x v="0"/>
    <x v="1"/>
    <n v="5"/>
    <n v="8.6999999999999993"/>
    <n v="0"/>
    <x v="8"/>
    <x v="3"/>
    <x v="1"/>
    <x v="27"/>
    <x v="1"/>
    <n v="17.5"/>
    <x v="0"/>
    <n v="76.900000000000006"/>
    <n v="4"/>
    <s v="70-80%"/>
    <x v="1"/>
    <x v="0"/>
    <x v="0"/>
    <x v="5"/>
    <s v="8-12 hrs"/>
    <s v="4-6 hrs"/>
    <x v="0"/>
  </r>
  <r>
    <x v="88"/>
    <n v="23"/>
    <s v="M"/>
    <x v="4"/>
    <x v="4"/>
    <n v="9.3000000000000007"/>
    <n v="3.1"/>
    <n v="3"/>
    <x v="20"/>
    <x v="15"/>
    <x v="4"/>
    <x v="12"/>
    <x v="0"/>
    <n v="6.6"/>
    <x v="2"/>
    <n v="77.5"/>
    <n v="2"/>
    <s v="70-80%"/>
    <x v="1"/>
    <x v="2"/>
    <x v="1"/>
    <x v="62"/>
    <s v="1-4 hrs"/>
    <s v="&gt; 8 hrs"/>
    <x v="1"/>
  </r>
  <r>
    <x v="89"/>
    <n v="22"/>
    <s v="Female"/>
    <x v="3"/>
    <x v="1"/>
    <n v="6.4"/>
    <n v="6.9"/>
    <n v="5"/>
    <x v="9"/>
    <x v="11"/>
    <x v="1"/>
    <x v="19"/>
    <x v="1"/>
    <n v="21.4"/>
    <x v="0"/>
    <n v="85.7"/>
    <n v="4"/>
    <s v="80-90%"/>
    <x v="0"/>
    <x v="1"/>
    <x v="0"/>
    <x v="7"/>
    <s v="4-8 hrs"/>
    <s v="6-8 hrs"/>
    <x v="0"/>
  </r>
  <r>
    <x v="90"/>
    <n v="23"/>
    <s v="M"/>
    <x v="4"/>
    <x v="2"/>
    <n v="5.3"/>
    <n v="3.3"/>
    <n v="4"/>
    <x v="9"/>
    <x v="7"/>
    <x v="1"/>
    <x v="5"/>
    <x v="1"/>
    <n v="11.1"/>
    <x v="1"/>
    <n v="70"/>
    <n v="5"/>
    <s v="70-80%"/>
    <x v="1"/>
    <x v="1"/>
    <x v="2"/>
    <x v="63"/>
    <s v="1-4 hrs"/>
    <s v="4-6 hrs"/>
    <x v="1"/>
  </r>
  <r>
    <x v="91"/>
    <n v="21"/>
    <s v="Male"/>
    <x v="3"/>
    <x v="5"/>
    <n v="5.2"/>
    <n v="4.7"/>
    <n v="5"/>
    <x v="9"/>
    <x v="2"/>
    <x v="1"/>
    <x v="4"/>
    <x v="2"/>
    <n v="14.7"/>
    <x v="0"/>
    <n v="70.099999999999994"/>
    <n v="4"/>
    <s v="70-80%"/>
    <x v="1"/>
    <x v="3"/>
    <x v="0"/>
    <x v="33"/>
    <s v="4-8 hrs"/>
    <s v="4-6 hrs"/>
    <x v="1"/>
  </r>
  <r>
    <x v="92"/>
    <n v="21"/>
    <s v="Female"/>
    <x v="3"/>
    <x v="1"/>
    <n v="5.2"/>
    <n v="1.7"/>
    <n v="2"/>
    <x v="9"/>
    <x v="1"/>
    <x v="1"/>
    <x v="13"/>
    <x v="1"/>
    <n v="2.2000000000000002"/>
    <x v="1"/>
    <n v="86"/>
    <n v="4"/>
    <s v="80-90%"/>
    <x v="0"/>
    <x v="1"/>
    <x v="1"/>
    <x v="36"/>
    <s v="1-4 hrs"/>
    <s v="4-6 hrs"/>
    <x v="0"/>
  </r>
  <r>
    <x v="93"/>
    <n v="21"/>
    <s v="Male"/>
    <x v="0"/>
    <x v="4"/>
    <n v="7.4"/>
    <n v="5.4"/>
    <n v="4"/>
    <x v="9"/>
    <x v="16"/>
    <x v="1"/>
    <x v="15"/>
    <x v="4"/>
    <n v="7.4"/>
    <x v="0"/>
    <n v="62.3"/>
    <n v="4"/>
    <s v="60-70 %"/>
    <x v="0"/>
    <x v="3"/>
    <x v="0"/>
    <x v="64"/>
    <s v="4-8 hrs"/>
    <s v="6-8 hrs"/>
    <x v="1"/>
  </r>
  <r>
    <x v="94"/>
    <n v="18"/>
    <s v="Male"/>
    <x v="3"/>
    <x v="3"/>
    <n v="5.4"/>
    <n v="7.4"/>
    <n v="3"/>
    <x v="3"/>
    <x v="3"/>
    <x v="2"/>
    <x v="2"/>
    <x v="1"/>
    <n v="27.3"/>
    <x v="1"/>
    <n v="88"/>
    <n v="2"/>
    <s v="80-90%"/>
    <x v="1"/>
    <x v="1"/>
    <x v="1"/>
    <x v="24"/>
    <s v="4-8 hrs"/>
    <s v="4-6 hrs"/>
    <x v="1"/>
  </r>
  <r>
    <x v="95"/>
    <n v="18"/>
    <s v="Non-binary"/>
    <x v="3"/>
    <x v="5"/>
    <n v="6.8"/>
    <n v="1.1000000000000001"/>
    <n v="3"/>
    <x v="5"/>
    <x v="5"/>
    <x v="1"/>
    <x v="8"/>
    <x v="2"/>
    <n v="21.6"/>
    <x v="1"/>
    <n v="76.400000000000006"/>
    <n v="3"/>
    <s v="70-80%"/>
    <x v="1"/>
    <x v="3"/>
    <x v="1"/>
    <x v="7"/>
    <s v="1-4 hrs"/>
    <s v="6-8 hrs"/>
    <x v="3"/>
  </r>
  <r>
    <x v="96"/>
    <n v="19"/>
    <s v="Male"/>
    <x v="3"/>
    <x v="0"/>
    <n v="6"/>
    <n v="7.5"/>
    <n v="0"/>
    <x v="12"/>
    <x v="9"/>
    <x v="2"/>
    <x v="2"/>
    <x v="2"/>
    <n v="28.8"/>
    <x v="1"/>
    <n v="81.2"/>
    <n v="5"/>
    <s v="80-90%"/>
    <x v="0"/>
    <x v="1"/>
    <x v="1"/>
    <x v="65"/>
    <s v="4-8 hrs"/>
    <s v="4-6 hrs"/>
    <x v="1"/>
  </r>
  <r>
    <x v="97"/>
    <n v="19"/>
    <s v="Male"/>
    <x v="1"/>
    <x v="4"/>
    <n v="7.3"/>
    <n v="2.6"/>
    <n v="1"/>
    <x v="5"/>
    <x v="5"/>
    <x v="1"/>
    <x v="5"/>
    <x v="2"/>
    <n v="32"/>
    <x v="1"/>
    <n v="100"/>
    <n v="4"/>
    <s v="More than 90%"/>
    <x v="0"/>
    <x v="1"/>
    <x v="1"/>
    <x v="38"/>
    <s v="1-4 hrs"/>
    <s v="6-8 hrs"/>
    <x v="1"/>
  </r>
  <r>
    <x v="98"/>
    <n v="22"/>
    <s v="Female"/>
    <x v="4"/>
    <x v="2"/>
    <n v="4.3"/>
    <n v="11.8"/>
    <n v="3"/>
    <x v="3"/>
    <x v="1"/>
    <x v="2"/>
    <x v="19"/>
    <x v="1"/>
    <n v="23.3"/>
    <x v="0"/>
    <n v="80.900000000000006"/>
    <n v="4"/>
    <s v="80-90%"/>
    <x v="0"/>
    <x v="3"/>
    <x v="1"/>
    <x v="66"/>
    <s v="8-12 hrs"/>
    <s v="4-6 hrs"/>
    <x v="0"/>
  </r>
  <r>
    <x v="99"/>
    <n v="20"/>
    <s v="Male"/>
    <x v="3"/>
    <x v="5"/>
    <n v="4.8"/>
    <n v="7"/>
    <n v="0"/>
    <x v="13"/>
    <x v="11"/>
    <x v="3"/>
    <x v="4"/>
    <x v="1"/>
    <n v="13.7"/>
    <x v="0"/>
    <n v="93.5"/>
    <n v="5"/>
    <s v="More than 90%"/>
    <x v="0"/>
    <x v="3"/>
    <x v="0"/>
    <x v="67"/>
    <s v="4-8 hrs"/>
    <s v="4-6 hrs"/>
    <x v="1"/>
  </r>
  <r>
    <x v="100"/>
    <n v="21"/>
    <s v="M"/>
    <x v="0"/>
    <x v="4"/>
    <n v="6.5"/>
    <n v="6.3"/>
    <n v="4"/>
    <x v="21"/>
    <x v="18"/>
    <x v="0"/>
    <x v="0"/>
    <x v="4"/>
    <n v="8"/>
    <x v="0"/>
    <n v="51.8"/>
    <n v="2"/>
    <s v="Less than 0%"/>
    <x v="1"/>
    <x v="1"/>
    <x v="1"/>
    <x v="68"/>
    <s v="4-8 hrs"/>
    <s v="6-8 hrs"/>
    <x v="1"/>
  </r>
  <r>
    <x v="101"/>
    <n v="24"/>
    <s v="Male"/>
    <x v="4"/>
    <x v="5"/>
    <n v="7"/>
    <n v="3.9"/>
    <n v="4"/>
    <x v="2"/>
    <x v="10"/>
    <x v="2"/>
    <x v="6"/>
    <x v="2"/>
    <n v="27.1"/>
    <x v="1"/>
    <n v="80.400000000000006"/>
    <n v="3"/>
    <s v="80-90%"/>
    <x v="1"/>
    <x v="0"/>
    <x v="0"/>
    <x v="8"/>
    <s v="1-4 hrs"/>
    <s v="6-8 hrs"/>
    <x v="1"/>
  </r>
  <r>
    <x v="102"/>
    <n v="21"/>
    <s v="Male"/>
    <x v="3"/>
    <x v="1"/>
    <n v="5.3"/>
    <n v="16"/>
    <n v="5"/>
    <x v="11"/>
    <x v="8"/>
    <x v="5"/>
    <x v="3"/>
    <x v="3"/>
    <n v="22.3"/>
    <x v="1"/>
    <n v="81.599999999999994"/>
    <n v="4"/>
    <s v="80-90%"/>
    <x v="1"/>
    <x v="3"/>
    <x v="2"/>
    <x v="51"/>
    <s v="12-16 hrs"/>
    <s v="4-6 hrs"/>
    <x v="1"/>
  </r>
  <r>
    <x v="103"/>
    <n v="23"/>
    <s v="Female"/>
    <x v="3"/>
    <x v="1"/>
    <n v="5.2"/>
    <n v="3.1"/>
    <n v="0"/>
    <x v="16"/>
    <x v="17"/>
    <x v="3"/>
    <x v="15"/>
    <x v="4"/>
    <n v="39.1"/>
    <x v="0"/>
    <n v="100"/>
    <m/>
    <s v="More than 90%"/>
    <x v="1"/>
    <x v="2"/>
    <x v="0"/>
    <x v="8"/>
    <s v="1-4 hrs"/>
    <s v="4-6 hrs"/>
    <x v="0"/>
  </r>
  <r>
    <x v="104"/>
    <n v="20"/>
    <s v="M"/>
    <x v="4"/>
    <x v="1"/>
    <n v="7.1"/>
    <n v="2"/>
    <n v="5"/>
    <x v="9"/>
    <x v="3"/>
    <x v="1"/>
    <x v="8"/>
    <x v="1"/>
    <n v="21.8"/>
    <x v="1"/>
    <n v="59.5"/>
    <n v="4"/>
    <s v="Less than 0%"/>
    <x v="0"/>
    <x v="4"/>
    <x v="0"/>
    <x v="65"/>
    <s v="1-4 hrs"/>
    <s v="6-8 hrs"/>
    <x v="1"/>
  </r>
  <r>
    <x v="105"/>
    <n v="21"/>
    <s v="Male"/>
    <x v="4"/>
    <x v="0"/>
    <n v="5.8"/>
    <n v="2.7"/>
    <n v="0"/>
    <x v="4"/>
    <x v="1"/>
    <x v="3"/>
    <x v="8"/>
    <x v="1"/>
    <n v="26.9"/>
    <x v="1"/>
    <n v="74.5"/>
    <m/>
    <s v="70-80%"/>
    <x v="0"/>
    <x v="2"/>
    <x v="0"/>
    <x v="69"/>
    <s v="1-4 hrs"/>
    <s v="4-6 hrs"/>
    <x v="1"/>
  </r>
  <r>
    <x v="106"/>
    <n v="20"/>
    <s v="Female"/>
    <x v="0"/>
    <x v="0"/>
    <n v="5.3"/>
    <n v="8.3000000000000007"/>
    <n v="3"/>
    <x v="3"/>
    <x v="2"/>
    <x v="2"/>
    <x v="3"/>
    <x v="2"/>
    <n v="15.5"/>
    <x v="1"/>
    <n v="96"/>
    <n v="4"/>
    <s v="More than 90%"/>
    <x v="1"/>
    <x v="2"/>
    <x v="1"/>
    <x v="70"/>
    <s v="8-12 hrs"/>
    <s v="4-6 hrs"/>
    <x v="0"/>
  </r>
  <r>
    <x v="107"/>
    <n v="21"/>
    <s v="Non-binary"/>
    <x v="4"/>
    <x v="2"/>
    <n v="5.3"/>
    <n v="4.5999999999999996"/>
    <n v="4"/>
    <x v="6"/>
    <x v="19"/>
    <x v="2"/>
    <x v="10"/>
    <x v="2"/>
    <n v="25.4"/>
    <x v="1"/>
    <n v="72.900000000000006"/>
    <n v="3"/>
    <s v="70-80%"/>
    <x v="0"/>
    <x v="4"/>
    <x v="0"/>
    <x v="22"/>
    <s v="4-8 hrs"/>
    <s v="4-6 hrs"/>
    <x v="3"/>
  </r>
  <r>
    <x v="108"/>
    <n v="23"/>
    <s v="Male"/>
    <x v="3"/>
    <x v="0"/>
    <n v="7.9"/>
    <n v="4.2"/>
    <n v="0"/>
    <x v="9"/>
    <x v="5"/>
    <x v="1"/>
    <x v="3"/>
    <x v="2"/>
    <n v="29.3"/>
    <x v="1"/>
    <n v="84"/>
    <n v="4"/>
    <s v="80-90%"/>
    <x v="1"/>
    <x v="2"/>
    <x v="0"/>
    <x v="26"/>
    <s v="4-8 hrs"/>
    <s v="6-8 hrs"/>
    <x v="1"/>
  </r>
  <r>
    <x v="109"/>
    <n v="18"/>
    <s v="Female"/>
    <x v="1"/>
    <x v="4"/>
    <n v="7.2"/>
    <n v="3.1"/>
    <n v="0"/>
    <x v="5"/>
    <x v="4"/>
    <x v="1"/>
    <x v="2"/>
    <x v="1"/>
    <n v="13.1"/>
    <x v="1"/>
    <n v="84.3"/>
    <n v="2"/>
    <s v="80-90%"/>
    <x v="0"/>
    <x v="2"/>
    <x v="2"/>
    <x v="71"/>
    <s v="1-4 hrs"/>
    <s v="6-8 hrs"/>
    <x v="0"/>
  </r>
  <r>
    <x v="110"/>
    <n v="22"/>
    <s v="Female"/>
    <x v="4"/>
    <x v="3"/>
    <n v="7.3"/>
    <n v="4"/>
    <n v="0"/>
    <x v="9"/>
    <x v="7"/>
    <x v="1"/>
    <x v="9"/>
    <x v="1"/>
    <n v="13.2"/>
    <x v="1"/>
    <n v="84.4"/>
    <n v="5"/>
    <s v="80-90%"/>
    <x v="1"/>
    <x v="2"/>
    <x v="0"/>
    <x v="50"/>
    <s v="4-8 hrs"/>
    <s v="6-8 hrs"/>
    <x v="0"/>
  </r>
  <r>
    <x v="111"/>
    <n v="22"/>
    <s v="Non-binary"/>
    <x v="1"/>
    <x v="1"/>
    <n v="8.1999999999999993"/>
    <n v="3"/>
    <n v="3"/>
    <x v="13"/>
    <x v="11"/>
    <x v="3"/>
    <x v="22"/>
    <x v="1"/>
    <n v="13.9"/>
    <x v="0"/>
    <n v="92.8"/>
    <n v="2"/>
    <s v="More than 90%"/>
    <x v="0"/>
    <x v="3"/>
    <x v="2"/>
    <x v="24"/>
    <s v="1-4 hrs"/>
    <s v="&gt; 8 hrs"/>
    <x v="3"/>
  </r>
  <r>
    <x v="112"/>
    <n v="20"/>
    <s v="Male"/>
    <x v="4"/>
    <x v="5"/>
    <n v="9.6999999999999993"/>
    <n v="6.6"/>
    <n v="4"/>
    <x v="10"/>
    <x v="13"/>
    <x v="1"/>
    <x v="19"/>
    <x v="4"/>
    <n v="6"/>
    <x v="0"/>
    <n v="81.599999999999994"/>
    <n v="5"/>
    <s v="80-90%"/>
    <x v="1"/>
    <x v="2"/>
    <x v="0"/>
    <x v="72"/>
    <s v="4-8 hrs"/>
    <s v="&gt; 8 hrs"/>
    <x v="1"/>
  </r>
  <r>
    <x v="113"/>
    <n v="18"/>
    <s v="M"/>
    <x v="0"/>
    <x v="5"/>
    <n v="4.3"/>
    <n v="3.6"/>
    <n v="1"/>
    <x v="6"/>
    <x v="5"/>
    <x v="2"/>
    <x v="6"/>
    <x v="2"/>
    <n v="20.100000000000001"/>
    <x v="1"/>
    <n v="94.1"/>
    <n v="3"/>
    <s v="More than 90%"/>
    <x v="0"/>
    <x v="1"/>
    <x v="0"/>
    <x v="73"/>
    <s v="1-4 hrs"/>
    <s v="4-6 hrs"/>
    <x v="1"/>
  </r>
  <r>
    <x v="114"/>
    <n v="22"/>
    <s v="Female"/>
    <x v="4"/>
    <x v="2"/>
    <n v="6"/>
    <n v="2.7"/>
    <n v="1"/>
    <x v="16"/>
    <x v="11"/>
    <x v="3"/>
    <x v="26"/>
    <x v="1"/>
    <n v="12.8"/>
    <x v="0"/>
    <n v="74.3"/>
    <m/>
    <s v="70-80%"/>
    <x v="0"/>
    <x v="0"/>
    <x v="0"/>
    <x v="74"/>
    <s v="1-4 hrs"/>
    <s v="4-6 hrs"/>
    <x v="0"/>
  </r>
  <r>
    <x v="115"/>
    <n v="20"/>
    <s v="M"/>
    <x v="1"/>
    <x v="1"/>
    <n v="5.2"/>
    <n v="7.9"/>
    <n v="3"/>
    <x v="3"/>
    <x v="2"/>
    <x v="2"/>
    <x v="8"/>
    <x v="2"/>
    <n v="20"/>
    <x v="1"/>
    <n v="65.8"/>
    <n v="3"/>
    <s v="60-70 %"/>
    <x v="0"/>
    <x v="1"/>
    <x v="2"/>
    <x v="39"/>
    <s v="4-8 hrs"/>
    <s v="4-6 hrs"/>
    <x v="1"/>
  </r>
  <r>
    <x v="116"/>
    <n v="22"/>
    <s v="Male"/>
    <x v="1"/>
    <x v="4"/>
    <n v="5.7"/>
    <n v="2"/>
    <n v="1"/>
    <x v="10"/>
    <x v="11"/>
    <x v="1"/>
    <x v="4"/>
    <x v="1"/>
    <n v="21.2"/>
    <x v="0"/>
    <n v="72.8"/>
    <n v="2"/>
    <s v="70-80%"/>
    <x v="0"/>
    <x v="3"/>
    <x v="0"/>
    <x v="75"/>
    <s v="1-4 hrs"/>
    <s v="4-6 hrs"/>
    <x v="1"/>
  </r>
  <r>
    <x v="117"/>
    <n v="22"/>
    <s v="Female"/>
    <x v="3"/>
    <x v="6"/>
    <n v="5"/>
    <n v="4.7"/>
    <n v="4"/>
    <x v="4"/>
    <x v="17"/>
    <x v="3"/>
    <x v="11"/>
    <x v="4"/>
    <n v="3.4"/>
    <x v="0"/>
    <n v="61"/>
    <n v="3"/>
    <s v="60-70 %"/>
    <x v="1"/>
    <x v="2"/>
    <x v="2"/>
    <x v="76"/>
    <s v="4-8 hrs"/>
    <s v="4-6 hrs"/>
    <x v="0"/>
  </r>
  <r>
    <x v="118"/>
    <n v="25"/>
    <s v="Female"/>
    <x v="3"/>
    <x v="5"/>
    <n v="6.4"/>
    <n v="1"/>
    <n v="6"/>
    <x v="3"/>
    <x v="10"/>
    <x v="2"/>
    <x v="16"/>
    <x v="2"/>
    <n v="80.8"/>
    <x v="1"/>
    <n v="100"/>
    <n v="4"/>
    <s v="More than 90%"/>
    <x v="0"/>
    <x v="3"/>
    <x v="2"/>
    <x v="77"/>
    <s v="1-4 hrs"/>
    <s v="6-8 hrs"/>
    <x v="0"/>
  </r>
  <r>
    <x v="119"/>
    <n v="21"/>
    <s v="Male"/>
    <x v="4"/>
    <x v="3"/>
    <n v="5"/>
    <n v="1.4"/>
    <n v="4"/>
    <x v="9"/>
    <x v="4"/>
    <x v="1"/>
    <x v="21"/>
    <x v="1"/>
    <n v="13.1"/>
    <x v="1"/>
    <n v="72.900000000000006"/>
    <n v="4"/>
    <s v="70-80%"/>
    <x v="1"/>
    <x v="2"/>
    <x v="0"/>
    <x v="41"/>
    <s v="1-4 hrs"/>
    <s v="4-6 hrs"/>
    <x v="1"/>
  </r>
  <r>
    <x v="120"/>
    <n v="19"/>
    <s v="Female"/>
    <x v="3"/>
    <x v="6"/>
    <n v="7"/>
    <n v="3.3"/>
    <n v="5"/>
    <x v="19"/>
    <x v="18"/>
    <x v="0"/>
    <x v="17"/>
    <x v="4"/>
    <n v="21.2"/>
    <x v="0"/>
    <n v="70"/>
    <n v="2"/>
    <s v="70-80%"/>
    <x v="0"/>
    <x v="1"/>
    <x v="1"/>
    <x v="25"/>
    <s v="1-4 hrs"/>
    <s v="6-8 hrs"/>
    <x v="0"/>
  </r>
  <r>
    <x v="121"/>
    <n v="22"/>
    <s v="Male"/>
    <x v="3"/>
    <x v="0"/>
    <n v="7.4"/>
    <n v="2.9"/>
    <n v="3"/>
    <x v="19"/>
    <x v="11"/>
    <x v="0"/>
    <x v="4"/>
    <x v="1"/>
    <n v="20"/>
    <x v="0"/>
    <n v="86.1"/>
    <n v="4"/>
    <s v="80-90%"/>
    <x v="1"/>
    <x v="2"/>
    <x v="1"/>
    <x v="37"/>
    <s v="1-4 hrs"/>
    <s v="6-8 hrs"/>
    <x v="1"/>
  </r>
  <r>
    <x v="122"/>
    <n v="22"/>
    <s v="Male"/>
    <x v="3"/>
    <x v="5"/>
    <n v="6.9"/>
    <n v="2.9"/>
    <n v="4"/>
    <x v="8"/>
    <x v="7"/>
    <x v="1"/>
    <x v="8"/>
    <x v="1"/>
    <n v="28.7"/>
    <x v="1"/>
    <n v="65"/>
    <n v="5"/>
    <s v="60-70 %"/>
    <x v="1"/>
    <x v="3"/>
    <x v="0"/>
    <x v="78"/>
    <s v="1-4 hrs"/>
    <s v="6-8 hrs"/>
    <x v="1"/>
  </r>
  <r>
    <x v="123"/>
    <n v="24"/>
    <s v="Female"/>
    <x v="3"/>
    <x v="0"/>
    <n v="6.6"/>
    <n v="7.1"/>
    <n v="1"/>
    <x v="12"/>
    <x v="3"/>
    <x v="2"/>
    <x v="3"/>
    <x v="1"/>
    <n v="16.600000000000001"/>
    <x v="1"/>
    <n v="88.2"/>
    <n v="4"/>
    <s v="80-90%"/>
    <x v="0"/>
    <x v="3"/>
    <x v="1"/>
    <x v="45"/>
    <s v="4-8 hrs"/>
    <s v="6-8 hrs"/>
    <x v="0"/>
  </r>
  <r>
    <x v="124"/>
    <n v="23"/>
    <s v="Male"/>
    <x v="4"/>
    <x v="6"/>
    <n v="6.5"/>
    <n v="7.3"/>
    <n v="0"/>
    <x v="6"/>
    <x v="9"/>
    <x v="2"/>
    <x v="13"/>
    <x v="2"/>
    <n v="2.6"/>
    <x v="1"/>
    <n v="72.599999999999994"/>
    <n v="3"/>
    <s v="70-80%"/>
    <x v="1"/>
    <x v="1"/>
    <x v="0"/>
    <x v="79"/>
    <s v="4-8 hrs"/>
    <s v="6-8 hrs"/>
    <x v="1"/>
  </r>
  <r>
    <x v="125"/>
    <n v="22"/>
    <s v="M"/>
    <x v="1"/>
    <x v="1"/>
    <n v="5.6"/>
    <n v="5.3"/>
    <n v="3"/>
    <x v="4"/>
    <x v="13"/>
    <x v="3"/>
    <x v="9"/>
    <x v="4"/>
    <n v="18.8"/>
    <x v="1"/>
    <n v="96.8"/>
    <n v="1"/>
    <s v="More than 90%"/>
    <x v="0"/>
    <x v="3"/>
    <x v="0"/>
    <x v="80"/>
    <s v="4-8 hrs"/>
    <s v="4-6 hrs"/>
    <x v="1"/>
  </r>
  <r>
    <x v="126"/>
    <n v="25"/>
    <s v="Prefer not to say"/>
    <x v="2"/>
    <x v="0"/>
    <n v="9.6"/>
    <n v="2"/>
    <n v="0"/>
    <x v="5"/>
    <x v="11"/>
    <x v="1"/>
    <x v="9"/>
    <x v="1"/>
    <n v="18.600000000000001"/>
    <x v="1"/>
    <n v="77.400000000000006"/>
    <n v="5"/>
    <s v="70-80%"/>
    <x v="1"/>
    <x v="1"/>
    <x v="2"/>
    <x v="67"/>
    <s v="1-4 hrs"/>
    <s v="&gt; 8 hrs"/>
    <x v="2"/>
  </r>
  <r>
    <x v="127"/>
    <n v="19"/>
    <s v="Male"/>
    <x v="3"/>
    <x v="4"/>
    <n v="6.4"/>
    <n v="4"/>
    <n v="5"/>
    <x v="9"/>
    <x v="13"/>
    <x v="1"/>
    <x v="9"/>
    <x v="4"/>
    <n v="14.3"/>
    <x v="1"/>
    <n v="88.8"/>
    <n v="3"/>
    <s v="80-90%"/>
    <x v="0"/>
    <x v="2"/>
    <x v="2"/>
    <x v="81"/>
    <s v="4-8 hrs"/>
    <s v="6-8 hrs"/>
    <x v="1"/>
  </r>
  <r>
    <x v="128"/>
    <n v="20"/>
    <s v="Female"/>
    <x v="0"/>
    <x v="1"/>
    <n v="3"/>
    <n v="12.8"/>
    <n v="4"/>
    <x v="6"/>
    <x v="9"/>
    <x v="2"/>
    <x v="2"/>
    <x v="2"/>
    <n v="20.8"/>
    <x v="1"/>
    <n v="80.3"/>
    <n v="3"/>
    <s v="80-90%"/>
    <x v="0"/>
    <x v="3"/>
    <x v="0"/>
    <x v="82"/>
    <s v="12-16 hrs"/>
    <s v="&lt; 4 hrs"/>
    <x v="0"/>
  </r>
  <r>
    <x v="129"/>
    <n v="20"/>
    <s v="Male"/>
    <x v="1"/>
    <x v="4"/>
    <n v="3.2"/>
    <n v="16"/>
    <n v="6"/>
    <x v="6"/>
    <x v="5"/>
    <x v="2"/>
    <x v="10"/>
    <x v="2"/>
    <n v="19.100000000000001"/>
    <x v="1"/>
    <n v="93.4"/>
    <n v="4"/>
    <s v="More than 90%"/>
    <x v="0"/>
    <x v="1"/>
    <x v="1"/>
    <x v="83"/>
    <s v="12-16 hrs"/>
    <s v="&lt; 4 hrs"/>
    <x v="1"/>
  </r>
  <r>
    <x v="130"/>
    <n v="21"/>
    <s v="Female"/>
    <x v="1"/>
    <x v="0"/>
    <n v="3.5"/>
    <n v="7.9"/>
    <n v="2"/>
    <x v="8"/>
    <x v="4"/>
    <x v="1"/>
    <x v="22"/>
    <x v="1"/>
    <n v="5.9"/>
    <x v="0"/>
    <n v="78.599999999999994"/>
    <n v="3"/>
    <s v="70-80%"/>
    <x v="1"/>
    <x v="2"/>
    <x v="1"/>
    <x v="19"/>
    <s v="4-8 hrs"/>
    <s v="&lt; 4 hrs"/>
    <x v="0"/>
  </r>
  <r>
    <x v="131"/>
    <n v="19"/>
    <s v="Prefer not to say"/>
    <x v="4"/>
    <x v="6"/>
    <n v="6.1"/>
    <n v="2"/>
    <n v="3"/>
    <x v="12"/>
    <x v="4"/>
    <x v="2"/>
    <x v="5"/>
    <x v="1"/>
    <n v="23.9"/>
    <x v="1"/>
    <n v="57.4"/>
    <n v="4"/>
    <s v="Less than 0%"/>
    <x v="1"/>
    <x v="0"/>
    <x v="0"/>
    <x v="84"/>
    <s v="1-4 hrs"/>
    <s v="6-8 hrs"/>
    <x v="2"/>
  </r>
  <r>
    <x v="132"/>
    <n v="23"/>
    <s v="Non-binary"/>
    <x v="2"/>
    <x v="4"/>
    <n v="6.4"/>
    <n v="4"/>
    <n v="4"/>
    <x v="12"/>
    <x v="10"/>
    <x v="2"/>
    <x v="8"/>
    <x v="2"/>
    <n v="15.6"/>
    <x v="1"/>
    <n v="93.8"/>
    <n v="1"/>
    <s v="More than 90%"/>
    <x v="1"/>
    <x v="4"/>
    <x v="1"/>
    <x v="53"/>
    <s v="4-8 hrs"/>
    <s v="6-8 hrs"/>
    <x v="3"/>
  </r>
  <r>
    <x v="133"/>
    <n v="21"/>
    <s v="Female"/>
    <x v="4"/>
    <x v="1"/>
    <n v="6.5"/>
    <n v="5"/>
    <n v="1"/>
    <x v="12"/>
    <x v="5"/>
    <x v="2"/>
    <x v="6"/>
    <x v="2"/>
    <n v="19.600000000000001"/>
    <x v="1"/>
    <n v="78"/>
    <n v="4"/>
    <s v="70-80%"/>
    <x v="1"/>
    <x v="3"/>
    <x v="0"/>
    <x v="22"/>
    <s v="4-8 hrs"/>
    <s v="6-8 hrs"/>
    <x v="0"/>
  </r>
  <r>
    <x v="134"/>
    <n v="18"/>
    <s v="Female"/>
    <x v="3"/>
    <x v="5"/>
    <n v="8.6"/>
    <n v="4.5999999999999996"/>
    <n v="3"/>
    <x v="10"/>
    <x v="1"/>
    <x v="1"/>
    <x v="22"/>
    <x v="1"/>
    <n v="13.7"/>
    <x v="0"/>
    <n v="92.1"/>
    <n v="5"/>
    <s v="More than 90%"/>
    <x v="0"/>
    <x v="2"/>
    <x v="2"/>
    <x v="85"/>
    <s v="4-8 hrs"/>
    <s v="&gt; 8 hrs"/>
    <x v="0"/>
  </r>
  <r>
    <x v="135"/>
    <n v="19"/>
    <s v="Female"/>
    <x v="1"/>
    <x v="0"/>
    <n v="6"/>
    <n v="8.4"/>
    <n v="3"/>
    <x v="1"/>
    <x v="1"/>
    <x v="1"/>
    <x v="19"/>
    <x v="1"/>
    <n v="28.3"/>
    <x v="0"/>
    <n v="86.4"/>
    <n v="5"/>
    <s v="80-90%"/>
    <x v="1"/>
    <x v="2"/>
    <x v="0"/>
    <x v="37"/>
    <s v="8-12 hrs"/>
    <s v="4-6 hrs"/>
    <x v="0"/>
  </r>
  <r>
    <x v="136"/>
    <n v="22"/>
    <s v="Female"/>
    <x v="0"/>
    <x v="2"/>
    <n v="7.1"/>
    <n v="6.9"/>
    <n v="6"/>
    <x v="5"/>
    <x v="3"/>
    <x v="1"/>
    <x v="2"/>
    <x v="1"/>
    <n v="14.7"/>
    <x v="1"/>
    <n v="65.599999999999994"/>
    <n v="5"/>
    <s v="60-70 %"/>
    <x v="1"/>
    <x v="2"/>
    <x v="0"/>
    <x v="80"/>
    <s v="4-8 hrs"/>
    <s v="6-8 hrs"/>
    <x v="0"/>
  </r>
  <r>
    <x v="137"/>
    <n v="23"/>
    <s v="Male"/>
    <x v="1"/>
    <x v="5"/>
    <n v="5.2"/>
    <n v="1.9"/>
    <n v="4"/>
    <x v="5"/>
    <x v="13"/>
    <x v="1"/>
    <x v="19"/>
    <x v="4"/>
    <n v="14.9"/>
    <x v="0"/>
    <n v="65.7"/>
    <n v="5"/>
    <s v="60-70 %"/>
    <x v="1"/>
    <x v="1"/>
    <x v="0"/>
    <x v="86"/>
    <s v="1-4 hrs"/>
    <s v="4-6 hrs"/>
    <x v="1"/>
  </r>
  <r>
    <x v="138"/>
    <n v="26"/>
    <s v="Female"/>
    <x v="4"/>
    <x v="4"/>
    <n v="5.7"/>
    <n v="2.8"/>
    <n v="0"/>
    <x v="22"/>
    <x v="11"/>
    <x v="3"/>
    <x v="4"/>
    <x v="1"/>
    <n v="15"/>
    <x v="0"/>
    <n v="91.7"/>
    <n v="3"/>
    <s v="More than 90%"/>
    <x v="0"/>
    <x v="0"/>
    <x v="2"/>
    <x v="50"/>
    <s v="1-4 hrs"/>
    <s v="4-6 hrs"/>
    <x v="0"/>
  </r>
  <r>
    <x v="139"/>
    <n v="28"/>
    <s v="Male"/>
    <x v="0"/>
    <x v="1"/>
    <n v="5.8"/>
    <n v="7.9"/>
    <n v="3"/>
    <x v="16"/>
    <x v="11"/>
    <x v="3"/>
    <x v="3"/>
    <x v="1"/>
    <n v="19.7"/>
    <x v="1"/>
    <n v="77.3"/>
    <n v="5"/>
    <s v="70-80%"/>
    <x v="1"/>
    <x v="4"/>
    <x v="0"/>
    <x v="87"/>
    <s v="4-8 hrs"/>
    <s v="4-6 hrs"/>
    <x v="1"/>
  </r>
  <r>
    <x v="140"/>
    <n v="22"/>
    <s v="Male"/>
    <x v="0"/>
    <x v="1"/>
    <n v="5.6"/>
    <n v="10.1"/>
    <n v="3"/>
    <x v="3"/>
    <x v="1"/>
    <x v="2"/>
    <x v="14"/>
    <x v="1"/>
    <n v="27.1"/>
    <x v="1"/>
    <n v="90.4"/>
    <n v="5"/>
    <s v="More than 90%"/>
    <x v="1"/>
    <x v="1"/>
    <x v="0"/>
    <x v="38"/>
    <s v="8-12 hrs"/>
    <s v="4-6 hrs"/>
    <x v="1"/>
  </r>
  <r>
    <x v="141"/>
    <n v="19"/>
    <s v="Male"/>
    <x v="4"/>
    <x v="5"/>
    <n v="3.9"/>
    <n v="5.0999999999999996"/>
    <n v="1"/>
    <x v="13"/>
    <x v="16"/>
    <x v="3"/>
    <x v="20"/>
    <x v="4"/>
    <n v="21.8"/>
    <x v="0"/>
    <n v="80"/>
    <n v="3"/>
    <s v="80-90%"/>
    <x v="0"/>
    <x v="4"/>
    <x v="1"/>
    <x v="88"/>
    <s v="4-8 hrs"/>
    <s v="&lt; 4 hrs"/>
    <x v="1"/>
  </r>
  <r>
    <x v="142"/>
    <n v="17"/>
    <s v="Female"/>
    <x v="4"/>
    <x v="2"/>
    <n v="5.5"/>
    <n v="10.8"/>
    <n v="2"/>
    <x v="0"/>
    <x v="0"/>
    <x v="0"/>
    <x v="12"/>
    <x v="0"/>
    <n v="20.2"/>
    <x v="2"/>
    <n v="95.3"/>
    <n v="3"/>
    <s v="More than 90%"/>
    <x v="1"/>
    <x v="1"/>
    <x v="0"/>
    <x v="75"/>
    <s v="8-12 hrs"/>
    <s v="4-6 hrs"/>
    <x v="0"/>
  </r>
  <r>
    <x v="143"/>
    <n v="22"/>
    <s v="Female"/>
    <x v="3"/>
    <x v="0"/>
    <n v="6.2"/>
    <n v="4.7"/>
    <n v="2"/>
    <x v="10"/>
    <x v="7"/>
    <x v="1"/>
    <x v="1"/>
    <x v="1"/>
    <n v="20.100000000000001"/>
    <x v="0"/>
    <n v="82"/>
    <n v="2"/>
    <s v="80-90%"/>
    <x v="0"/>
    <x v="4"/>
    <x v="1"/>
    <x v="73"/>
    <s v="4-8 hrs"/>
    <s v="6-8 hrs"/>
    <x v="0"/>
  </r>
  <r>
    <x v="144"/>
    <n v="20"/>
    <s v="Female"/>
    <x v="3"/>
    <x v="1"/>
    <n v="6.1"/>
    <n v="2.2000000000000002"/>
    <n v="0"/>
    <x v="5"/>
    <x v="4"/>
    <x v="1"/>
    <x v="2"/>
    <x v="1"/>
    <n v="9.8000000000000007"/>
    <x v="1"/>
    <n v="74.900000000000006"/>
    <n v="4"/>
    <s v="70-80%"/>
    <x v="1"/>
    <x v="2"/>
    <x v="0"/>
    <x v="89"/>
    <s v="1-4 hrs"/>
    <s v="6-8 hrs"/>
    <x v="0"/>
  </r>
  <r>
    <x v="145"/>
    <n v="21"/>
    <s v="Female"/>
    <x v="0"/>
    <x v="0"/>
    <n v="5"/>
    <n v="6.5"/>
    <n v="3"/>
    <x v="9"/>
    <x v="2"/>
    <x v="1"/>
    <x v="23"/>
    <x v="2"/>
    <n v="9.8000000000000007"/>
    <x v="1"/>
    <n v="72.7"/>
    <m/>
    <s v="70-80%"/>
    <x v="0"/>
    <x v="2"/>
    <x v="0"/>
    <x v="89"/>
    <s v="4-8 hrs"/>
    <s v="4-6 hrs"/>
    <x v="0"/>
  </r>
  <r>
    <x v="146"/>
    <n v="20"/>
    <s v="F"/>
    <x v="0"/>
    <x v="4"/>
    <n v="3.9"/>
    <n v="16"/>
    <n v="1"/>
    <x v="3"/>
    <x v="10"/>
    <x v="2"/>
    <x v="10"/>
    <x v="2"/>
    <n v="22.3"/>
    <x v="1"/>
    <n v="87.9"/>
    <n v="3"/>
    <s v="80-90%"/>
    <x v="0"/>
    <x v="2"/>
    <x v="1"/>
    <x v="90"/>
    <s v="12-16 hrs"/>
    <s v="&lt; 4 hrs"/>
    <x v="0"/>
  </r>
  <r>
    <x v="147"/>
    <n v="21"/>
    <s v="Male"/>
    <x v="1"/>
    <x v="1"/>
    <n v="6.5"/>
    <n v="1.6"/>
    <n v="3"/>
    <x v="22"/>
    <x v="4"/>
    <x v="3"/>
    <x v="4"/>
    <x v="1"/>
    <n v="12.8"/>
    <x v="0"/>
    <n v="98.7"/>
    <n v="3"/>
    <s v="More than 90%"/>
    <x v="0"/>
    <x v="1"/>
    <x v="0"/>
    <x v="3"/>
    <s v="1-4 hrs"/>
    <s v="6-8 hrs"/>
    <x v="1"/>
  </r>
  <r>
    <x v="148"/>
    <n v="24"/>
    <s v="Female"/>
    <x v="1"/>
    <x v="0"/>
    <n v="5.0999999999999996"/>
    <n v="10.6"/>
    <n v="1"/>
    <x v="5"/>
    <x v="3"/>
    <x v="1"/>
    <x v="5"/>
    <x v="1"/>
    <n v="7.2"/>
    <x v="1"/>
    <n v="74.599999999999994"/>
    <n v="4"/>
    <s v="70-80%"/>
    <x v="0"/>
    <x v="2"/>
    <x v="1"/>
    <x v="91"/>
    <s v="8-12 hrs"/>
    <s v="4-6 hrs"/>
    <x v="0"/>
  </r>
  <r>
    <x v="149"/>
    <n v="22"/>
    <s v="Male"/>
    <x v="4"/>
    <x v="3"/>
    <n v="6.6"/>
    <n v="6.2"/>
    <n v="4"/>
    <x v="1"/>
    <x v="4"/>
    <x v="1"/>
    <x v="27"/>
    <x v="1"/>
    <n v="5.0999999999999996"/>
    <x v="0"/>
    <n v="89"/>
    <n v="1"/>
    <s v="80-90%"/>
    <x v="0"/>
    <x v="1"/>
    <x v="1"/>
    <x v="92"/>
    <s v="4-8 hrs"/>
    <s v="6-8 hrs"/>
    <x v="1"/>
  </r>
  <r>
    <x v="150"/>
    <n v="21"/>
    <s v="Female"/>
    <x v="4"/>
    <x v="1"/>
    <n v="8"/>
    <n v="2.6"/>
    <n v="1"/>
    <x v="1"/>
    <x v="13"/>
    <x v="1"/>
    <x v="20"/>
    <x v="4"/>
    <n v="9.8000000000000007"/>
    <x v="0"/>
    <n v="71.2"/>
    <n v="5"/>
    <s v="70-80%"/>
    <x v="0"/>
    <x v="0"/>
    <x v="1"/>
    <x v="20"/>
    <s v="1-4 hrs"/>
    <s v="6-8 hrs"/>
    <x v="0"/>
  </r>
  <r>
    <x v="151"/>
    <n v="19"/>
    <s v="Male"/>
    <x v="0"/>
    <x v="5"/>
    <n v="6.4"/>
    <n v="1"/>
    <n v="5"/>
    <x v="12"/>
    <x v="5"/>
    <x v="2"/>
    <x v="3"/>
    <x v="2"/>
    <n v="20"/>
    <x v="1"/>
    <n v="82"/>
    <n v="3"/>
    <s v="80-90%"/>
    <x v="0"/>
    <x v="1"/>
    <x v="1"/>
    <x v="93"/>
    <s v="1-4 hrs"/>
    <s v="6-8 hrs"/>
    <x v="1"/>
  </r>
  <r>
    <x v="152"/>
    <n v="18"/>
    <s v="Female"/>
    <x v="1"/>
    <x v="1"/>
    <n v="6.3"/>
    <n v="1"/>
    <n v="0"/>
    <x v="22"/>
    <x v="11"/>
    <x v="3"/>
    <x v="22"/>
    <x v="1"/>
    <n v="17.8"/>
    <x v="0"/>
    <n v="100"/>
    <n v="2"/>
    <s v="More than 90%"/>
    <x v="0"/>
    <x v="3"/>
    <x v="2"/>
    <x v="35"/>
    <s v="1-4 hrs"/>
    <s v="6-8 hrs"/>
    <x v="0"/>
  </r>
  <r>
    <x v="153"/>
    <n v="20"/>
    <s v="Female"/>
    <x v="1"/>
    <x v="4"/>
    <n v="7"/>
    <n v="2.9"/>
    <n v="3"/>
    <x v="12"/>
    <x v="2"/>
    <x v="2"/>
    <x v="29"/>
    <x v="2"/>
    <n v="16.8"/>
    <x v="1"/>
    <n v="100"/>
    <n v="1"/>
    <s v="More than 90%"/>
    <x v="0"/>
    <x v="4"/>
    <x v="2"/>
    <x v="60"/>
    <s v="1-4 hrs"/>
    <s v="6-8 hrs"/>
    <x v="0"/>
  </r>
  <r>
    <x v="154"/>
    <n v="21"/>
    <s v="Female"/>
    <x v="0"/>
    <x v="5"/>
    <n v="7.2"/>
    <n v="5.6"/>
    <n v="2"/>
    <x v="6"/>
    <x v="4"/>
    <x v="2"/>
    <x v="19"/>
    <x v="1"/>
    <n v="20.3"/>
    <x v="0"/>
    <n v="86.2"/>
    <n v="5"/>
    <s v="80-90%"/>
    <x v="0"/>
    <x v="3"/>
    <x v="0"/>
    <x v="37"/>
    <s v="4-8 hrs"/>
    <s v="6-8 hrs"/>
    <x v="0"/>
  </r>
  <r>
    <x v="155"/>
    <n v="25"/>
    <s v="Male"/>
    <x v="1"/>
    <x v="4"/>
    <n v="5.7"/>
    <n v="7.5"/>
    <n v="1"/>
    <x v="5"/>
    <x v="9"/>
    <x v="1"/>
    <x v="2"/>
    <x v="2"/>
    <n v="16.2"/>
    <x v="1"/>
    <n v="85.6"/>
    <n v="5"/>
    <s v="80-90%"/>
    <x v="1"/>
    <x v="3"/>
    <x v="0"/>
    <x v="94"/>
    <s v="4-8 hrs"/>
    <s v="4-6 hrs"/>
    <x v="1"/>
  </r>
  <r>
    <x v="156"/>
    <n v="22"/>
    <s v="Female"/>
    <x v="0"/>
    <x v="1"/>
    <n v="6.9"/>
    <n v="8.6"/>
    <n v="3"/>
    <x v="3"/>
    <x v="5"/>
    <x v="2"/>
    <x v="5"/>
    <x v="2"/>
    <n v="26.5"/>
    <x v="1"/>
    <n v="68.2"/>
    <n v="2"/>
    <s v="60-70 %"/>
    <x v="1"/>
    <x v="1"/>
    <x v="0"/>
    <x v="95"/>
    <s v="8-12 hrs"/>
    <s v="6-8 hrs"/>
    <x v="0"/>
  </r>
  <r>
    <x v="157"/>
    <n v="24"/>
    <s v="Female"/>
    <x v="0"/>
    <x v="2"/>
    <n v="7.6"/>
    <n v="5.3"/>
    <n v="4"/>
    <x v="5"/>
    <x v="7"/>
    <x v="1"/>
    <x v="9"/>
    <x v="1"/>
    <n v="17.600000000000001"/>
    <x v="1"/>
    <n v="80.2"/>
    <n v="2"/>
    <s v="80-90%"/>
    <x v="1"/>
    <x v="1"/>
    <x v="2"/>
    <x v="48"/>
    <s v="4-8 hrs"/>
    <s v="6-8 hrs"/>
    <x v="0"/>
  </r>
  <r>
    <x v="158"/>
    <n v="20"/>
    <s v="Male"/>
    <x v="3"/>
    <x v="5"/>
    <n v="8"/>
    <n v="4.8"/>
    <n v="5"/>
    <x v="5"/>
    <x v="3"/>
    <x v="1"/>
    <x v="3"/>
    <x v="1"/>
    <n v="23.3"/>
    <x v="1"/>
    <n v="87"/>
    <n v="3"/>
    <s v="80-90%"/>
    <x v="1"/>
    <x v="1"/>
    <x v="0"/>
    <x v="96"/>
    <s v="4-8 hrs"/>
    <s v="6-8 hrs"/>
    <x v="1"/>
  </r>
  <r>
    <x v="159"/>
    <n v="19"/>
    <s v="Male"/>
    <x v="3"/>
    <x v="1"/>
    <n v="8.4"/>
    <n v="3.4"/>
    <n v="2"/>
    <x v="16"/>
    <x v="11"/>
    <x v="3"/>
    <x v="15"/>
    <x v="1"/>
    <n v="17.8"/>
    <x v="0"/>
    <n v="84.9"/>
    <n v="2"/>
    <s v="80-90%"/>
    <x v="0"/>
    <x v="4"/>
    <x v="1"/>
    <x v="35"/>
    <s v="1-4 hrs"/>
    <s v="&gt; 8 hrs"/>
    <x v="1"/>
  </r>
  <r>
    <x v="160"/>
    <n v="19"/>
    <s v="Female"/>
    <x v="3"/>
    <x v="1"/>
    <n v="4.7"/>
    <n v="5.7"/>
    <n v="1"/>
    <x v="3"/>
    <x v="3"/>
    <x v="2"/>
    <x v="23"/>
    <x v="1"/>
    <n v="8.3000000000000007"/>
    <x v="1"/>
    <n v="82.7"/>
    <n v="4"/>
    <s v="80-90%"/>
    <x v="1"/>
    <x v="3"/>
    <x v="0"/>
    <x v="97"/>
    <s v="4-8 hrs"/>
    <s v="4-6 hrs"/>
    <x v="0"/>
  </r>
  <r>
    <x v="161"/>
    <n v="20"/>
    <s v="Male"/>
    <x v="4"/>
    <x v="1"/>
    <n v="6.6"/>
    <n v="2.7"/>
    <n v="4"/>
    <x v="10"/>
    <x v="1"/>
    <x v="1"/>
    <x v="15"/>
    <x v="1"/>
    <n v="14.1"/>
    <x v="0"/>
    <n v="66"/>
    <n v="1"/>
    <s v="60-70 %"/>
    <x v="0"/>
    <x v="1"/>
    <x v="2"/>
    <x v="98"/>
    <s v="1-4 hrs"/>
    <s v="6-8 hrs"/>
    <x v="1"/>
  </r>
  <r>
    <x v="162"/>
    <n v="26"/>
    <s v="Female"/>
    <x v="0"/>
    <x v="3"/>
    <n v="6.8"/>
    <n v="1.7"/>
    <n v="3"/>
    <x v="16"/>
    <x v="16"/>
    <x v="3"/>
    <x v="15"/>
    <x v="4"/>
    <n v="8.6999999999999993"/>
    <x v="0"/>
    <n v="89.3"/>
    <n v="3"/>
    <s v="80-90%"/>
    <x v="0"/>
    <x v="2"/>
    <x v="1"/>
    <x v="99"/>
    <s v="1-4 hrs"/>
    <s v="6-8 hrs"/>
    <x v="0"/>
  </r>
  <r>
    <x v="163"/>
    <n v="20"/>
    <s v="Male"/>
    <x v="3"/>
    <x v="5"/>
    <n v="6.5"/>
    <n v="4.5999999999999996"/>
    <n v="1"/>
    <x v="5"/>
    <x v="9"/>
    <x v="1"/>
    <x v="19"/>
    <x v="2"/>
    <n v="16"/>
    <x v="0"/>
    <n v="74.599999999999994"/>
    <n v="3"/>
    <s v="70-80%"/>
    <x v="0"/>
    <x v="2"/>
    <x v="0"/>
    <x v="94"/>
    <s v="4-8 hrs"/>
    <s v="6-8 hrs"/>
    <x v="1"/>
  </r>
  <r>
    <x v="164"/>
    <n v="23"/>
    <s v="Female"/>
    <x v="4"/>
    <x v="5"/>
    <n v="4.9000000000000004"/>
    <n v="7.2"/>
    <n v="4"/>
    <x v="5"/>
    <x v="11"/>
    <x v="1"/>
    <x v="13"/>
    <x v="1"/>
    <n v="11.7"/>
    <x v="1"/>
    <n v="64.400000000000006"/>
    <n v="3"/>
    <s v="60-70 %"/>
    <x v="0"/>
    <x v="2"/>
    <x v="1"/>
    <x v="42"/>
    <s v="4-8 hrs"/>
    <s v="4-6 hrs"/>
    <x v="0"/>
  </r>
  <r>
    <x v="165"/>
    <n v="20"/>
    <s v="Male"/>
    <x v="1"/>
    <x v="5"/>
    <n v="4.5999999999999996"/>
    <n v="1.4"/>
    <n v="3"/>
    <x v="12"/>
    <x v="2"/>
    <x v="2"/>
    <x v="10"/>
    <x v="2"/>
    <n v="17"/>
    <x v="1"/>
    <n v="100"/>
    <n v="3"/>
    <s v="More than 90%"/>
    <x v="1"/>
    <x v="0"/>
    <x v="1"/>
    <x v="24"/>
    <s v="1-4 hrs"/>
    <s v="4-6 hrs"/>
    <x v="1"/>
  </r>
  <r>
    <x v="166"/>
    <n v="23"/>
    <s v="Male"/>
    <x v="0"/>
    <x v="2"/>
    <n v="6.7"/>
    <n v="2.9"/>
    <n v="3"/>
    <x v="6"/>
    <x v="1"/>
    <x v="2"/>
    <x v="23"/>
    <x v="1"/>
    <n v="6"/>
    <x v="1"/>
    <n v="98.5"/>
    <n v="2"/>
    <s v="More than 90%"/>
    <x v="1"/>
    <x v="2"/>
    <x v="0"/>
    <x v="18"/>
    <s v="1-4 hrs"/>
    <s v="6-8 hrs"/>
    <x v="1"/>
  </r>
  <r>
    <x v="167"/>
    <n v="22"/>
    <s v="Female"/>
    <x v="2"/>
    <x v="0"/>
    <n v="5.3"/>
    <n v="4.5"/>
    <n v="2"/>
    <x v="4"/>
    <x v="7"/>
    <x v="3"/>
    <x v="15"/>
    <x v="1"/>
    <n v="15.6"/>
    <x v="0"/>
    <n v="77.2"/>
    <n v="2"/>
    <s v="70-80%"/>
    <x v="0"/>
    <x v="1"/>
    <x v="1"/>
    <x v="67"/>
    <s v="4-8 hrs"/>
    <s v="4-6 hrs"/>
    <x v="0"/>
  </r>
  <r>
    <x v="168"/>
    <n v="21"/>
    <s v="Female"/>
    <x v="3"/>
    <x v="0"/>
    <n v="5.8"/>
    <n v="4.4000000000000004"/>
    <n v="2"/>
    <x v="12"/>
    <x v="4"/>
    <x v="2"/>
    <x v="23"/>
    <x v="1"/>
    <n v="20.399999999999999"/>
    <x v="1"/>
    <n v="97.1"/>
    <n v="1"/>
    <s v="More than 90%"/>
    <x v="0"/>
    <x v="3"/>
    <x v="2"/>
    <x v="20"/>
    <s v="4-8 hrs"/>
    <s v="4-6 hrs"/>
    <x v="0"/>
  </r>
  <r>
    <x v="169"/>
    <n v="21"/>
    <s v="Prefer not to say"/>
    <x v="3"/>
    <x v="5"/>
    <n v="5.2"/>
    <n v="6.1"/>
    <n v="1"/>
    <x v="10"/>
    <x v="11"/>
    <x v="1"/>
    <x v="9"/>
    <x v="1"/>
    <n v="23.4"/>
    <x v="1"/>
    <n v="94"/>
    <n v="2"/>
    <s v="More than 90%"/>
    <x v="0"/>
    <x v="4"/>
    <x v="0"/>
    <x v="39"/>
    <s v="4-8 hrs"/>
    <s v="4-6 hrs"/>
    <x v="2"/>
  </r>
  <r>
    <x v="170"/>
    <n v="20"/>
    <s v="Non-binary"/>
    <x v="0"/>
    <x v="1"/>
    <n v="3.4"/>
    <n v="12.6"/>
    <n v="4"/>
    <x v="11"/>
    <x v="8"/>
    <x v="5"/>
    <x v="13"/>
    <x v="3"/>
    <n v="16.2"/>
    <x v="1"/>
    <n v="98.6"/>
    <n v="5"/>
    <s v="More than 90%"/>
    <x v="0"/>
    <x v="2"/>
    <x v="1"/>
    <x v="42"/>
    <s v="12-16 hrs"/>
    <s v="&lt; 4 hrs"/>
    <x v="3"/>
  </r>
  <r>
    <x v="171"/>
    <n v="22"/>
    <s v="M"/>
    <x v="3"/>
    <x v="4"/>
    <n v="6.7"/>
    <n v="1"/>
    <n v="1"/>
    <x v="6"/>
    <x v="2"/>
    <x v="2"/>
    <x v="5"/>
    <x v="2"/>
    <n v="25.2"/>
    <x v="1"/>
    <n v="91.4"/>
    <n v="3"/>
    <s v="More than 90%"/>
    <x v="0"/>
    <x v="3"/>
    <x v="0"/>
    <x v="28"/>
    <s v="1-4 hrs"/>
    <s v="6-8 hrs"/>
    <x v="1"/>
  </r>
  <r>
    <x v="172"/>
    <n v="21"/>
    <s v="Female"/>
    <x v="0"/>
    <x v="4"/>
    <n v="5.8"/>
    <n v="12.9"/>
    <n v="4"/>
    <x v="23"/>
    <x v="20"/>
    <x v="0"/>
    <x v="15"/>
    <x v="0"/>
    <n v="19.8"/>
    <x v="0"/>
    <n v="59.7"/>
    <n v="3"/>
    <s v="Less than 0%"/>
    <x v="0"/>
    <x v="1"/>
    <x v="0"/>
    <x v="100"/>
    <s v="12-16 hrs"/>
    <s v="4-6 hrs"/>
    <x v="0"/>
  </r>
  <r>
    <x v="173"/>
    <n v="19"/>
    <s v="Male"/>
    <x v="3"/>
    <x v="0"/>
    <n v="6.6"/>
    <n v="12.3"/>
    <n v="4"/>
    <x v="6"/>
    <x v="7"/>
    <x v="2"/>
    <x v="2"/>
    <x v="1"/>
    <n v="30.6"/>
    <x v="1"/>
    <n v="100"/>
    <n v="2"/>
    <s v="More than 90%"/>
    <x v="0"/>
    <x v="3"/>
    <x v="0"/>
    <x v="45"/>
    <s v="12-16 hrs"/>
    <s v="6-8 hrs"/>
    <x v="1"/>
  </r>
  <r>
    <x v="174"/>
    <n v="19"/>
    <s v="Male"/>
    <x v="3"/>
    <x v="2"/>
    <n v="8.1"/>
    <n v="7.6"/>
    <n v="4"/>
    <x v="6"/>
    <x v="5"/>
    <x v="2"/>
    <x v="13"/>
    <x v="2"/>
    <n v="5.5"/>
    <x v="1"/>
    <n v="94.1"/>
    <n v="4"/>
    <s v="More than 90%"/>
    <x v="0"/>
    <x v="0"/>
    <x v="0"/>
    <x v="39"/>
    <s v="4-8 hrs"/>
    <s v="&gt; 8 hrs"/>
    <x v="1"/>
  </r>
  <r>
    <x v="175"/>
    <n v="22"/>
    <s v="Female"/>
    <x v="3"/>
    <x v="1"/>
    <n v="6.4"/>
    <n v="5"/>
    <n v="0"/>
    <x v="3"/>
    <x v="4"/>
    <x v="2"/>
    <x v="3"/>
    <x v="1"/>
    <n v="10.7"/>
    <x v="1"/>
    <n v="67.8"/>
    <n v="5"/>
    <s v="60-70 %"/>
    <x v="1"/>
    <x v="1"/>
    <x v="2"/>
    <x v="53"/>
    <s v="4-8 hrs"/>
    <s v="6-8 hrs"/>
    <x v="0"/>
  </r>
  <r>
    <x v="176"/>
    <n v="25"/>
    <s v="Male"/>
    <x v="1"/>
    <x v="6"/>
    <n v="7.1"/>
    <n v="2.7"/>
    <n v="2"/>
    <x v="5"/>
    <x v="9"/>
    <x v="1"/>
    <x v="3"/>
    <x v="2"/>
    <n v="36.200000000000003"/>
    <x v="1"/>
    <n v="69.099999999999994"/>
    <n v="4"/>
    <s v="60-70 %"/>
    <x v="1"/>
    <x v="0"/>
    <x v="0"/>
    <x v="60"/>
    <s v="1-4 hrs"/>
    <s v="6-8 hrs"/>
    <x v="1"/>
  </r>
  <r>
    <x v="177"/>
    <n v="22"/>
    <s v="Female"/>
    <x v="3"/>
    <x v="3"/>
    <n v="5.0999999999999996"/>
    <n v="7.6"/>
    <n v="3"/>
    <x v="12"/>
    <x v="5"/>
    <x v="2"/>
    <x v="5"/>
    <x v="2"/>
    <n v="12.6"/>
    <x v="1"/>
    <n v="83.5"/>
    <n v="4"/>
    <s v="80-90%"/>
    <x v="1"/>
    <x v="0"/>
    <x v="1"/>
    <x v="73"/>
    <s v="4-8 hrs"/>
    <s v="4-6 hrs"/>
    <x v="0"/>
  </r>
  <r>
    <x v="178"/>
    <n v="21"/>
    <s v="F"/>
    <x v="3"/>
    <x v="3"/>
    <n v="4.5"/>
    <n v="5.2"/>
    <n v="3"/>
    <x v="8"/>
    <x v="13"/>
    <x v="1"/>
    <x v="19"/>
    <x v="4"/>
    <n v="3.7"/>
    <x v="0"/>
    <n v="69.400000000000006"/>
    <n v="4"/>
    <s v="60-70 %"/>
    <x v="0"/>
    <x v="1"/>
    <x v="1"/>
    <x v="101"/>
    <s v="4-8 hrs"/>
    <s v="4-6 hrs"/>
    <x v="0"/>
  </r>
  <r>
    <x v="179"/>
    <n v="22"/>
    <s v="Female"/>
    <x v="4"/>
    <x v="0"/>
    <n v="8.1"/>
    <n v="3.5"/>
    <n v="5"/>
    <x v="3"/>
    <x v="5"/>
    <x v="2"/>
    <x v="23"/>
    <x v="2"/>
    <n v="11.8"/>
    <x v="1"/>
    <n v="88.7"/>
    <n v="3"/>
    <s v="80-90%"/>
    <x v="0"/>
    <x v="0"/>
    <x v="1"/>
    <x v="102"/>
    <s v="1-4 hrs"/>
    <s v="&gt; 8 hrs"/>
    <x v="0"/>
  </r>
  <r>
    <x v="180"/>
    <n v="24"/>
    <s v="Female"/>
    <x v="1"/>
    <x v="1"/>
    <n v="5.3"/>
    <n v="7.4"/>
    <n v="2"/>
    <x v="5"/>
    <x v="5"/>
    <x v="1"/>
    <x v="2"/>
    <x v="2"/>
    <n v="1"/>
    <x v="1"/>
    <n v="87.3"/>
    <n v="5"/>
    <s v="80-90%"/>
    <x v="1"/>
    <x v="1"/>
    <x v="0"/>
    <x v="29"/>
    <s v="4-8 hrs"/>
    <s v="4-6 hrs"/>
    <x v="0"/>
  </r>
  <r>
    <x v="181"/>
    <n v="22"/>
    <s v="Male"/>
    <x v="1"/>
    <x v="1"/>
    <n v="4.5"/>
    <n v="8.1999999999999993"/>
    <n v="5"/>
    <x v="19"/>
    <x v="20"/>
    <x v="0"/>
    <x v="26"/>
    <x v="0"/>
    <n v="23.9"/>
    <x v="0"/>
    <n v="71"/>
    <n v="4"/>
    <s v="70-80%"/>
    <x v="1"/>
    <x v="1"/>
    <x v="1"/>
    <x v="48"/>
    <s v="8-12 hrs"/>
    <s v="4-6 hrs"/>
    <x v="1"/>
  </r>
  <r>
    <x v="182"/>
    <n v="21"/>
    <s v="F"/>
    <x v="3"/>
    <x v="1"/>
    <n v="5.8"/>
    <n v="10"/>
    <n v="1"/>
    <x v="24"/>
    <x v="21"/>
    <x v="4"/>
    <x v="7"/>
    <x v="0"/>
    <n v="21.7"/>
    <x v="2"/>
    <n v="52.9"/>
    <n v="1"/>
    <s v="Less than 0%"/>
    <x v="0"/>
    <x v="3"/>
    <x v="0"/>
    <x v="36"/>
    <s v="8-12 hrs"/>
    <s v="4-6 hrs"/>
    <x v="0"/>
  </r>
  <r>
    <x v="183"/>
    <n v="24"/>
    <s v="Male"/>
    <x v="1"/>
    <x v="1"/>
    <n v="5.9"/>
    <n v="2.5"/>
    <n v="2"/>
    <x v="6"/>
    <x v="7"/>
    <x v="2"/>
    <x v="3"/>
    <x v="1"/>
    <n v="10.9"/>
    <x v="1"/>
    <n v="82.9"/>
    <n v="3"/>
    <s v="80-90%"/>
    <x v="1"/>
    <x v="2"/>
    <x v="0"/>
    <x v="103"/>
    <s v="1-4 hrs"/>
    <s v="4-6 hrs"/>
    <x v="1"/>
  </r>
  <r>
    <x v="184"/>
    <n v="22"/>
    <s v="Male"/>
    <x v="1"/>
    <x v="1"/>
    <n v="4.5999999999999996"/>
    <n v="9.1999999999999993"/>
    <n v="0"/>
    <x v="16"/>
    <x v="11"/>
    <x v="3"/>
    <x v="9"/>
    <x v="1"/>
    <n v="17.7"/>
    <x v="1"/>
    <n v="71.900000000000006"/>
    <n v="3"/>
    <s v="70-80%"/>
    <x v="0"/>
    <x v="0"/>
    <x v="2"/>
    <x v="94"/>
    <s v="8-12 hrs"/>
    <s v="4-6 hrs"/>
    <x v="1"/>
  </r>
  <r>
    <x v="185"/>
    <n v="25"/>
    <s v="Male"/>
    <x v="0"/>
    <x v="6"/>
    <n v="5.5"/>
    <n v="3.5"/>
    <n v="4"/>
    <x v="17"/>
    <x v="2"/>
    <x v="2"/>
    <x v="3"/>
    <x v="2"/>
    <n v="23"/>
    <x v="1"/>
    <n v="85.2"/>
    <n v="2"/>
    <s v="80-90%"/>
    <x v="1"/>
    <x v="1"/>
    <x v="0"/>
    <x v="96"/>
    <s v="1-4 hrs"/>
    <s v="4-6 hrs"/>
    <x v="1"/>
  </r>
  <r>
    <x v="186"/>
    <n v="22"/>
    <s v="Male"/>
    <x v="3"/>
    <x v="1"/>
    <n v="7.4"/>
    <n v="5"/>
    <n v="1"/>
    <x v="3"/>
    <x v="5"/>
    <x v="2"/>
    <x v="3"/>
    <x v="2"/>
    <n v="10.3"/>
    <x v="1"/>
    <n v="53.6"/>
    <n v="4"/>
    <s v="Less than 0%"/>
    <x v="1"/>
    <x v="0"/>
    <x v="2"/>
    <x v="7"/>
    <s v="4-8 hrs"/>
    <s v="6-8 hrs"/>
    <x v="1"/>
  </r>
  <r>
    <x v="187"/>
    <n v="19"/>
    <s v="Female"/>
    <x v="4"/>
    <x v="1"/>
    <n v="5.4"/>
    <n v="5.7"/>
    <n v="1"/>
    <x v="25"/>
    <x v="20"/>
    <x v="0"/>
    <x v="20"/>
    <x v="0"/>
    <n v="7.4"/>
    <x v="0"/>
    <n v="70.900000000000006"/>
    <n v="1"/>
    <s v="70-80%"/>
    <x v="0"/>
    <x v="4"/>
    <x v="2"/>
    <x v="104"/>
    <s v="4-8 hrs"/>
    <s v="4-6 hrs"/>
    <x v="0"/>
  </r>
  <r>
    <x v="188"/>
    <n v="19"/>
    <s v="Female"/>
    <x v="4"/>
    <x v="4"/>
    <n v="4.0999999999999996"/>
    <n v="8.8000000000000007"/>
    <n v="4"/>
    <x v="9"/>
    <x v="2"/>
    <x v="1"/>
    <x v="2"/>
    <x v="2"/>
    <n v="17.399999999999999"/>
    <x v="1"/>
    <n v="90.8"/>
    <n v="4"/>
    <s v="More than 90%"/>
    <x v="1"/>
    <x v="3"/>
    <x v="1"/>
    <x v="99"/>
    <s v="8-12 hrs"/>
    <s v="4-6 hrs"/>
    <x v="0"/>
  </r>
  <r>
    <x v="189"/>
    <n v="25"/>
    <s v="Male"/>
    <x v="3"/>
    <x v="2"/>
    <n v="7"/>
    <n v="7"/>
    <n v="3"/>
    <x v="23"/>
    <x v="18"/>
    <x v="0"/>
    <x v="27"/>
    <x v="4"/>
    <n v="11"/>
    <x v="0"/>
    <n v="87.7"/>
    <n v="5"/>
    <s v="80-90%"/>
    <x v="1"/>
    <x v="1"/>
    <x v="0"/>
    <x v="103"/>
    <s v="4-8 hrs"/>
    <s v="6-8 hrs"/>
    <x v="1"/>
  </r>
  <r>
    <x v="190"/>
    <n v="25"/>
    <s v="Male"/>
    <x v="3"/>
    <x v="5"/>
    <n v="6.8"/>
    <n v="3.4"/>
    <n v="0"/>
    <x v="1"/>
    <x v="7"/>
    <x v="1"/>
    <x v="13"/>
    <x v="1"/>
    <n v="15.8"/>
    <x v="1"/>
    <n v="65.5"/>
    <n v="3"/>
    <s v="60-70 %"/>
    <x v="1"/>
    <x v="3"/>
    <x v="1"/>
    <x v="7"/>
    <s v="1-4 hrs"/>
    <s v="6-8 hrs"/>
    <x v="1"/>
  </r>
  <r>
    <x v="191"/>
    <n v="21"/>
    <s v="Male"/>
    <x v="3"/>
    <x v="5"/>
    <n v="5.9"/>
    <n v="1"/>
    <n v="0"/>
    <x v="9"/>
    <x v="3"/>
    <x v="1"/>
    <x v="10"/>
    <x v="1"/>
    <n v="9.8000000000000007"/>
    <x v="1"/>
    <n v="55.1"/>
    <n v="3"/>
    <s v="Less than 0%"/>
    <x v="1"/>
    <x v="3"/>
    <x v="0"/>
    <x v="42"/>
    <s v="1-4 hrs"/>
    <s v="4-6 hrs"/>
    <x v="1"/>
  </r>
  <r>
    <x v="192"/>
    <n v="21"/>
    <s v="Female"/>
    <x v="0"/>
    <x v="4"/>
    <n v="4.3"/>
    <n v="6.1"/>
    <n v="3"/>
    <x v="8"/>
    <x v="3"/>
    <x v="1"/>
    <x v="3"/>
    <x v="1"/>
    <n v="21.3"/>
    <x v="1"/>
    <n v="77.400000000000006"/>
    <n v="4"/>
    <s v="70-80%"/>
    <x v="1"/>
    <x v="2"/>
    <x v="0"/>
    <x v="5"/>
    <s v="4-8 hrs"/>
    <s v="4-6 hrs"/>
    <x v="0"/>
  </r>
  <r>
    <x v="193"/>
    <n v="25"/>
    <s v="Male"/>
    <x v="3"/>
    <x v="5"/>
    <n v="5.6"/>
    <n v="4.9000000000000004"/>
    <n v="2"/>
    <x v="8"/>
    <x v="4"/>
    <x v="1"/>
    <x v="22"/>
    <x v="1"/>
    <n v="17"/>
    <x v="0"/>
    <n v="83.9"/>
    <n v="4"/>
    <s v="80-90%"/>
    <x v="0"/>
    <x v="2"/>
    <x v="1"/>
    <x v="28"/>
    <s v="4-8 hrs"/>
    <s v="4-6 hrs"/>
    <x v="1"/>
  </r>
  <r>
    <x v="194"/>
    <n v="19"/>
    <s v="Non-binary"/>
    <x v="4"/>
    <x v="2"/>
    <n v="5.8"/>
    <n v="1.6"/>
    <n v="1"/>
    <x v="10"/>
    <x v="11"/>
    <x v="1"/>
    <x v="8"/>
    <x v="1"/>
    <n v="22.1"/>
    <x v="1"/>
    <n v="87.9"/>
    <m/>
    <s v="80-90%"/>
    <x v="1"/>
    <x v="4"/>
    <x v="1"/>
    <x v="105"/>
    <s v="1-4 hrs"/>
    <s v="4-6 hrs"/>
    <x v="3"/>
  </r>
  <r>
    <x v="195"/>
    <n v="20"/>
    <s v="Male"/>
    <x v="4"/>
    <x v="5"/>
    <n v="7.3"/>
    <n v="5.3"/>
    <n v="3"/>
    <x v="3"/>
    <x v="2"/>
    <x v="2"/>
    <x v="2"/>
    <x v="2"/>
    <n v="19.2"/>
    <x v="1"/>
    <n v="65.3"/>
    <n v="3"/>
    <s v="60-70 %"/>
    <x v="0"/>
    <x v="0"/>
    <x v="0"/>
    <x v="10"/>
    <s v="4-8 hrs"/>
    <s v="6-8 hrs"/>
    <x v="1"/>
  </r>
  <r>
    <x v="196"/>
    <n v="23"/>
    <s v="Male"/>
    <x v="4"/>
    <x v="0"/>
    <n v="5.0999999999999996"/>
    <n v="4.4000000000000004"/>
    <n v="1"/>
    <x v="6"/>
    <x v="4"/>
    <x v="2"/>
    <x v="10"/>
    <x v="1"/>
    <n v="18.7"/>
    <x v="1"/>
    <n v="83.7"/>
    <n v="4"/>
    <s v="80-90%"/>
    <x v="1"/>
    <x v="0"/>
    <x v="0"/>
    <x v="106"/>
    <s v="4-8 hrs"/>
    <s v="4-6 hrs"/>
    <x v="1"/>
  </r>
  <r>
    <x v="197"/>
    <n v="21"/>
    <s v="Female"/>
    <x v="0"/>
    <x v="0"/>
    <n v="5.5"/>
    <n v="10"/>
    <n v="3"/>
    <x v="20"/>
    <x v="21"/>
    <x v="4"/>
    <x v="18"/>
    <x v="0"/>
    <n v="1.7"/>
    <x v="2"/>
    <n v="97.1"/>
    <n v="5"/>
    <s v="More than 90%"/>
    <x v="0"/>
    <x v="2"/>
    <x v="0"/>
    <x v="107"/>
    <s v="8-12 hrs"/>
    <s v="4-6 hrs"/>
    <x v="0"/>
  </r>
  <r>
    <x v="198"/>
    <n v="21"/>
    <s v="Female"/>
    <x v="2"/>
    <x v="0"/>
    <n v="6.1"/>
    <n v="13.5"/>
    <n v="2"/>
    <x v="6"/>
    <x v="1"/>
    <x v="2"/>
    <x v="10"/>
    <x v="1"/>
    <n v="22.2"/>
    <x v="1"/>
    <n v="84.4"/>
    <n v="3"/>
    <s v="80-90%"/>
    <x v="0"/>
    <x v="2"/>
    <x v="1"/>
    <x v="108"/>
    <s v="12-16 hrs"/>
    <s v="6-8 hrs"/>
    <x v="0"/>
  </r>
  <r>
    <x v="199"/>
    <n v="21"/>
    <s v="Male"/>
    <x v="3"/>
    <x v="1"/>
    <n v="3.1"/>
    <n v="8.1"/>
    <n v="1"/>
    <x v="5"/>
    <x v="2"/>
    <x v="1"/>
    <x v="3"/>
    <x v="2"/>
    <n v="18"/>
    <x v="1"/>
    <n v="59.9"/>
    <n v="3"/>
    <s v="Less than 0%"/>
    <x v="0"/>
    <x v="4"/>
    <x v="1"/>
    <x v="7"/>
    <s v="8-12 hrs"/>
    <s v="&lt; 4 hrs"/>
    <x v="1"/>
  </r>
  <r>
    <x v="200"/>
    <n v="22"/>
    <s v="Male"/>
    <x v="1"/>
    <x v="4"/>
    <n v="7.4"/>
    <n v="4.2"/>
    <n v="1"/>
    <x v="5"/>
    <x v="9"/>
    <x v="1"/>
    <x v="2"/>
    <x v="2"/>
    <n v="18.3"/>
    <x v="1"/>
    <n v="78.099999999999994"/>
    <n v="5"/>
    <s v="70-80%"/>
    <x v="0"/>
    <x v="4"/>
    <x v="0"/>
    <x v="109"/>
    <s v="4-8 hrs"/>
    <s v="6-8 hrs"/>
    <x v="1"/>
  </r>
  <r>
    <x v="201"/>
    <n v="24"/>
    <s v="Female"/>
    <x v="1"/>
    <x v="1"/>
    <n v="4.7"/>
    <n v="4.7"/>
    <n v="1"/>
    <x v="8"/>
    <x v="1"/>
    <x v="1"/>
    <x v="17"/>
    <x v="1"/>
    <n v="29.8"/>
    <x v="0"/>
    <n v="100"/>
    <n v="2"/>
    <s v="More than 90%"/>
    <x v="1"/>
    <x v="4"/>
    <x v="0"/>
    <x v="3"/>
    <s v="4-8 hrs"/>
    <s v="4-6 hrs"/>
    <x v="0"/>
  </r>
  <r>
    <x v="202"/>
    <n v="22"/>
    <s v="Male"/>
    <x v="2"/>
    <x v="1"/>
    <n v="6.8"/>
    <n v="2.4"/>
    <n v="0"/>
    <x v="12"/>
    <x v="5"/>
    <x v="2"/>
    <x v="3"/>
    <x v="2"/>
    <n v="12.8"/>
    <x v="1"/>
    <n v="66.2"/>
    <n v="1"/>
    <s v="60-70 %"/>
    <x v="0"/>
    <x v="3"/>
    <x v="1"/>
    <x v="5"/>
    <s v="1-4 hrs"/>
    <s v="6-8 hrs"/>
    <x v="1"/>
  </r>
  <r>
    <x v="203"/>
    <n v="23"/>
    <s v="Female"/>
    <x v="0"/>
    <x v="1"/>
    <n v="7.1"/>
    <n v="2.8"/>
    <n v="2"/>
    <x v="11"/>
    <x v="8"/>
    <x v="5"/>
    <x v="5"/>
    <x v="3"/>
    <n v="33"/>
    <x v="1"/>
    <n v="83.8"/>
    <n v="4"/>
    <s v="80-90%"/>
    <x v="1"/>
    <x v="2"/>
    <x v="1"/>
    <x v="105"/>
    <s v="1-4 hrs"/>
    <s v="6-8 hrs"/>
    <x v="0"/>
  </r>
  <r>
    <x v="204"/>
    <n v="17"/>
    <s v="Female"/>
    <x v="4"/>
    <x v="4"/>
    <n v="7.4"/>
    <n v="4.0999999999999996"/>
    <n v="5"/>
    <x v="12"/>
    <x v="9"/>
    <x v="2"/>
    <x v="2"/>
    <x v="2"/>
    <n v="30.8"/>
    <x v="1"/>
    <n v="80.7"/>
    <n v="1"/>
    <s v="80-90%"/>
    <x v="0"/>
    <x v="1"/>
    <x v="2"/>
    <x v="27"/>
    <s v="4-8 hrs"/>
    <s v="6-8 hrs"/>
    <x v="0"/>
  </r>
  <r>
    <x v="205"/>
    <n v="21"/>
    <s v="Female"/>
    <x v="3"/>
    <x v="0"/>
    <n v="7"/>
    <n v="3.8"/>
    <n v="4"/>
    <x v="12"/>
    <x v="5"/>
    <x v="2"/>
    <x v="19"/>
    <x v="2"/>
    <n v="23.6"/>
    <x v="0"/>
    <n v="80.099999999999994"/>
    <n v="2"/>
    <s v="80-90%"/>
    <x v="0"/>
    <x v="3"/>
    <x v="0"/>
    <x v="37"/>
    <s v="1-4 hrs"/>
    <s v="6-8 hrs"/>
    <x v="0"/>
  </r>
  <r>
    <x v="206"/>
    <n v="20"/>
    <s v="Female"/>
    <x v="2"/>
    <x v="5"/>
    <n v="3.8"/>
    <n v="1.5"/>
    <n v="2"/>
    <x v="9"/>
    <x v="13"/>
    <x v="1"/>
    <x v="5"/>
    <x v="4"/>
    <n v="9.4"/>
    <x v="1"/>
    <n v="81.099999999999994"/>
    <n v="4"/>
    <s v="80-90%"/>
    <x v="1"/>
    <x v="1"/>
    <x v="0"/>
    <x v="110"/>
    <s v="1-4 hrs"/>
    <s v="&lt; 4 hrs"/>
    <x v="0"/>
  </r>
  <r>
    <x v="207"/>
    <n v="19"/>
    <s v="Male"/>
    <x v="0"/>
    <x v="4"/>
    <n v="5.0999999999999996"/>
    <n v="10"/>
    <n v="3"/>
    <x v="5"/>
    <x v="4"/>
    <x v="1"/>
    <x v="5"/>
    <x v="1"/>
    <n v="1.6"/>
    <x v="1"/>
    <n v="89.3"/>
    <n v="4"/>
    <s v="80-90%"/>
    <x v="0"/>
    <x v="3"/>
    <x v="0"/>
    <x v="111"/>
    <s v="8-12 hrs"/>
    <s v="4-6 hrs"/>
    <x v="1"/>
  </r>
  <r>
    <x v="208"/>
    <n v="20"/>
    <s v="M"/>
    <x v="0"/>
    <x v="1"/>
    <n v="5.6"/>
    <n v="10.9"/>
    <n v="3"/>
    <x v="12"/>
    <x v="3"/>
    <x v="2"/>
    <x v="5"/>
    <x v="1"/>
    <n v="28"/>
    <x v="1"/>
    <n v="87.7"/>
    <n v="3"/>
    <s v="80-90%"/>
    <x v="0"/>
    <x v="2"/>
    <x v="0"/>
    <x v="8"/>
    <s v="8-12 hrs"/>
    <s v="4-6 hrs"/>
    <x v="1"/>
  </r>
  <r>
    <x v="209"/>
    <n v="21"/>
    <s v="Male"/>
    <x v="2"/>
    <x v="5"/>
    <n v="5.7"/>
    <n v="9.8000000000000007"/>
    <n v="4"/>
    <x v="2"/>
    <x v="19"/>
    <x v="2"/>
    <x v="21"/>
    <x v="2"/>
    <n v="19.3"/>
    <x v="1"/>
    <n v="100"/>
    <n v="3"/>
    <s v="More than 90%"/>
    <x v="0"/>
    <x v="4"/>
    <x v="0"/>
    <x v="112"/>
    <s v="8-12 hrs"/>
    <s v="4-6 hrs"/>
    <x v="1"/>
  </r>
  <r>
    <x v="210"/>
    <n v="23"/>
    <s v="Female"/>
    <x v="1"/>
    <x v="1"/>
    <n v="6.4"/>
    <n v="11.1"/>
    <n v="1"/>
    <x v="3"/>
    <x v="5"/>
    <x v="2"/>
    <x v="5"/>
    <x v="2"/>
    <n v="16.5"/>
    <x v="1"/>
    <n v="79.900000000000006"/>
    <n v="4"/>
    <s v="70-80%"/>
    <x v="1"/>
    <x v="3"/>
    <x v="1"/>
    <x v="78"/>
    <s v="8-12 hrs"/>
    <s v="6-8 hrs"/>
    <x v="0"/>
  </r>
  <r>
    <x v="211"/>
    <n v="19"/>
    <s v="Male"/>
    <x v="1"/>
    <x v="1"/>
    <n v="5.8"/>
    <n v="15.9"/>
    <n v="2"/>
    <x v="3"/>
    <x v="3"/>
    <x v="2"/>
    <x v="23"/>
    <x v="1"/>
    <n v="28.2"/>
    <x v="1"/>
    <n v="75.599999999999994"/>
    <n v="4"/>
    <s v="70-80%"/>
    <x v="1"/>
    <x v="4"/>
    <x v="1"/>
    <x v="113"/>
    <s v="12-16 hrs"/>
    <s v="4-6 hrs"/>
    <x v="1"/>
  </r>
  <r>
    <x v="212"/>
    <n v="22"/>
    <s v="Female"/>
    <x v="0"/>
    <x v="5"/>
    <n v="7.2"/>
    <n v="2.4"/>
    <n v="2"/>
    <x v="12"/>
    <x v="4"/>
    <x v="2"/>
    <x v="9"/>
    <x v="1"/>
    <n v="7.3"/>
    <x v="1"/>
    <n v="61.9"/>
    <n v="4"/>
    <s v="60-70 %"/>
    <x v="1"/>
    <x v="3"/>
    <x v="2"/>
    <x v="18"/>
    <s v="1-4 hrs"/>
    <s v="6-8 hrs"/>
    <x v="0"/>
  </r>
  <r>
    <x v="213"/>
    <n v="20"/>
    <s v="Non-binary"/>
    <x v="3"/>
    <x v="3"/>
    <n v="4.5999999999999996"/>
    <n v="15.5"/>
    <n v="0"/>
    <x v="8"/>
    <x v="4"/>
    <x v="1"/>
    <x v="5"/>
    <x v="1"/>
    <n v="10.9"/>
    <x v="1"/>
    <n v="47.6"/>
    <n v="4"/>
    <s v="Less than 0%"/>
    <x v="0"/>
    <x v="0"/>
    <x v="2"/>
    <x v="18"/>
    <s v="12-16 hrs"/>
    <s v="4-6 hrs"/>
    <x v="3"/>
  </r>
  <r>
    <x v="214"/>
    <n v="21"/>
    <s v="Male"/>
    <x v="1"/>
    <x v="1"/>
    <n v="4.0999999999999996"/>
    <n v="3.4"/>
    <n v="2"/>
    <x v="8"/>
    <x v="1"/>
    <x v="1"/>
    <x v="8"/>
    <x v="1"/>
    <n v="27.7"/>
    <x v="1"/>
    <n v="90"/>
    <n v="4"/>
    <s v="More than 90%"/>
    <x v="0"/>
    <x v="3"/>
    <x v="0"/>
    <x v="87"/>
    <s v="1-4 hrs"/>
    <s v="4-6 hrs"/>
    <x v="1"/>
  </r>
  <r>
    <x v="215"/>
    <n v="24"/>
    <s v="Female"/>
    <x v="3"/>
    <x v="2"/>
    <n v="5.7"/>
    <n v="6.7"/>
    <n v="5"/>
    <x v="12"/>
    <x v="10"/>
    <x v="2"/>
    <x v="2"/>
    <x v="2"/>
    <n v="7.7"/>
    <x v="1"/>
    <n v="100"/>
    <n v="5"/>
    <s v="More than 90%"/>
    <x v="1"/>
    <x v="3"/>
    <x v="1"/>
    <x v="7"/>
    <s v="4-8 hrs"/>
    <s v="4-6 hrs"/>
    <x v="0"/>
  </r>
  <r>
    <x v="216"/>
    <n v="23"/>
    <s v="F"/>
    <x v="3"/>
    <x v="1"/>
    <n v="7.2"/>
    <n v="1.2"/>
    <n v="5"/>
    <x v="11"/>
    <x v="8"/>
    <x v="5"/>
    <x v="3"/>
    <x v="3"/>
    <n v="78.599999999999994"/>
    <x v="1"/>
    <n v="98.1"/>
    <n v="4"/>
    <s v="More than 90%"/>
    <x v="0"/>
    <x v="2"/>
    <x v="1"/>
    <x v="7"/>
    <s v="1-4 hrs"/>
    <s v="6-8 hrs"/>
    <x v="0"/>
  </r>
  <r>
    <x v="217"/>
    <n v="24"/>
    <s v="Male"/>
    <x v="4"/>
    <x v="2"/>
    <n v="5.2"/>
    <n v="3.1"/>
    <n v="0"/>
    <x v="10"/>
    <x v="11"/>
    <x v="1"/>
    <x v="13"/>
    <x v="1"/>
    <n v="22.6"/>
    <x v="1"/>
    <n v="91.7"/>
    <n v="2"/>
    <s v="More than 90%"/>
    <x v="1"/>
    <x v="0"/>
    <x v="1"/>
    <x v="22"/>
    <s v="1-4 hrs"/>
    <s v="4-6 hrs"/>
    <x v="1"/>
  </r>
  <r>
    <x v="218"/>
    <n v="21"/>
    <s v="Female"/>
    <x v="0"/>
    <x v="2"/>
    <n v="6.2"/>
    <n v="8.3000000000000007"/>
    <n v="2"/>
    <x v="5"/>
    <x v="9"/>
    <x v="1"/>
    <x v="23"/>
    <x v="2"/>
    <n v="18.399999999999999"/>
    <x v="1"/>
    <n v="78.8"/>
    <n v="5"/>
    <s v="70-80%"/>
    <x v="0"/>
    <x v="1"/>
    <x v="2"/>
    <x v="114"/>
    <s v="8-12 hrs"/>
    <s v="6-8 hrs"/>
    <x v="0"/>
  </r>
  <r>
    <x v="219"/>
    <n v="20"/>
    <s v="Male"/>
    <x v="1"/>
    <x v="2"/>
    <n v="6.8"/>
    <n v="6.9"/>
    <n v="2"/>
    <x v="8"/>
    <x v="3"/>
    <x v="1"/>
    <x v="8"/>
    <x v="1"/>
    <n v="26.9"/>
    <x v="1"/>
    <n v="77.3"/>
    <n v="5"/>
    <s v="70-80%"/>
    <x v="0"/>
    <x v="4"/>
    <x v="0"/>
    <x v="102"/>
    <s v="4-8 hrs"/>
    <s v="6-8 hrs"/>
    <x v="1"/>
  </r>
  <r>
    <x v="220"/>
    <n v="21"/>
    <s v="Male"/>
    <x v="1"/>
    <x v="2"/>
    <n v="7.2"/>
    <n v="3.4"/>
    <n v="3"/>
    <x v="5"/>
    <x v="5"/>
    <x v="1"/>
    <x v="10"/>
    <x v="2"/>
    <n v="23.5"/>
    <x v="1"/>
    <n v="93.8"/>
    <n v="3"/>
    <s v="More than 90%"/>
    <x v="0"/>
    <x v="2"/>
    <x v="0"/>
    <x v="115"/>
    <s v="1-4 hrs"/>
    <s v="6-8 hrs"/>
    <x v="1"/>
  </r>
  <r>
    <x v="221"/>
    <n v="22"/>
    <s v="Male"/>
    <x v="1"/>
    <x v="1"/>
    <n v="3"/>
    <n v="4.7"/>
    <n v="3"/>
    <x v="8"/>
    <x v="4"/>
    <x v="1"/>
    <x v="9"/>
    <x v="1"/>
    <n v="23.2"/>
    <x v="1"/>
    <n v="100"/>
    <n v="1"/>
    <s v="More than 90%"/>
    <x v="1"/>
    <x v="3"/>
    <x v="2"/>
    <x v="61"/>
    <s v="4-8 hrs"/>
    <s v="&lt; 4 hrs"/>
    <x v="1"/>
  </r>
  <r>
    <x v="222"/>
    <n v="22"/>
    <s v="Male"/>
    <x v="0"/>
    <x v="5"/>
    <n v="4.7"/>
    <n v="2.9"/>
    <n v="0"/>
    <x v="26"/>
    <x v="6"/>
    <x v="4"/>
    <x v="28"/>
    <x v="0"/>
    <n v="1"/>
    <x v="0"/>
    <n v="90.8"/>
    <n v="4"/>
    <s v="More than 90%"/>
    <x v="1"/>
    <x v="2"/>
    <x v="1"/>
    <x v="116"/>
    <s v="1-4 hrs"/>
    <s v="4-6 hrs"/>
    <x v="1"/>
  </r>
  <r>
    <x v="223"/>
    <n v="19"/>
    <s v="Female"/>
    <x v="4"/>
    <x v="5"/>
    <n v="8.5"/>
    <n v="8.3000000000000007"/>
    <n v="4"/>
    <x v="8"/>
    <x v="1"/>
    <x v="1"/>
    <x v="4"/>
    <x v="1"/>
    <n v="10.1"/>
    <x v="0"/>
    <n v="87.5"/>
    <n v="3"/>
    <s v="80-90%"/>
    <x v="1"/>
    <x v="1"/>
    <x v="0"/>
    <x v="31"/>
    <s v="8-12 hrs"/>
    <s v="&gt; 8 hrs"/>
    <x v="0"/>
  </r>
  <r>
    <x v="224"/>
    <n v="22"/>
    <s v="Male"/>
    <x v="2"/>
    <x v="5"/>
    <n v="5"/>
    <n v="10.4"/>
    <n v="6"/>
    <x v="20"/>
    <x v="18"/>
    <x v="4"/>
    <x v="0"/>
    <x v="4"/>
    <n v="19.5"/>
    <x v="0"/>
    <n v="77"/>
    <n v="4"/>
    <s v="70-80%"/>
    <x v="0"/>
    <x v="2"/>
    <x v="1"/>
    <x v="71"/>
    <s v="8-12 hrs"/>
    <s v="4-6 hrs"/>
    <x v="1"/>
  </r>
  <r>
    <x v="225"/>
    <n v="22"/>
    <s v="Male"/>
    <x v="1"/>
    <x v="1"/>
    <n v="4.3"/>
    <n v="2.5"/>
    <n v="3"/>
    <x v="6"/>
    <x v="5"/>
    <x v="2"/>
    <x v="3"/>
    <x v="2"/>
    <n v="11"/>
    <x v="1"/>
    <n v="82.8"/>
    <n v="3"/>
    <s v="80-90%"/>
    <x v="0"/>
    <x v="0"/>
    <x v="1"/>
    <x v="72"/>
    <s v="1-4 hrs"/>
    <s v="4-6 hrs"/>
    <x v="1"/>
  </r>
  <r>
    <x v="226"/>
    <n v="27"/>
    <s v="Male"/>
    <x v="1"/>
    <x v="0"/>
    <n v="7.7"/>
    <n v="4.4000000000000004"/>
    <n v="3"/>
    <x v="9"/>
    <x v="5"/>
    <x v="1"/>
    <x v="4"/>
    <x v="2"/>
    <n v="18"/>
    <x v="0"/>
    <n v="75.599999999999994"/>
    <n v="1"/>
    <s v="70-80%"/>
    <x v="1"/>
    <x v="2"/>
    <x v="2"/>
    <x v="94"/>
    <s v="4-8 hrs"/>
    <s v="6-8 hrs"/>
    <x v="1"/>
  </r>
  <r>
    <x v="227"/>
    <n v="25"/>
    <s v="Male"/>
    <x v="1"/>
    <x v="0"/>
    <n v="6.6"/>
    <n v="1.4"/>
    <n v="3"/>
    <x v="2"/>
    <x v="10"/>
    <x v="2"/>
    <x v="6"/>
    <x v="2"/>
    <n v="20"/>
    <x v="1"/>
    <n v="62.7"/>
    <n v="2"/>
    <s v="60-70 %"/>
    <x v="0"/>
    <x v="2"/>
    <x v="2"/>
    <x v="117"/>
    <s v="1-4 hrs"/>
    <s v="6-8 hrs"/>
    <x v="1"/>
  </r>
  <r>
    <x v="228"/>
    <n v="20"/>
    <s v="Female"/>
    <x v="0"/>
    <x v="1"/>
    <n v="7.5"/>
    <n v="5.2"/>
    <n v="2"/>
    <x v="8"/>
    <x v="11"/>
    <x v="1"/>
    <x v="13"/>
    <x v="1"/>
    <n v="33.700000000000003"/>
    <x v="1"/>
    <n v="70.3"/>
    <n v="5"/>
    <s v="70-80%"/>
    <x v="0"/>
    <x v="2"/>
    <x v="1"/>
    <x v="28"/>
    <s v="4-8 hrs"/>
    <s v="6-8 hrs"/>
    <x v="0"/>
  </r>
  <r>
    <x v="229"/>
    <n v="21"/>
    <s v="Male"/>
    <x v="1"/>
    <x v="1"/>
    <n v="6"/>
    <n v="6.2"/>
    <n v="1"/>
    <x v="4"/>
    <x v="7"/>
    <x v="3"/>
    <x v="19"/>
    <x v="1"/>
    <n v="14.3"/>
    <x v="0"/>
    <n v="75.3"/>
    <n v="1"/>
    <s v="70-80%"/>
    <x v="0"/>
    <x v="0"/>
    <x v="1"/>
    <x v="63"/>
    <s v="4-8 hrs"/>
    <s v="4-6 hrs"/>
    <x v="1"/>
  </r>
  <r>
    <x v="230"/>
    <n v="18"/>
    <s v="Female"/>
    <x v="0"/>
    <x v="0"/>
    <n v="6.7"/>
    <n v="5.5"/>
    <n v="3"/>
    <x v="3"/>
    <x v="7"/>
    <x v="2"/>
    <x v="2"/>
    <x v="1"/>
    <n v="14.4"/>
    <x v="1"/>
    <n v="77.2"/>
    <n v="4"/>
    <s v="70-80%"/>
    <x v="0"/>
    <x v="4"/>
    <x v="0"/>
    <x v="56"/>
    <s v="4-8 hrs"/>
    <s v="6-8 hrs"/>
    <x v="0"/>
  </r>
  <r>
    <x v="231"/>
    <n v="20"/>
    <s v="Female"/>
    <x v="0"/>
    <x v="5"/>
    <n v="6.6"/>
    <n v="5.9"/>
    <n v="0"/>
    <x v="6"/>
    <x v="9"/>
    <x v="2"/>
    <x v="5"/>
    <x v="2"/>
    <n v="18.2"/>
    <x v="1"/>
    <n v="58"/>
    <n v="3"/>
    <s v="Less than 0%"/>
    <x v="0"/>
    <x v="3"/>
    <x v="1"/>
    <x v="89"/>
    <s v="4-8 hrs"/>
    <s v="6-8 hrs"/>
    <x v="0"/>
  </r>
  <r>
    <x v="232"/>
    <n v="22"/>
    <s v="M"/>
    <x v="1"/>
    <x v="1"/>
    <n v="7.7"/>
    <n v="4.0999999999999996"/>
    <n v="4"/>
    <x v="10"/>
    <x v="1"/>
    <x v="1"/>
    <x v="13"/>
    <x v="1"/>
    <n v="20.100000000000001"/>
    <x v="1"/>
    <n v="80.3"/>
    <n v="3"/>
    <s v="80-90%"/>
    <x v="1"/>
    <x v="3"/>
    <x v="0"/>
    <x v="33"/>
    <s v="4-8 hrs"/>
    <s v="6-8 hrs"/>
    <x v="1"/>
  </r>
  <r>
    <x v="233"/>
    <n v="24"/>
    <s v="Male"/>
    <x v="1"/>
    <x v="4"/>
    <n v="9.1"/>
    <n v="4.0999999999999996"/>
    <n v="2"/>
    <x v="12"/>
    <x v="4"/>
    <x v="2"/>
    <x v="16"/>
    <x v="1"/>
    <n v="20"/>
    <x v="1"/>
    <n v="79"/>
    <n v="3"/>
    <s v="70-80%"/>
    <x v="1"/>
    <x v="3"/>
    <x v="0"/>
    <x v="102"/>
    <s v="4-8 hrs"/>
    <s v="&gt; 8 hrs"/>
    <x v="1"/>
  </r>
  <r>
    <x v="234"/>
    <n v="20"/>
    <s v="M"/>
    <x v="1"/>
    <x v="2"/>
    <n v="6.8"/>
    <n v="4"/>
    <n v="2"/>
    <x v="2"/>
    <x v="19"/>
    <x v="2"/>
    <x v="21"/>
    <x v="2"/>
    <n v="25.2"/>
    <x v="1"/>
    <n v="66.5"/>
    <n v="3"/>
    <s v="60-70 %"/>
    <x v="0"/>
    <x v="2"/>
    <x v="1"/>
    <x v="118"/>
    <s v="4-8 hrs"/>
    <s v="6-8 hrs"/>
    <x v="1"/>
  </r>
  <r>
    <x v="235"/>
    <n v="20"/>
    <s v="Female"/>
    <x v="3"/>
    <x v="5"/>
    <n v="4.5"/>
    <n v="3"/>
    <n v="2"/>
    <x v="10"/>
    <x v="7"/>
    <x v="1"/>
    <x v="4"/>
    <x v="1"/>
    <n v="9.5"/>
    <x v="0"/>
    <n v="79.5"/>
    <n v="4"/>
    <s v="70-80%"/>
    <x v="0"/>
    <x v="2"/>
    <x v="1"/>
    <x v="75"/>
    <s v="1-4 hrs"/>
    <s v="4-6 hrs"/>
    <x v="0"/>
  </r>
  <r>
    <x v="236"/>
    <n v="17"/>
    <s v="Male"/>
    <x v="3"/>
    <x v="0"/>
    <n v="7.8"/>
    <n v="3.3"/>
    <n v="6"/>
    <x v="1"/>
    <x v="7"/>
    <x v="1"/>
    <x v="4"/>
    <x v="1"/>
    <n v="18.2"/>
    <x v="0"/>
    <n v="78.7"/>
    <n v="4"/>
    <s v="70-80%"/>
    <x v="0"/>
    <x v="3"/>
    <x v="1"/>
    <x v="30"/>
    <s v="1-4 hrs"/>
    <s v="6-8 hrs"/>
    <x v="1"/>
  </r>
  <r>
    <x v="237"/>
    <n v="21"/>
    <s v="Male"/>
    <x v="4"/>
    <x v="0"/>
    <n v="7.7"/>
    <n v="6.1"/>
    <n v="1"/>
    <x v="6"/>
    <x v="1"/>
    <x v="2"/>
    <x v="9"/>
    <x v="1"/>
    <n v="21"/>
    <x v="1"/>
    <n v="76.2"/>
    <n v="2"/>
    <s v="70-80%"/>
    <x v="1"/>
    <x v="2"/>
    <x v="2"/>
    <x v="103"/>
    <s v="4-8 hrs"/>
    <s v="6-8 hrs"/>
    <x v="1"/>
  </r>
  <r>
    <x v="238"/>
    <n v="19"/>
    <s v="M"/>
    <x v="1"/>
    <x v="2"/>
    <n v="6.8"/>
    <n v="10"/>
    <n v="1"/>
    <x v="23"/>
    <x v="18"/>
    <x v="0"/>
    <x v="7"/>
    <x v="4"/>
    <n v="12.7"/>
    <x v="2"/>
    <n v="91"/>
    <n v="3"/>
    <s v="More than 90%"/>
    <x v="1"/>
    <x v="1"/>
    <x v="1"/>
    <x v="45"/>
    <s v="8-12 hrs"/>
    <s v="6-8 hrs"/>
    <x v="1"/>
  </r>
  <r>
    <x v="239"/>
    <n v="20"/>
    <s v="Male"/>
    <x v="3"/>
    <x v="3"/>
    <n v="6.2"/>
    <n v="2.1"/>
    <n v="1"/>
    <x v="12"/>
    <x v="10"/>
    <x v="2"/>
    <x v="3"/>
    <x v="2"/>
    <n v="23.4"/>
    <x v="1"/>
    <n v="60.7"/>
    <n v="4"/>
    <s v="60-70 %"/>
    <x v="0"/>
    <x v="3"/>
    <x v="0"/>
    <x v="35"/>
    <s v="1-4 hrs"/>
    <s v="6-8 hrs"/>
    <x v="1"/>
  </r>
  <r>
    <x v="240"/>
    <n v="20"/>
    <s v="Female"/>
    <x v="0"/>
    <x v="0"/>
    <n v="7.5"/>
    <n v="4.0999999999999996"/>
    <n v="3"/>
    <x v="6"/>
    <x v="3"/>
    <x v="2"/>
    <x v="19"/>
    <x v="1"/>
    <n v="18.399999999999999"/>
    <x v="0"/>
    <n v="48.7"/>
    <n v="4"/>
    <s v="Less than 0%"/>
    <x v="0"/>
    <x v="4"/>
    <x v="1"/>
    <x v="104"/>
    <s v="4-8 hrs"/>
    <s v="6-8 hrs"/>
    <x v="0"/>
  </r>
  <r>
    <x v="241"/>
    <n v="21"/>
    <s v="Female"/>
    <x v="4"/>
    <x v="2"/>
    <n v="7.3"/>
    <n v="1.8"/>
    <n v="7"/>
    <x v="5"/>
    <x v="4"/>
    <x v="1"/>
    <x v="9"/>
    <x v="1"/>
    <n v="22"/>
    <x v="1"/>
    <n v="85.1"/>
    <n v="3"/>
    <s v="80-90%"/>
    <x v="1"/>
    <x v="3"/>
    <x v="0"/>
    <x v="119"/>
    <s v="1-4 hrs"/>
    <s v="6-8 hrs"/>
    <x v="0"/>
  </r>
  <r>
    <x v="242"/>
    <n v="18"/>
    <s v="Female"/>
    <x v="1"/>
    <x v="2"/>
    <n v="9.4"/>
    <n v="3.1"/>
    <n v="1"/>
    <x v="6"/>
    <x v="2"/>
    <x v="2"/>
    <x v="9"/>
    <x v="2"/>
    <n v="19.2"/>
    <x v="1"/>
    <n v="79.3"/>
    <n v="4"/>
    <s v="70-80%"/>
    <x v="1"/>
    <x v="3"/>
    <x v="1"/>
    <x v="106"/>
    <s v="1-4 hrs"/>
    <s v="&gt; 8 hrs"/>
    <x v="0"/>
  </r>
  <r>
    <x v="243"/>
    <n v="18"/>
    <s v="Prefer not to say"/>
    <x v="4"/>
    <x v="5"/>
    <n v="5.5"/>
    <n v="3.5"/>
    <n v="5"/>
    <x v="5"/>
    <x v="3"/>
    <x v="1"/>
    <x v="22"/>
    <x v="1"/>
    <n v="18.600000000000001"/>
    <x v="0"/>
    <n v="84.2"/>
    <n v="2"/>
    <s v="80-90%"/>
    <x v="0"/>
    <x v="4"/>
    <x v="1"/>
    <x v="78"/>
    <s v="1-4 hrs"/>
    <s v="4-6 hrs"/>
    <x v="2"/>
  </r>
  <r>
    <x v="244"/>
    <n v="26"/>
    <s v="Female"/>
    <x v="4"/>
    <x v="1"/>
    <n v="5"/>
    <n v="4.9000000000000004"/>
    <n v="2"/>
    <x v="8"/>
    <x v="3"/>
    <x v="1"/>
    <x v="4"/>
    <x v="1"/>
    <n v="20.8"/>
    <x v="0"/>
    <n v="74.2"/>
    <n v="2"/>
    <s v="70-80%"/>
    <x v="0"/>
    <x v="1"/>
    <x v="0"/>
    <x v="56"/>
    <s v="4-8 hrs"/>
    <s v="4-6 hrs"/>
    <x v="0"/>
  </r>
  <r>
    <x v="245"/>
    <n v="19"/>
    <s v="M"/>
    <x v="0"/>
    <x v="2"/>
    <n v="5.5"/>
    <n v="4.9000000000000004"/>
    <n v="3"/>
    <x v="25"/>
    <x v="22"/>
    <x v="0"/>
    <x v="12"/>
    <x v="0"/>
    <n v="7.9"/>
    <x v="2"/>
    <n v="64.7"/>
    <m/>
    <s v="60-70 %"/>
    <x v="0"/>
    <x v="2"/>
    <x v="0"/>
    <x v="11"/>
    <s v="4-8 hrs"/>
    <s v="4-6 hrs"/>
    <x v="1"/>
  </r>
  <r>
    <x v="246"/>
    <n v="19"/>
    <s v="Male"/>
    <x v="0"/>
    <x v="0"/>
    <n v="5.7"/>
    <n v="4.3"/>
    <n v="0"/>
    <x v="23"/>
    <x v="17"/>
    <x v="0"/>
    <x v="11"/>
    <x v="4"/>
    <n v="23"/>
    <x v="0"/>
    <n v="74.2"/>
    <n v="4"/>
    <s v="70-80%"/>
    <x v="0"/>
    <x v="1"/>
    <x v="1"/>
    <x v="113"/>
    <s v="4-8 hrs"/>
    <s v="4-6 hrs"/>
    <x v="1"/>
  </r>
  <r>
    <x v="247"/>
    <n v="25"/>
    <s v="Male"/>
    <x v="3"/>
    <x v="3"/>
    <n v="4.9000000000000004"/>
    <n v="5.7"/>
    <n v="3"/>
    <x v="9"/>
    <x v="3"/>
    <x v="1"/>
    <x v="13"/>
    <x v="1"/>
    <n v="20.5"/>
    <x v="1"/>
    <n v="72.599999999999994"/>
    <n v="4"/>
    <s v="70-80%"/>
    <x v="0"/>
    <x v="2"/>
    <x v="1"/>
    <x v="81"/>
    <s v="4-8 hrs"/>
    <s v="4-6 hrs"/>
    <x v="1"/>
  </r>
  <r>
    <x v="248"/>
    <n v="28"/>
    <s v="Female"/>
    <x v="2"/>
    <x v="0"/>
    <n v="3.3"/>
    <n v="2.2999999999999998"/>
    <n v="3"/>
    <x v="12"/>
    <x v="4"/>
    <x v="2"/>
    <x v="10"/>
    <x v="1"/>
    <n v="14.6"/>
    <x v="1"/>
    <n v="100"/>
    <n v="2"/>
    <s v="More than 90%"/>
    <x v="1"/>
    <x v="2"/>
    <x v="2"/>
    <x v="111"/>
    <s v="1-4 hrs"/>
    <s v="&lt; 4 hrs"/>
    <x v="0"/>
  </r>
  <r>
    <x v="249"/>
    <n v="19"/>
    <s v="Male"/>
    <x v="1"/>
    <x v="0"/>
    <n v="5.3"/>
    <n v="5"/>
    <n v="3"/>
    <x v="9"/>
    <x v="7"/>
    <x v="1"/>
    <x v="19"/>
    <x v="1"/>
    <n v="15.7"/>
    <x v="0"/>
    <n v="74.2"/>
    <n v="3"/>
    <s v="70-80%"/>
    <x v="0"/>
    <x v="1"/>
    <x v="1"/>
    <x v="89"/>
    <s v="4-8 hrs"/>
    <s v="4-6 hrs"/>
    <x v="1"/>
  </r>
  <r>
    <x v="250"/>
    <n v="21"/>
    <s v="Female"/>
    <x v="4"/>
    <x v="6"/>
    <n v="6.6"/>
    <n v="7"/>
    <n v="1"/>
    <x v="1"/>
    <x v="11"/>
    <x v="1"/>
    <x v="9"/>
    <x v="1"/>
    <n v="1"/>
    <x v="1"/>
    <n v="77.3"/>
    <n v="4"/>
    <s v="70-80%"/>
    <x v="0"/>
    <x v="1"/>
    <x v="1"/>
    <x v="75"/>
    <s v="4-8 hrs"/>
    <s v="6-8 hrs"/>
    <x v="0"/>
  </r>
  <r>
    <x v="251"/>
    <n v="22"/>
    <s v="Male"/>
    <x v="0"/>
    <x v="0"/>
    <n v="5.6"/>
    <n v="2.2999999999999998"/>
    <n v="4"/>
    <x v="22"/>
    <x v="14"/>
    <x v="3"/>
    <x v="15"/>
    <x v="4"/>
    <n v="12.8"/>
    <x v="0"/>
    <n v="100"/>
    <n v="2"/>
    <s v="More than 90%"/>
    <x v="0"/>
    <x v="3"/>
    <x v="0"/>
    <x v="5"/>
    <s v="1-4 hrs"/>
    <s v="4-6 hrs"/>
    <x v="1"/>
  </r>
  <r>
    <x v="252"/>
    <n v="25"/>
    <s v="Male"/>
    <x v="3"/>
    <x v="1"/>
    <n v="9.5"/>
    <n v="1"/>
    <n v="6"/>
    <x v="15"/>
    <x v="14"/>
    <x v="3"/>
    <x v="9"/>
    <x v="4"/>
    <n v="26.3"/>
    <x v="1"/>
    <n v="77.599999999999994"/>
    <n v="3"/>
    <s v="70-80%"/>
    <x v="0"/>
    <x v="2"/>
    <x v="1"/>
    <x v="7"/>
    <s v="1-4 hrs"/>
    <s v="&gt; 8 hrs"/>
    <x v="1"/>
  </r>
  <r>
    <x v="253"/>
    <n v="19"/>
    <s v="Male"/>
    <x v="3"/>
    <x v="1"/>
    <n v="5.3"/>
    <n v="8.1999999999999993"/>
    <n v="2"/>
    <x v="9"/>
    <x v="3"/>
    <x v="1"/>
    <x v="15"/>
    <x v="1"/>
    <n v="21.7"/>
    <x v="0"/>
    <n v="86.1"/>
    <n v="4"/>
    <s v="80-90%"/>
    <x v="0"/>
    <x v="2"/>
    <x v="0"/>
    <x v="96"/>
    <s v="8-12 hrs"/>
    <s v="4-6 hrs"/>
    <x v="1"/>
  </r>
  <r>
    <x v="254"/>
    <n v="21"/>
    <s v="Female"/>
    <x v="0"/>
    <x v="1"/>
    <n v="7.8"/>
    <n v="1.8"/>
    <n v="3"/>
    <x v="3"/>
    <x v="1"/>
    <x v="2"/>
    <x v="2"/>
    <x v="1"/>
    <n v="23.7"/>
    <x v="1"/>
    <n v="86.7"/>
    <n v="2"/>
    <s v="80-90%"/>
    <x v="0"/>
    <x v="0"/>
    <x v="0"/>
    <x v="56"/>
    <s v="1-4 hrs"/>
    <s v="6-8 hrs"/>
    <x v="0"/>
  </r>
  <r>
    <x v="255"/>
    <n v="23"/>
    <s v="Male"/>
    <x v="0"/>
    <x v="1"/>
    <n v="6.9"/>
    <n v="3"/>
    <n v="4"/>
    <x v="22"/>
    <x v="11"/>
    <x v="3"/>
    <x v="27"/>
    <x v="1"/>
    <n v="1"/>
    <x v="0"/>
    <n v="84.2"/>
    <n v="3"/>
    <s v="80-90%"/>
    <x v="1"/>
    <x v="4"/>
    <x v="0"/>
    <x v="23"/>
    <s v="1-4 hrs"/>
    <s v="6-8 hrs"/>
    <x v="1"/>
  </r>
  <r>
    <x v="256"/>
    <n v="22"/>
    <s v="Male"/>
    <x v="3"/>
    <x v="0"/>
    <n v="7.5"/>
    <n v="6.9"/>
    <n v="1"/>
    <x v="2"/>
    <x v="5"/>
    <x v="2"/>
    <x v="13"/>
    <x v="2"/>
    <n v="15.5"/>
    <x v="1"/>
    <n v="82"/>
    <m/>
    <s v="80-90%"/>
    <x v="0"/>
    <x v="2"/>
    <x v="0"/>
    <x v="3"/>
    <s v="4-8 hrs"/>
    <s v="6-8 hrs"/>
    <x v="1"/>
  </r>
  <r>
    <x v="257"/>
    <n v="21"/>
    <s v="Male"/>
    <x v="4"/>
    <x v="5"/>
    <n v="7"/>
    <n v="2.2000000000000002"/>
    <n v="5"/>
    <x v="9"/>
    <x v="11"/>
    <x v="1"/>
    <x v="19"/>
    <x v="1"/>
    <n v="15.7"/>
    <x v="0"/>
    <n v="83.5"/>
    <n v="5"/>
    <s v="80-90%"/>
    <x v="1"/>
    <x v="2"/>
    <x v="0"/>
    <x v="37"/>
    <s v="1-4 hrs"/>
    <s v="6-8 hrs"/>
    <x v="1"/>
  </r>
  <r>
    <x v="258"/>
    <n v="21"/>
    <s v="Non-binary"/>
    <x v="4"/>
    <x v="5"/>
    <n v="7.7"/>
    <n v="7.9"/>
    <n v="2"/>
    <x v="11"/>
    <x v="8"/>
    <x v="5"/>
    <x v="19"/>
    <x v="3"/>
    <n v="21"/>
    <x v="0"/>
    <n v="84.1"/>
    <n v="2"/>
    <s v="80-90%"/>
    <x v="1"/>
    <x v="2"/>
    <x v="0"/>
    <x v="63"/>
    <s v="4-8 hrs"/>
    <s v="6-8 hrs"/>
    <x v="3"/>
  </r>
  <r>
    <x v="259"/>
    <n v="19"/>
    <s v="Male"/>
    <x v="0"/>
    <x v="1"/>
    <n v="6.5"/>
    <n v="2.7"/>
    <n v="4"/>
    <x v="3"/>
    <x v="4"/>
    <x v="2"/>
    <x v="23"/>
    <x v="1"/>
    <n v="25.5"/>
    <x v="1"/>
    <n v="72.400000000000006"/>
    <m/>
    <s v="70-80%"/>
    <x v="0"/>
    <x v="2"/>
    <x v="1"/>
    <x v="112"/>
    <s v="1-4 hrs"/>
    <s v="6-8 hrs"/>
    <x v="1"/>
  </r>
  <r>
    <x v="260"/>
    <n v="21"/>
    <s v="Male"/>
    <x v="1"/>
    <x v="2"/>
    <n v="6.8"/>
    <n v="2.4"/>
    <n v="0"/>
    <x v="19"/>
    <x v="16"/>
    <x v="0"/>
    <x v="12"/>
    <x v="4"/>
    <n v="13.9"/>
    <x v="2"/>
    <n v="86.8"/>
    <m/>
    <s v="80-90%"/>
    <x v="0"/>
    <x v="3"/>
    <x v="1"/>
    <x v="94"/>
    <s v="1-4 hrs"/>
    <s v="6-8 hrs"/>
    <x v="1"/>
  </r>
  <r>
    <x v="261"/>
    <n v="21"/>
    <s v="Female"/>
    <x v="3"/>
    <x v="1"/>
    <n v="6.9"/>
    <n v="1.8"/>
    <n v="2"/>
    <x v="8"/>
    <x v="11"/>
    <x v="1"/>
    <x v="15"/>
    <x v="1"/>
    <n v="15.4"/>
    <x v="0"/>
    <n v="100"/>
    <n v="1"/>
    <s v="More than 90%"/>
    <x v="0"/>
    <x v="4"/>
    <x v="0"/>
    <x v="28"/>
    <s v="1-4 hrs"/>
    <s v="6-8 hrs"/>
    <x v="0"/>
  </r>
  <r>
    <x v="262"/>
    <n v="22"/>
    <s v="Female"/>
    <x v="4"/>
    <x v="3"/>
    <n v="5.8"/>
    <n v="2.7"/>
    <n v="3"/>
    <x v="16"/>
    <x v="16"/>
    <x v="3"/>
    <x v="27"/>
    <x v="4"/>
    <n v="7.7"/>
    <x v="0"/>
    <n v="92.5"/>
    <n v="2"/>
    <s v="More than 90%"/>
    <x v="0"/>
    <x v="1"/>
    <x v="1"/>
    <x v="53"/>
    <s v="1-4 hrs"/>
    <s v="4-6 hrs"/>
    <x v="0"/>
  </r>
  <r>
    <x v="263"/>
    <n v="20"/>
    <s v="Male"/>
    <x v="1"/>
    <x v="1"/>
    <n v="6.1"/>
    <n v="6.3"/>
    <n v="3"/>
    <x v="6"/>
    <x v="4"/>
    <x v="2"/>
    <x v="9"/>
    <x v="1"/>
    <n v="15.7"/>
    <x v="1"/>
    <n v="86.4"/>
    <n v="4"/>
    <s v="80-90%"/>
    <x v="0"/>
    <x v="1"/>
    <x v="1"/>
    <x v="120"/>
    <s v="4-8 hrs"/>
    <s v="6-8 hrs"/>
    <x v="1"/>
  </r>
  <r>
    <x v="264"/>
    <n v="22"/>
    <s v="Male"/>
    <x v="4"/>
    <x v="2"/>
    <n v="9.1999999999999993"/>
    <n v="3"/>
    <n v="5"/>
    <x v="5"/>
    <x v="4"/>
    <x v="1"/>
    <x v="10"/>
    <x v="1"/>
    <n v="8.6999999999999993"/>
    <x v="1"/>
    <n v="92.9"/>
    <n v="1"/>
    <s v="More than 90%"/>
    <x v="1"/>
    <x v="2"/>
    <x v="1"/>
    <x v="50"/>
    <s v="1-4 hrs"/>
    <s v="&gt; 8 hrs"/>
    <x v="1"/>
  </r>
  <r>
    <x v="265"/>
    <n v="24"/>
    <s v="Non-binary"/>
    <x v="1"/>
    <x v="0"/>
    <n v="5.2"/>
    <n v="8.1999999999999993"/>
    <n v="7"/>
    <x v="5"/>
    <x v="3"/>
    <x v="1"/>
    <x v="2"/>
    <x v="1"/>
    <n v="1.9"/>
    <x v="1"/>
    <n v="68.5"/>
    <n v="3"/>
    <s v="60-70 %"/>
    <x v="0"/>
    <x v="3"/>
    <x v="0"/>
    <x v="41"/>
    <s v="8-12 hrs"/>
    <s v="4-6 hrs"/>
    <x v="3"/>
  </r>
  <r>
    <x v="266"/>
    <n v="22"/>
    <s v="Male"/>
    <x v="0"/>
    <x v="5"/>
    <n v="6.9"/>
    <n v="4.5"/>
    <n v="0"/>
    <x v="1"/>
    <x v="7"/>
    <x v="1"/>
    <x v="1"/>
    <x v="1"/>
    <n v="7.4"/>
    <x v="0"/>
    <n v="74.400000000000006"/>
    <n v="1"/>
    <s v="70-80%"/>
    <x v="0"/>
    <x v="0"/>
    <x v="1"/>
    <x v="81"/>
    <s v="4-8 hrs"/>
    <s v="6-8 hrs"/>
    <x v="1"/>
  </r>
  <r>
    <x v="267"/>
    <n v="22"/>
    <s v="Female"/>
    <x v="1"/>
    <x v="0"/>
    <n v="7.4"/>
    <n v="4.7"/>
    <n v="2"/>
    <x v="6"/>
    <x v="5"/>
    <x v="2"/>
    <x v="29"/>
    <x v="2"/>
    <n v="30.4"/>
    <x v="1"/>
    <n v="99.6"/>
    <n v="3"/>
    <s v="More than 90%"/>
    <x v="0"/>
    <x v="2"/>
    <x v="0"/>
    <x v="98"/>
    <s v="4-8 hrs"/>
    <s v="6-8 hrs"/>
    <x v="0"/>
  </r>
  <r>
    <x v="268"/>
    <n v="22"/>
    <s v="Prefer not to say"/>
    <x v="3"/>
    <x v="5"/>
    <n v="8"/>
    <n v="2.4"/>
    <n v="2"/>
    <x v="3"/>
    <x v="4"/>
    <x v="2"/>
    <x v="13"/>
    <x v="1"/>
    <n v="16.7"/>
    <x v="1"/>
    <n v="99"/>
    <n v="1"/>
    <s v="More than 90%"/>
    <x v="0"/>
    <x v="3"/>
    <x v="0"/>
    <x v="20"/>
    <s v="1-4 hrs"/>
    <s v="6-8 hrs"/>
    <x v="2"/>
  </r>
  <r>
    <x v="269"/>
    <n v="22"/>
    <s v="Male"/>
    <x v="4"/>
    <x v="1"/>
    <n v="5.6"/>
    <n v="9"/>
    <n v="3"/>
    <x v="8"/>
    <x v="1"/>
    <x v="1"/>
    <x v="19"/>
    <x v="1"/>
    <n v="23.8"/>
    <x v="0"/>
    <n v="72.599999999999994"/>
    <n v="4"/>
    <s v="70-80%"/>
    <x v="0"/>
    <x v="1"/>
    <x v="0"/>
    <x v="106"/>
    <s v="8-12 hrs"/>
    <s v="4-6 hrs"/>
    <x v="1"/>
  </r>
  <r>
    <x v="270"/>
    <n v="20"/>
    <s v="Male"/>
    <x v="0"/>
    <x v="3"/>
    <n v="3.5"/>
    <n v="7.1"/>
    <n v="3"/>
    <x v="8"/>
    <x v="3"/>
    <x v="1"/>
    <x v="27"/>
    <x v="1"/>
    <n v="16.5"/>
    <x v="0"/>
    <n v="75.099999999999994"/>
    <n v="4"/>
    <s v="70-80%"/>
    <x v="1"/>
    <x v="4"/>
    <x v="1"/>
    <x v="53"/>
    <s v="4-8 hrs"/>
    <s v="&lt; 4 hrs"/>
    <x v="1"/>
  </r>
  <r>
    <x v="271"/>
    <n v="22"/>
    <s v="Prefer not to say"/>
    <x v="0"/>
    <x v="0"/>
    <n v="6.7"/>
    <n v="6.9"/>
    <n v="5"/>
    <x v="12"/>
    <x v="4"/>
    <x v="2"/>
    <x v="21"/>
    <x v="1"/>
    <n v="3.6"/>
    <x v="1"/>
    <n v="100"/>
    <n v="4"/>
    <s v="More than 90%"/>
    <x v="0"/>
    <x v="3"/>
    <x v="0"/>
    <x v="13"/>
    <s v="4-8 hrs"/>
    <s v="6-8 hrs"/>
    <x v="2"/>
  </r>
  <r>
    <x v="272"/>
    <n v="21"/>
    <s v="Female"/>
    <x v="2"/>
    <x v="5"/>
    <n v="4"/>
    <n v="3.9"/>
    <n v="4"/>
    <x v="12"/>
    <x v="3"/>
    <x v="2"/>
    <x v="19"/>
    <x v="1"/>
    <n v="27.3"/>
    <x v="0"/>
    <n v="79.2"/>
    <n v="2"/>
    <s v="70-80%"/>
    <x v="1"/>
    <x v="2"/>
    <x v="1"/>
    <x v="84"/>
    <s v="1-4 hrs"/>
    <s v="4-6 hrs"/>
    <x v="0"/>
  </r>
  <r>
    <x v="273"/>
    <n v="26"/>
    <s v="Male"/>
    <x v="2"/>
    <x v="4"/>
    <n v="8.1"/>
    <n v="1.6"/>
    <n v="0"/>
    <x v="17"/>
    <x v="9"/>
    <x v="2"/>
    <x v="6"/>
    <x v="2"/>
    <n v="2.9"/>
    <x v="1"/>
    <n v="100"/>
    <n v="5"/>
    <s v="More than 90%"/>
    <x v="1"/>
    <x v="1"/>
    <x v="2"/>
    <x v="112"/>
    <s v="1-4 hrs"/>
    <s v="&gt; 8 hrs"/>
    <x v="1"/>
  </r>
  <r>
    <x v="274"/>
    <n v="25"/>
    <s v="Female"/>
    <x v="4"/>
    <x v="6"/>
    <n v="6.4"/>
    <n v="4.9000000000000004"/>
    <n v="2"/>
    <x v="12"/>
    <x v="5"/>
    <x v="2"/>
    <x v="23"/>
    <x v="2"/>
    <n v="15.3"/>
    <x v="1"/>
    <n v="85.8"/>
    <n v="4"/>
    <s v="80-90%"/>
    <x v="1"/>
    <x v="3"/>
    <x v="0"/>
    <x v="52"/>
    <s v="4-8 hrs"/>
    <s v="6-8 hrs"/>
    <x v="0"/>
  </r>
  <r>
    <x v="275"/>
    <n v="22"/>
    <s v="Female"/>
    <x v="3"/>
    <x v="1"/>
    <n v="7"/>
    <n v="6.1"/>
    <n v="3"/>
    <x v="0"/>
    <x v="20"/>
    <x v="0"/>
    <x v="1"/>
    <x v="0"/>
    <n v="17.100000000000001"/>
    <x v="0"/>
    <n v="71.8"/>
    <n v="1"/>
    <s v="70-80%"/>
    <x v="1"/>
    <x v="4"/>
    <x v="1"/>
    <x v="1"/>
    <s v="4-8 hrs"/>
    <s v="6-8 hrs"/>
    <x v="0"/>
  </r>
  <r>
    <x v="276"/>
    <n v="20"/>
    <s v="Female"/>
    <x v="0"/>
    <x v="1"/>
    <n v="4.8"/>
    <n v="6.2"/>
    <n v="3"/>
    <x v="6"/>
    <x v="9"/>
    <x v="2"/>
    <x v="6"/>
    <x v="2"/>
    <n v="20.3"/>
    <x v="1"/>
    <n v="78.400000000000006"/>
    <n v="3"/>
    <s v="70-80%"/>
    <x v="1"/>
    <x v="2"/>
    <x v="0"/>
    <x v="21"/>
    <s v="4-8 hrs"/>
    <s v="4-6 hrs"/>
    <x v="0"/>
  </r>
  <r>
    <x v="277"/>
    <n v="19"/>
    <s v="Female"/>
    <x v="4"/>
    <x v="1"/>
    <n v="4.2"/>
    <n v="5.7"/>
    <n v="1"/>
    <x v="3"/>
    <x v="2"/>
    <x v="2"/>
    <x v="2"/>
    <x v="2"/>
    <n v="16.5"/>
    <x v="1"/>
    <n v="96.5"/>
    <n v="4"/>
    <s v="More than 90%"/>
    <x v="0"/>
    <x v="0"/>
    <x v="0"/>
    <x v="10"/>
    <s v="4-8 hrs"/>
    <s v="4-6 hrs"/>
    <x v="0"/>
  </r>
  <r>
    <x v="278"/>
    <n v="24"/>
    <s v="Male"/>
    <x v="1"/>
    <x v="1"/>
    <n v="6.2"/>
    <n v="5.5"/>
    <n v="2"/>
    <x v="3"/>
    <x v="3"/>
    <x v="2"/>
    <x v="10"/>
    <x v="1"/>
    <n v="9.4"/>
    <x v="1"/>
    <n v="96"/>
    <n v="3"/>
    <s v="More than 90%"/>
    <x v="0"/>
    <x v="3"/>
    <x v="0"/>
    <x v="86"/>
    <s v="4-8 hrs"/>
    <s v="6-8 hrs"/>
    <x v="1"/>
  </r>
  <r>
    <x v="279"/>
    <n v="22"/>
    <s v="Male"/>
    <x v="3"/>
    <x v="2"/>
    <n v="6.1"/>
    <n v="2.6"/>
    <n v="2"/>
    <x v="12"/>
    <x v="9"/>
    <x v="2"/>
    <x v="2"/>
    <x v="2"/>
    <n v="13.9"/>
    <x v="1"/>
    <n v="64.400000000000006"/>
    <n v="3"/>
    <s v="60-70 %"/>
    <x v="0"/>
    <x v="4"/>
    <x v="0"/>
    <x v="121"/>
    <s v="1-4 hrs"/>
    <s v="6-8 hrs"/>
    <x v="1"/>
  </r>
  <r>
    <x v="280"/>
    <n v="23"/>
    <s v="Female"/>
    <x v="4"/>
    <x v="6"/>
    <n v="5.5"/>
    <n v="2.7"/>
    <n v="1"/>
    <x v="4"/>
    <x v="18"/>
    <x v="3"/>
    <x v="22"/>
    <x v="4"/>
    <n v="11.7"/>
    <x v="0"/>
    <n v="69.2"/>
    <n v="4"/>
    <s v="60-70 %"/>
    <x v="0"/>
    <x v="3"/>
    <x v="0"/>
    <x v="48"/>
    <s v="1-4 hrs"/>
    <s v="4-6 hrs"/>
    <x v="0"/>
  </r>
  <r>
    <x v="281"/>
    <n v="18"/>
    <s v="Male"/>
    <x v="0"/>
    <x v="6"/>
    <n v="6"/>
    <n v="1.8"/>
    <n v="4"/>
    <x v="9"/>
    <x v="11"/>
    <x v="1"/>
    <x v="3"/>
    <x v="1"/>
    <n v="12"/>
    <x v="1"/>
    <n v="89.8"/>
    <n v="1"/>
    <s v="80-90%"/>
    <x v="1"/>
    <x v="1"/>
    <x v="0"/>
    <x v="88"/>
    <s v="1-4 hrs"/>
    <s v="4-6 hrs"/>
    <x v="1"/>
  </r>
  <r>
    <x v="282"/>
    <n v="23"/>
    <s v="Non-binary"/>
    <x v="0"/>
    <x v="2"/>
    <n v="8.8000000000000007"/>
    <n v="8.3000000000000007"/>
    <n v="2"/>
    <x v="1"/>
    <x v="11"/>
    <x v="1"/>
    <x v="9"/>
    <x v="1"/>
    <n v="24.5"/>
    <x v="1"/>
    <n v="76.900000000000006"/>
    <n v="5"/>
    <s v="70-80%"/>
    <x v="1"/>
    <x v="3"/>
    <x v="2"/>
    <x v="5"/>
    <s v="8-12 hrs"/>
    <s v="&gt; 8 hrs"/>
    <x v="3"/>
  </r>
  <r>
    <x v="283"/>
    <n v="22"/>
    <s v="M"/>
    <x v="2"/>
    <x v="5"/>
    <n v="6.4"/>
    <n v="13.1"/>
    <n v="3"/>
    <x v="3"/>
    <x v="4"/>
    <x v="2"/>
    <x v="13"/>
    <x v="1"/>
    <n v="9.5"/>
    <x v="1"/>
    <n v="69.7"/>
    <n v="2"/>
    <s v="60-70 %"/>
    <x v="0"/>
    <x v="3"/>
    <x v="1"/>
    <x v="18"/>
    <s v="12-16 hrs"/>
    <s v="6-8 hrs"/>
    <x v="1"/>
  </r>
  <r>
    <x v="284"/>
    <n v="19"/>
    <s v="Male"/>
    <x v="0"/>
    <x v="4"/>
    <n v="5.7"/>
    <n v="16"/>
    <n v="3"/>
    <x v="2"/>
    <x v="5"/>
    <x v="2"/>
    <x v="23"/>
    <x v="2"/>
    <n v="24"/>
    <x v="1"/>
    <n v="94.4"/>
    <n v="1"/>
    <s v="More than 90%"/>
    <x v="0"/>
    <x v="4"/>
    <x v="0"/>
    <x v="50"/>
    <s v="12-16 hrs"/>
    <s v="4-6 hrs"/>
    <x v="1"/>
  </r>
  <r>
    <x v="285"/>
    <n v="21"/>
    <s v="Female"/>
    <x v="1"/>
    <x v="3"/>
    <n v="6.8"/>
    <n v="5.0999999999999996"/>
    <n v="5"/>
    <x v="6"/>
    <x v="2"/>
    <x v="2"/>
    <x v="5"/>
    <x v="2"/>
    <n v="19.100000000000001"/>
    <x v="1"/>
    <n v="95.6"/>
    <n v="1"/>
    <s v="More than 90%"/>
    <x v="0"/>
    <x v="3"/>
    <x v="0"/>
    <x v="9"/>
    <s v="4-8 hrs"/>
    <s v="6-8 hrs"/>
    <x v="0"/>
  </r>
  <r>
    <x v="286"/>
    <n v="22"/>
    <s v="Male"/>
    <x v="1"/>
    <x v="1"/>
    <n v="8.5"/>
    <n v="5.5"/>
    <n v="1"/>
    <x v="9"/>
    <x v="2"/>
    <x v="1"/>
    <x v="8"/>
    <x v="2"/>
    <n v="28.5"/>
    <x v="1"/>
    <n v="74.8"/>
    <n v="3"/>
    <s v="70-80%"/>
    <x v="1"/>
    <x v="0"/>
    <x v="0"/>
    <x v="2"/>
    <s v="4-8 hrs"/>
    <s v="&gt; 8 hrs"/>
    <x v="1"/>
  </r>
  <r>
    <x v="287"/>
    <n v="22"/>
    <s v="Female"/>
    <x v="1"/>
    <x v="2"/>
    <n v="5.9"/>
    <n v="4"/>
    <n v="0"/>
    <x v="3"/>
    <x v="5"/>
    <x v="2"/>
    <x v="8"/>
    <x v="2"/>
    <n v="13.2"/>
    <x v="1"/>
    <n v="88"/>
    <n v="5"/>
    <s v="80-90%"/>
    <x v="0"/>
    <x v="2"/>
    <x v="0"/>
    <x v="10"/>
    <s v="4-8 hrs"/>
    <s v="4-6 hrs"/>
    <x v="0"/>
  </r>
  <r>
    <x v="288"/>
    <n v="21"/>
    <s v="Male"/>
    <x v="3"/>
    <x v="4"/>
    <n v="3.8"/>
    <n v="5.0999999999999996"/>
    <n v="2"/>
    <x v="12"/>
    <x v="5"/>
    <x v="2"/>
    <x v="10"/>
    <x v="2"/>
    <n v="26"/>
    <x v="1"/>
    <n v="64.5"/>
    <n v="4"/>
    <s v="60-70 %"/>
    <x v="0"/>
    <x v="4"/>
    <x v="1"/>
    <x v="81"/>
    <s v="4-8 hrs"/>
    <s v="&lt; 4 hrs"/>
    <x v="1"/>
  </r>
  <r>
    <x v="289"/>
    <n v="21"/>
    <s v="Female"/>
    <x v="4"/>
    <x v="1"/>
    <n v="6.5"/>
    <n v="2.2000000000000002"/>
    <n v="2"/>
    <x v="3"/>
    <x v="19"/>
    <x v="2"/>
    <x v="6"/>
    <x v="2"/>
    <n v="16.399999999999999"/>
    <x v="1"/>
    <n v="68.599999999999994"/>
    <n v="5"/>
    <s v="60-70 %"/>
    <x v="0"/>
    <x v="2"/>
    <x v="0"/>
    <x v="3"/>
    <s v="1-4 hrs"/>
    <s v="6-8 hrs"/>
    <x v="0"/>
  </r>
  <r>
    <x v="290"/>
    <n v="21"/>
    <s v="Female"/>
    <x v="4"/>
    <x v="0"/>
    <n v="7.5"/>
    <n v="4"/>
    <n v="2"/>
    <x v="17"/>
    <x v="10"/>
    <x v="2"/>
    <x v="23"/>
    <x v="2"/>
    <n v="21.6"/>
    <x v="1"/>
    <n v="82.3"/>
    <n v="3"/>
    <s v="80-90%"/>
    <x v="1"/>
    <x v="3"/>
    <x v="1"/>
    <x v="26"/>
    <s v="4-8 hrs"/>
    <s v="6-8 hrs"/>
    <x v="0"/>
  </r>
  <r>
    <x v="291"/>
    <n v="22"/>
    <s v="Female"/>
    <x v="1"/>
    <x v="6"/>
    <n v="4.9000000000000004"/>
    <n v="2.4"/>
    <n v="4"/>
    <x v="15"/>
    <x v="16"/>
    <x v="3"/>
    <x v="11"/>
    <x v="4"/>
    <n v="8.6999999999999993"/>
    <x v="0"/>
    <n v="74.2"/>
    <n v="3"/>
    <s v="70-80%"/>
    <x v="0"/>
    <x v="4"/>
    <x v="1"/>
    <x v="122"/>
    <s v="1-4 hrs"/>
    <s v="4-6 hrs"/>
    <x v="0"/>
  </r>
  <r>
    <x v="292"/>
    <n v="25"/>
    <s v="Non-binary"/>
    <x v="1"/>
    <x v="6"/>
    <n v="6.1"/>
    <n v="3.6"/>
    <n v="1"/>
    <x v="5"/>
    <x v="4"/>
    <x v="1"/>
    <x v="23"/>
    <x v="1"/>
    <n v="1"/>
    <x v="1"/>
    <n v="58.1"/>
    <n v="3"/>
    <s v="Less than 0%"/>
    <x v="0"/>
    <x v="1"/>
    <x v="0"/>
    <x v="4"/>
    <s v="1-4 hrs"/>
    <s v="6-8 hrs"/>
    <x v="3"/>
  </r>
  <r>
    <x v="293"/>
    <n v="17"/>
    <s v="Male"/>
    <x v="4"/>
    <x v="3"/>
    <n v="5.2"/>
    <n v="2.6"/>
    <n v="0"/>
    <x v="5"/>
    <x v="9"/>
    <x v="1"/>
    <x v="10"/>
    <x v="2"/>
    <n v="20.100000000000001"/>
    <x v="1"/>
    <n v="65.8"/>
    <n v="1"/>
    <s v="60-70 %"/>
    <x v="0"/>
    <x v="1"/>
    <x v="1"/>
    <x v="22"/>
    <s v="1-4 hrs"/>
    <s v="4-6 hrs"/>
    <x v="1"/>
  </r>
  <r>
    <x v="294"/>
    <n v="21"/>
    <s v="Female"/>
    <x v="3"/>
    <x v="4"/>
    <n v="8.6"/>
    <n v="6.2"/>
    <n v="2"/>
    <x v="25"/>
    <x v="18"/>
    <x v="0"/>
    <x v="20"/>
    <x v="4"/>
    <n v="22.7"/>
    <x v="0"/>
    <n v="58.3"/>
    <n v="5"/>
    <s v="Less than 0%"/>
    <x v="0"/>
    <x v="1"/>
    <x v="1"/>
    <x v="92"/>
    <s v="4-8 hrs"/>
    <s v="&gt; 8 hrs"/>
    <x v="0"/>
  </r>
  <r>
    <x v="295"/>
    <n v="22"/>
    <s v="Male"/>
    <x v="0"/>
    <x v="1"/>
    <n v="6.4"/>
    <n v="6.6"/>
    <n v="4"/>
    <x v="6"/>
    <x v="1"/>
    <x v="2"/>
    <x v="3"/>
    <x v="1"/>
    <n v="19.7"/>
    <x v="1"/>
    <n v="88"/>
    <n v="3"/>
    <s v="80-90%"/>
    <x v="0"/>
    <x v="1"/>
    <x v="1"/>
    <x v="121"/>
    <s v="4-8 hrs"/>
    <s v="6-8 hrs"/>
    <x v="1"/>
  </r>
  <r>
    <x v="296"/>
    <n v="22"/>
    <s v="Prefer not to say"/>
    <x v="1"/>
    <x v="0"/>
    <n v="6.6"/>
    <n v="5.4"/>
    <n v="5"/>
    <x v="3"/>
    <x v="3"/>
    <x v="2"/>
    <x v="5"/>
    <x v="1"/>
    <n v="12.7"/>
    <x v="1"/>
    <n v="55"/>
    <m/>
    <s v="Less than 0%"/>
    <x v="1"/>
    <x v="2"/>
    <x v="0"/>
    <x v="91"/>
    <s v="4-8 hrs"/>
    <s v="6-8 hrs"/>
    <x v="2"/>
  </r>
  <r>
    <x v="297"/>
    <n v="21"/>
    <s v="Female"/>
    <x v="0"/>
    <x v="2"/>
    <n v="6.9"/>
    <n v="2.8"/>
    <n v="4"/>
    <x v="3"/>
    <x v="5"/>
    <x v="2"/>
    <x v="13"/>
    <x v="2"/>
    <n v="28.6"/>
    <x v="1"/>
    <n v="63"/>
    <n v="3"/>
    <s v="60-70 %"/>
    <x v="0"/>
    <x v="2"/>
    <x v="2"/>
    <x v="24"/>
    <s v="1-4 hrs"/>
    <s v="6-8 hrs"/>
    <x v="0"/>
  </r>
  <r>
    <x v="298"/>
    <n v="18"/>
    <s v="Female"/>
    <x v="3"/>
    <x v="2"/>
    <n v="6.1"/>
    <n v="1.7"/>
    <n v="3"/>
    <x v="19"/>
    <x v="14"/>
    <x v="0"/>
    <x v="4"/>
    <x v="4"/>
    <n v="6.7"/>
    <x v="0"/>
    <n v="47.1"/>
    <n v="4"/>
    <s v="Less than 0%"/>
    <x v="1"/>
    <x v="1"/>
    <x v="0"/>
    <x v="123"/>
    <s v="1-4 hrs"/>
    <s v="6-8 hrs"/>
    <x v="0"/>
  </r>
  <r>
    <x v="299"/>
    <n v="22"/>
    <s v="Male"/>
    <x v="0"/>
    <x v="0"/>
    <n v="6.6"/>
    <n v="6.7"/>
    <n v="4"/>
    <x v="4"/>
    <x v="7"/>
    <x v="3"/>
    <x v="2"/>
    <x v="1"/>
    <n v="17.5"/>
    <x v="1"/>
    <n v="80.3"/>
    <n v="2"/>
    <s v="80-90%"/>
    <x v="0"/>
    <x v="1"/>
    <x v="1"/>
    <x v="30"/>
    <s v="4-8 hrs"/>
    <s v="6-8 hrs"/>
    <x v="1"/>
  </r>
  <r>
    <x v="300"/>
    <n v="25"/>
    <s v="Male"/>
    <x v="1"/>
    <x v="5"/>
    <n v="5.6"/>
    <n v="4.5"/>
    <n v="4"/>
    <x v="18"/>
    <x v="17"/>
    <x v="4"/>
    <x v="28"/>
    <x v="4"/>
    <n v="21.4"/>
    <x v="0"/>
    <n v="50.2"/>
    <n v="4"/>
    <s v="Less than 0%"/>
    <x v="0"/>
    <x v="4"/>
    <x v="0"/>
    <x v="86"/>
    <s v="4-8 hrs"/>
    <s v="4-6 hrs"/>
    <x v="1"/>
  </r>
  <r>
    <x v="301"/>
    <n v="18"/>
    <s v="Female"/>
    <x v="0"/>
    <x v="0"/>
    <n v="3.9"/>
    <n v="1"/>
    <n v="1"/>
    <x v="6"/>
    <x v="2"/>
    <x v="2"/>
    <x v="10"/>
    <x v="2"/>
    <n v="31.6"/>
    <x v="1"/>
    <n v="87.1"/>
    <n v="4"/>
    <s v="80-90%"/>
    <x v="0"/>
    <x v="2"/>
    <x v="1"/>
    <x v="121"/>
    <s v="1-4 hrs"/>
    <s v="&lt; 4 hrs"/>
    <x v="0"/>
  </r>
  <r>
    <x v="302"/>
    <n v="23"/>
    <s v="Female"/>
    <x v="3"/>
    <x v="5"/>
    <n v="6"/>
    <n v="4.9000000000000004"/>
    <n v="3"/>
    <x v="6"/>
    <x v="3"/>
    <x v="2"/>
    <x v="6"/>
    <x v="1"/>
    <n v="16.100000000000001"/>
    <x v="1"/>
    <n v="100"/>
    <n v="4"/>
    <s v="More than 90%"/>
    <x v="0"/>
    <x v="3"/>
    <x v="2"/>
    <x v="57"/>
    <s v="4-8 hrs"/>
    <s v="4-6 hrs"/>
    <x v="0"/>
  </r>
  <r>
    <x v="303"/>
    <n v="21"/>
    <s v="Male"/>
    <x v="1"/>
    <x v="0"/>
    <n v="5.8"/>
    <n v="5.6"/>
    <n v="4"/>
    <x v="11"/>
    <x v="8"/>
    <x v="5"/>
    <x v="6"/>
    <x v="3"/>
    <n v="14.9"/>
    <x v="1"/>
    <n v="100"/>
    <n v="1"/>
    <s v="More than 90%"/>
    <x v="0"/>
    <x v="2"/>
    <x v="0"/>
    <x v="124"/>
    <s v="4-8 hrs"/>
    <s v="4-6 hrs"/>
    <x v="1"/>
  </r>
  <r>
    <x v="304"/>
    <n v="21"/>
    <s v="Female"/>
    <x v="0"/>
    <x v="0"/>
    <n v="8"/>
    <n v="1.3"/>
    <n v="2"/>
    <x v="10"/>
    <x v="4"/>
    <x v="1"/>
    <x v="13"/>
    <x v="1"/>
    <n v="6.7"/>
    <x v="1"/>
    <n v="56"/>
    <n v="2"/>
    <s v="Less than 0%"/>
    <x v="0"/>
    <x v="2"/>
    <x v="1"/>
    <x v="75"/>
    <s v="1-4 hrs"/>
    <s v="6-8 hrs"/>
    <x v="0"/>
  </r>
  <r>
    <x v="305"/>
    <n v="19"/>
    <s v="Female"/>
    <x v="3"/>
    <x v="1"/>
    <n v="7.8"/>
    <n v="6.2"/>
    <n v="3"/>
    <x v="12"/>
    <x v="5"/>
    <x v="2"/>
    <x v="23"/>
    <x v="2"/>
    <n v="32.700000000000003"/>
    <x v="1"/>
    <n v="89.5"/>
    <n v="3"/>
    <s v="80-90%"/>
    <x v="0"/>
    <x v="2"/>
    <x v="0"/>
    <x v="7"/>
    <s v="4-8 hrs"/>
    <s v="6-8 hrs"/>
    <x v="0"/>
  </r>
  <r>
    <x v="306"/>
    <n v="21"/>
    <s v="Non-binary"/>
    <x v="3"/>
    <x v="1"/>
    <n v="8.3000000000000007"/>
    <n v="1.4"/>
    <n v="3"/>
    <x v="23"/>
    <x v="17"/>
    <x v="0"/>
    <x v="20"/>
    <x v="4"/>
    <n v="20.9"/>
    <x v="0"/>
    <n v="61.3"/>
    <n v="5"/>
    <s v="60-70 %"/>
    <x v="0"/>
    <x v="1"/>
    <x v="1"/>
    <x v="7"/>
    <s v="1-4 hrs"/>
    <s v="&gt; 8 hrs"/>
    <x v="3"/>
  </r>
  <r>
    <x v="307"/>
    <n v="24"/>
    <s v="Male"/>
    <x v="3"/>
    <x v="4"/>
    <n v="5.4"/>
    <n v="2.5"/>
    <n v="3"/>
    <x v="6"/>
    <x v="19"/>
    <x v="2"/>
    <x v="6"/>
    <x v="2"/>
    <n v="24"/>
    <x v="1"/>
    <n v="65.7"/>
    <n v="5"/>
    <s v="60-70 %"/>
    <x v="0"/>
    <x v="2"/>
    <x v="0"/>
    <x v="112"/>
    <s v="1-4 hrs"/>
    <s v="4-6 hrs"/>
    <x v="1"/>
  </r>
  <r>
    <x v="308"/>
    <n v="23"/>
    <s v="F"/>
    <x v="1"/>
    <x v="0"/>
    <n v="6.3"/>
    <n v="1.4"/>
    <n v="0"/>
    <x v="22"/>
    <x v="11"/>
    <x v="3"/>
    <x v="11"/>
    <x v="1"/>
    <n v="36.9"/>
    <x v="0"/>
    <n v="78"/>
    <n v="4"/>
    <s v="70-80%"/>
    <x v="0"/>
    <x v="0"/>
    <x v="1"/>
    <x v="120"/>
    <s v="1-4 hrs"/>
    <s v="6-8 hrs"/>
    <x v="0"/>
  </r>
  <r>
    <x v="309"/>
    <n v="25"/>
    <s v="Male"/>
    <x v="3"/>
    <x v="1"/>
    <n v="7.2"/>
    <n v="2.2999999999999998"/>
    <n v="3"/>
    <x v="6"/>
    <x v="3"/>
    <x v="2"/>
    <x v="13"/>
    <x v="1"/>
    <n v="25.4"/>
    <x v="1"/>
    <n v="100"/>
    <n v="2"/>
    <s v="More than 90%"/>
    <x v="0"/>
    <x v="2"/>
    <x v="2"/>
    <x v="38"/>
    <s v="1-4 hrs"/>
    <s v="6-8 hrs"/>
    <x v="1"/>
  </r>
  <r>
    <x v="310"/>
    <n v="24"/>
    <s v="Male"/>
    <x v="2"/>
    <x v="5"/>
    <n v="9.5"/>
    <n v="1.7"/>
    <n v="5"/>
    <x v="12"/>
    <x v="9"/>
    <x v="2"/>
    <x v="23"/>
    <x v="2"/>
    <n v="11.6"/>
    <x v="1"/>
    <n v="89.7"/>
    <n v="2"/>
    <s v="80-90%"/>
    <x v="1"/>
    <x v="1"/>
    <x v="0"/>
    <x v="63"/>
    <s v="1-4 hrs"/>
    <s v="&gt; 8 hrs"/>
    <x v="1"/>
  </r>
  <r>
    <x v="311"/>
    <n v="22"/>
    <s v="M"/>
    <x v="1"/>
    <x v="2"/>
    <n v="7.2"/>
    <n v="8.3000000000000007"/>
    <n v="1"/>
    <x v="8"/>
    <x v="16"/>
    <x v="1"/>
    <x v="4"/>
    <x v="4"/>
    <n v="18.3"/>
    <x v="0"/>
    <n v="65.400000000000006"/>
    <n v="4"/>
    <s v="60-70 %"/>
    <x v="0"/>
    <x v="4"/>
    <x v="2"/>
    <x v="66"/>
    <s v="8-12 hrs"/>
    <s v="6-8 hrs"/>
    <x v="1"/>
  </r>
  <r>
    <x v="312"/>
    <n v="25"/>
    <s v="Female"/>
    <x v="4"/>
    <x v="1"/>
    <n v="7.9"/>
    <n v="3.8"/>
    <n v="2"/>
    <x v="12"/>
    <x v="3"/>
    <x v="2"/>
    <x v="3"/>
    <x v="1"/>
    <n v="13.1"/>
    <x v="1"/>
    <n v="90.4"/>
    <n v="2"/>
    <s v="More than 90%"/>
    <x v="1"/>
    <x v="2"/>
    <x v="2"/>
    <x v="88"/>
    <s v="1-4 hrs"/>
    <s v="6-8 hrs"/>
    <x v="0"/>
  </r>
  <r>
    <x v="313"/>
    <n v="22"/>
    <s v="Male"/>
    <x v="2"/>
    <x v="0"/>
    <n v="6"/>
    <n v="3.2"/>
    <n v="0"/>
    <x v="6"/>
    <x v="1"/>
    <x v="2"/>
    <x v="19"/>
    <x v="1"/>
    <n v="12.9"/>
    <x v="0"/>
    <n v="47.9"/>
    <n v="3"/>
    <s v="Less than 0%"/>
    <x v="1"/>
    <x v="2"/>
    <x v="1"/>
    <x v="107"/>
    <s v="1-4 hrs"/>
    <s v="4-6 hrs"/>
    <x v="1"/>
  </r>
  <r>
    <x v="314"/>
    <n v="23"/>
    <s v="Female"/>
    <x v="3"/>
    <x v="1"/>
    <n v="5"/>
    <n v="8.6999999999999993"/>
    <n v="0"/>
    <x v="6"/>
    <x v="13"/>
    <x v="2"/>
    <x v="3"/>
    <x v="4"/>
    <n v="20.3"/>
    <x v="1"/>
    <n v="72.3"/>
    <n v="4"/>
    <s v="70-80%"/>
    <x v="0"/>
    <x v="2"/>
    <x v="0"/>
    <x v="63"/>
    <s v="8-12 hrs"/>
    <s v="4-6 hrs"/>
    <x v="0"/>
  </r>
  <r>
    <x v="315"/>
    <n v="21"/>
    <s v="Male"/>
    <x v="0"/>
    <x v="5"/>
    <n v="7"/>
    <n v="8.5"/>
    <n v="7"/>
    <x v="3"/>
    <x v="3"/>
    <x v="2"/>
    <x v="9"/>
    <x v="1"/>
    <n v="14.4"/>
    <x v="1"/>
    <n v="70.599999999999994"/>
    <n v="3"/>
    <s v="70-80%"/>
    <x v="0"/>
    <x v="2"/>
    <x v="2"/>
    <x v="97"/>
    <s v="8-12 hrs"/>
    <s v="6-8 hrs"/>
    <x v="1"/>
  </r>
  <r>
    <x v="316"/>
    <n v="22"/>
    <s v="Female"/>
    <x v="4"/>
    <x v="1"/>
    <n v="4.5999999999999996"/>
    <n v="3.4"/>
    <n v="3"/>
    <x v="7"/>
    <x v="21"/>
    <x v="4"/>
    <x v="30"/>
    <x v="0"/>
    <n v="7.9"/>
    <x v="2"/>
    <n v="74"/>
    <n v="3"/>
    <s v="70-80%"/>
    <x v="0"/>
    <x v="0"/>
    <x v="1"/>
    <x v="125"/>
    <s v="1-4 hrs"/>
    <s v="4-6 hrs"/>
    <x v="0"/>
  </r>
  <r>
    <x v="317"/>
    <n v="20"/>
    <s v="Female"/>
    <x v="0"/>
    <x v="1"/>
    <n v="5.4"/>
    <n v="5.3"/>
    <n v="2"/>
    <x v="10"/>
    <x v="11"/>
    <x v="1"/>
    <x v="1"/>
    <x v="1"/>
    <n v="29.7"/>
    <x v="0"/>
    <n v="77.8"/>
    <n v="1"/>
    <s v="70-80%"/>
    <x v="0"/>
    <x v="4"/>
    <x v="1"/>
    <x v="67"/>
    <s v="4-8 hrs"/>
    <s v="4-6 hrs"/>
    <x v="0"/>
  </r>
  <r>
    <x v="318"/>
    <n v="24"/>
    <s v="Female"/>
    <x v="1"/>
    <x v="1"/>
    <n v="6.1"/>
    <n v="2.9"/>
    <n v="2"/>
    <x v="6"/>
    <x v="5"/>
    <x v="2"/>
    <x v="8"/>
    <x v="2"/>
    <n v="23.5"/>
    <x v="1"/>
    <n v="82.6"/>
    <n v="3"/>
    <s v="80-90%"/>
    <x v="1"/>
    <x v="4"/>
    <x v="1"/>
    <x v="96"/>
    <s v="1-4 hrs"/>
    <s v="6-8 hrs"/>
    <x v="0"/>
  </r>
  <r>
    <x v="319"/>
    <n v="19"/>
    <s v="Male"/>
    <x v="1"/>
    <x v="2"/>
    <n v="7.9"/>
    <n v="4.2"/>
    <n v="7"/>
    <x v="12"/>
    <x v="9"/>
    <x v="2"/>
    <x v="3"/>
    <x v="2"/>
    <n v="14"/>
    <x v="1"/>
    <n v="75.099999999999994"/>
    <n v="4"/>
    <s v="70-80%"/>
    <x v="1"/>
    <x v="2"/>
    <x v="1"/>
    <x v="92"/>
    <s v="4-8 hrs"/>
    <s v="6-8 hrs"/>
    <x v="1"/>
  </r>
  <r>
    <x v="320"/>
    <n v="23"/>
    <s v="Male"/>
    <x v="3"/>
    <x v="1"/>
    <n v="6.4"/>
    <n v="2"/>
    <n v="1"/>
    <x v="5"/>
    <x v="9"/>
    <x v="1"/>
    <x v="3"/>
    <x v="2"/>
    <n v="26.8"/>
    <x v="1"/>
    <n v="78.2"/>
    <n v="3"/>
    <s v="70-80%"/>
    <x v="1"/>
    <x v="2"/>
    <x v="2"/>
    <x v="35"/>
    <s v="1-4 hrs"/>
    <s v="6-8 hrs"/>
    <x v="1"/>
  </r>
  <r>
    <x v="321"/>
    <n v="21"/>
    <s v="Male"/>
    <x v="0"/>
    <x v="4"/>
    <n v="3.3"/>
    <n v="5.9"/>
    <n v="4"/>
    <x v="2"/>
    <x v="5"/>
    <x v="2"/>
    <x v="5"/>
    <x v="2"/>
    <n v="26.9"/>
    <x v="1"/>
    <n v="81.099999999999994"/>
    <n v="2"/>
    <s v="80-90%"/>
    <x v="1"/>
    <x v="0"/>
    <x v="0"/>
    <x v="126"/>
    <s v="4-8 hrs"/>
    <s v="&lt; 4 hrs"/>
    <x v="1"/>
  </r>
  <r>
    <x v="322"/>
    <n v="24"/>
    <s v="Female"/>
    <x v="2"/>
    <x v="1"/>
    <n v="6.7"/>
    <n v="9"/>
    <n v="2"/>
    <x v="2"/>
    <x v="10"/>
    <x v="2"/>
    <x v="23"/>
    <x v="2"/>
    <n v="26"/>
    <x v="1"/>
    <n v="84.8"/>
    <n v="2"/>
    <s v="80-90%"/>
    <x v="0"/>
    <x v="2"/>
    <x v="0"/>
    <x v="105"/>
    <s v="8-12 hrs"/>
    <s v="6-8 hrs"/>
    <x v="0"/>
  </r>
  <r>
    <x v="323"/>
    <n v="23"/>
    <s v="Male"/>
    <x v="2"/>
    <x v="2"/>
    <n v="5.0999999999999996"/>
    <n v="8"/>
    <n v="0"/>
    <x v="6"/>
    <x v="5"/>
    <x v="2"/>
    <x v="9"/>
    <x v="2"/>
    <n v="23.8"/>
    <x v="1"/>
    <n v="75.400000000000006"/>
    <n v="2"/>
    <s v="70-80%"/>
    <x v="0"/>
    <x v="2"/>
    <x v="2"/>
    <x v="127"/>
    <s v="8-12 hrs"/>
    <s v="4-6 hrs"/>
    <x v="1"/>
  </r>
  <r>
    <x v="324"/>
    <n v="25"/>
    <s v="Female"/>
    <x v="3"/>
    <x v="0"/>
    <n v="6.4"/>
    <n v="4.5999999999999996"/>
    <n v="4"/>
    <x v="12"/>
    <x v="9"/>
    <x v="2"/>
    <x v="5"/>
    <x v="2"/>
    <n v="15.9"/>
    <x v="1"/>
    <n v="87.4"/>
    <n v="4"/>
    <s v="80-90%"/>
    <x v="0"/>
    <x v="1"/>
    <x v="1"/>
    <x v="128"/>
    <s v="4-8 hrs"/>
    <s v="6-8 hrs"/>
    <x v="0"/>
  </r>
  <r>
    <x v="325"/>
    <n v="23"/>
    <s v="Female"/>
    <x v="0"/>
    <x v="0"/>
    <n v="6.9"/>
    <n v="1"/>
    <n v="0"/>
    <x v="22"/>
    <x v="11"/>
    <x v="3"/>
    <x v="4"/>
    <x v="1"/>
    <n v="21.4"/>
    <x v="0"/>
    <n v="84.6"/>
    <n v="4"/>
    <s v="80-90%"/>
    <x v="1"/>
    <x v="0"/>
    <x v="0"/>
    <x v="103"/>
    <s v="1-4 hrs"/>
    <s v="6-8 hrs"/>
    <x v="0"/>
  </r>
  <r>
    <x v="326"/>
    <n v="18"/>
    <s v="Male"/>
    <x v="1"/>
    <x v="1"/>
    <n v="6.3"/>
    <n v="2.8"/>
    <n v="3"/>
    <x v="6"/>
    <x v="19"/>
    <x v="2"/>
    <x v="23"/>
    <x v="2"/>
    <n v="30.1"/>
    <x v="1"/>
    <n v="73.400000000000006"/>
    <n v="3"/>
    <s v="70-80%"/>
    <x v="0"/>
    <x v="1"/>
    <x v="1"/>
    <x v="77"/>
    <s v="1-4 hrs"/>
    <s v="6-8 hrs"/>
    <x v="1"/>
  </r>
  <r>
    <x v="327"/>
    <n v="21"/>
    <s v="Male"/>
    <x v="4"/>
    <x v="4"/>
    <n v="7.3"/>
    <n v="4.2"/>
    <n v="1"/>
    <x v="6"/>
    <x v="10"/>
    <x v="2"/>
    <x v="21"/>
    <x v="2"/>
    <n v="20"/>
    <x v="1"/>
    <n v="81.7"/>
    <n v="3"/>
    <s v="80-90%"/>
    <x v="1"/>
    <x v="3"/>
    <x v="1"/>
    <x v="59"/>
    <s v="4-8 hrs"/>
    <s v="6-8 hrs"/>
    <x v="1"/>
  </r>
  <r>
    <x v="328"/>
    <n v="19"/>
    <s v="Male"/>
    <x v="3"/>
    <x v="3"/>
    <n v="5.2"/>
    <n v="1.5"/>
    <n v="4"/>
    <x v="6"/>
    <x v="2"/>
    <x v="2"/>
    <x v="2"/>
    <x v="2"/>
    <n v="15.9"/>
    <x v="1"/>
    <n v="93.5"/>
    <n v="2"/>
    <s v="More than 90%"/>
    <x v="0"/>
    <x v="1"/>
    <x v="1"/>
    <x v="98"/>
    <s v="1-4 hrs"/>
    <s v="4-6 hrs"/>
    <x v="1"/>
  </r>
  <r>
    <x v="329"/>
    <n v="20"/>
    <s v="Male"/>
    <x v="2"/>
    <x v="1"/>
    <n v="6.1"/>
    <n v="1.3"/>
    <n v="4"/>
    <x v="23"/>
    <x v="16"/>
    <x v="0"/>
    <x v="27"/>
    <x v="4"/>
    <n v="32.1"/>
    <x v="0"/>
    <n v="65.400000000000006"/>
    <n v="3"/>
    <s v="60-70 %"/>
    <x v="0"/>
    <x v="1"/>
    <x v="1"/>
    <x v="66"/>
    <s v="1-4 hrs"/>
    <s v="6-8 hrs"/>
    <x v="1"/>
  </r>
  <r>
    <x v="330"/>
    <n v="25"/>
    <s v="Male"/>
    <x v="4"/>
    <x v="1"/>
    <n v="6.3"/>
    <n v="10.5"/>
    <n v="4"/>
    <x v="5"/>
    <x v="3"/>
    <x v="1"/>
    <x v="19"/>
    <x v="1"/>
    <n v="18.100000000000001"/>
    <x v="0"/>
    <n v="100"/>
    <n v="1"/>
    <s v="More than 90%"/>
    <x v="1"/>
    <x v="3"/>
    <x v="1"/>
    <x v="32"/>
    <s v="8-12 hrs"/>
    <s v="6-8 hrs"/>
    <x v="1"/>
  </r>
  <r>
    <x v="331"/>
    <n v="23"/>
    <s v="F"/>
    <x v="3"/>
    <x v="3"/>
    <n v="4.9000000000000004"/>
    <n v="7.4"/>
    <n v="0"/>
    <x v="17"/>
    <x v="2"/>
    <x v="2"/>
    <x v="16"/>
    <x v="2"/>
    <n v="25.7"/>
    <x v="1"/>
    <n v="64.3"/>
    <n v="5"/>
    <s v="60-70 %"/>
    <x v="0"/>
    <x v="2"/>
    <x v="0"/>
    <x v="129"/>
    <s v="4-8 hrs"/>
    <s v="4-6 hrs"/>
    <x v="0"/>
  </r>
  <r>
    <x v="332"/>
    <n v="20"/>
    <s v="Female"/>
    <x v="3"/>
    <x v="2"/>
    <n v="4.3"/>
    <n v="6.1"/>
    <n v="4"/>
    <x v="9"/>
    <x v="7"/>
    <x v="1"/>
    <x v="9"/>
    <x v="1"/>
    <n v="18.5"/>
    <x v="1"/>
    <n v="76.900000000000006"/>
    <m/>
    <s v="70-80%"/>
    <x v="0"/>
    <x v="1"/>
    <x v="1"/>
    <x v="59"/>
    <s v="4-8 hrs"/>
    <s v="4-6 hrs"/>
    <x v="0"/>
  </r>
  <r>
    <x v="333"/>
    <n v="19"/>
    <s v="Male"/>
    <x v="4"/>
    <x v="1"/>
    <n v="7.1"/>
    <n v="6.9"/>
    <n v="7"/>
    <x v="9"/>
    <x v="1"/>
    <x v="1"/>
    <x v="4"/>
    <x v="1"/>
    <n v="13.9"/>
    <x v="0"/>
    <n v="68.5"/>
    <n v="3"/>
    <s v="60-70 %"/>
    <x v="1"/>
    <x v="2"/>
    <x v="1"/>
    <x v="86"/>
    <s v="4-8 hrs"/>
    <s v="6-8 hrs"/>
    <x v="1"/>
  </r>
  <r>
    <x v="334"/>
    <n v="22"/>
    <s v="Female"/>
    <x v="3"/>
    <x v="1"/>
    <n v="7.9"/>
    <n v="1.8"/>
    <n v="1"/>
    <x v="11"/>
    <x v="8"/>
    <x v="5"/>
    <x v="16"/>
    <x v="3"/>
    <n v="17.5"/>
    <x v="1"/>
    <n v="100"/>
    <n v="1"/>
    <s v="More than 90%"/>
    <x v="0"/>
    <x v="0"/>
    <x v="0"/>
    <x v="28"/>
    <s v="1-4 hrs"/>
    <s v="6-8 hrs"/>
    <x v="0"/>
  </r>
  <r>
    <x v="335"/>
    <n v="19"/>
    <s v="Female"/>
    <x v="0"/>
    <x v="5"/>
    <n v="6.9"/>
    <n v="2.2999999999999998"/>
    <n v="2"/>
    <x v="4"/>
    <x v="13"/>
    <x v="3"/>
    <x v="20"/>
    <x v="4"/>
    <n v="11.6"/>
    <x v="0"/>
    <n v="67.8"/>
    <n v="4"/>
    <s v="60-70 %"/>
    <x v="0"/>
    <x v="2"/>
    <x v="1"/>
    <x v="13"/>
    <s v="1-4 hrs"/>
    <s v="6-8 hrs"/>
    <x v="0"/>
  </r>
  <r>
    <x v="336"/>
    <n v="20"/>
    <s v="Male"/>
    <x v="4"/>
    <x v="5"/>
    <n v="3.2"/>
    <n v="5.0999999999999996"/>
    <n v="4"/>
    <x v="2"/>
    <x v="5"/>
    <x v="2"/>
    <x v="23"/>
    <x v="2"/>
    <n v="14"/>
    <x v="1"/>
    <n v="72.099999999999994"/>
    <m/>
    <s v="70-80%"/>
    <x v="1"/>
    <x v="3"/>
    <x v="0"/>
    <x v="129"/>
    <s v="4-8 hrs"/>
    <s v="&lt; 4 hrs"/>
    <x v="1"/>
  </r>
  <r>
    <x v="337"/>
    <n v="22"/>
    <s v="Female"/>
    <x v="0"/>
    <x v="2"/>
    <n v="7"/>
    <n v="5.4"/>
    <n v="1"/>
    <x v="6"/>
    <x v="3"/>
    <x v="2"/>
    <x v="2"/>
    <x v="1"/>
    <n v="7.2"/>
    <x v="1"/>
    <n v="75.3"/>
    <n v="5"/>
    <s v="70-80%"/>
    <x v="1"/>
    <x v="1"/>
    <x v="2"/>
    <x v="86"/>
    <s v="4-8 hrs"/>
    <s v="6-8 hrs"/>
    <x v="0"/>
  </r>
  <r>
    <x v="338"/>
    <n v="24"/>
    <s v="Female"/>
    <x v="1"/>
    <x v="3"/>
    <n v="4.5999999999999996"/>
    <n v="1.5"/>
    <n v="3"/>
    <x v="15"/>
    <x v="17"/>
    <x v="3"/>
    <x v="20"/>
    <x v="4"/>
    <n v="13.4"/>
    <x v="0"/>
    <n v="74.8"/>
    <n v="1"/>
    <s v="70-80%"/>
    <x v="0"/>
    <x v="2"/>
    <x v="0"/>
    <x v="121"/>
    <s v="1-4 hrs"/>
    <s v="4-6 hrs"/>
    <x v="0"/>
  </r>
  <r>
    <x v="339"/>
    <n v="23"/>
    <s v="Female"/>
    <x v="1"/>
    <x v="0"/>
    <n v="6.4"/>
    <n v="4.9000000000000004"/>
    <n v="4"/>
    <x v="11"/>
    <x v="8"/>
    <x v="5"/>
    <x v="19"/>
    <x v="3"/>
    <n v="20.2"/>
    <x v="0"/>
    <n v="75.099999999999994"/>
    <n v="4"/>
    <s v="70-80%"/>
    <x v="0"/>
    <x v="0"/>
    <x v="0"/>
    <x v="71"/>
    <s v="4-8 hrs"/>
    <s v="6-8 hrs"/>
    <x v="0"/>
  </r>
  <r>
    <x v="340"/>
    <n v="17"/>
    <s v="Female"/>
    <x v="3"/>
    <x v="1"/>
    <n v="5.9"/>
    <n v="4.2"/>
    <n v="0"/>
    <x v="9"/>
    <x v="7"/>
    <x v="1"/>
    <x v="9"/>
    <x v="1"/>
    <n v="29.9"/>
    <x v="1"/>
    <n v="79.2"/>
    <n v="4"/>
    <s v="70-80%"/>
    <x v="0"/>
    <x v="2"/>
    <x v="0"/>
    <x v="51"/>
    <s v="4-8 hrs"/>
    <s v="4-6 hrs"/>
    <x v="0"/>
  </r>
  <r>
    <x v="341"/>
    <n v="22"/>
    <s v="F"/>
    <x v="2"/>
    <x v="0"/>
    <n v="4.5"/>
    <n v="7.8"/>
    <n v="3"/>
    <x v="12"/>
    <x v="19"/>
    <x v="2"/>
    <x v="3"/>
    <x v="2"/>
    <n v="20.8"/>
    <x v="1"/>
    <n v="31.8"/>
    <n v="2"/>
    <s v="Less than 0%"/>
    <x v="0"/>
    <x v="1"/>
    <x v="0"/>
    <x v="130"/>
    <s v="4-8 hrs"/>
    <s v="4-6 hrs"/>
    <x v="0"/>
  </r>
  <r>
    <x v="342"/>
    <n v="22"/>
    <s v="Female"/>
    <x v="1"/>
    <x v="0"/>
    <n v="5.5"/>
    <n v="5.4"/>
    <n v="3"/>
    <x v="0"/>
    <x v="14"/>
    <x v="0"/>
    <x v="28"/>
    <x v="4"/>
    <n v="1"/>
    <x v="0"/>
    <n v="70.900000000000006"/>
    <n v="2"/>
    <s v="70-80%"/>
    <x v="0"/>
    <x v="1"/>
    <x v="2"/>
    <x v="131"/>
    <s v="4-8 hrs"/>
    <s v="4-6 hrs"/>
    <x v="0"/>
  </r>
  <r>
    <x v="343"/>
    <n v="22"/>
    <s v="Male"/>
    <x v="3"/>
    <x v="1"/>
    <n v="5.2"/>
    <n v="11.2"/>
    <n v="2"/>
    <x v="3"/>
    <x v="9"/>
    <x v="2"/>
    <x v="4"/>
    <x v="2"/>
    <n v="32.9"/>
    <x v="0"/>
    <n v="78.099999999999994"/>
    <n v="3"/>
    <s v="70-80%"/>
    <x v="0"/>
    <x v="0"/>
    <x v="2"/>
    <x v="52"/>
    <s v="8-12 hrs"/>
    <s v="4-6 hrs"/>
    <x v="1"/>
  </r>
  <r>
    <x v="344"/>
    <n v="25"/>
    <s v="Female"/>
    <x v="1"/>
    <x v="1"/>
    <n v="5"/>
    <n v="3.4"/>
    <n v="5"/>
    <x v="3"/>
    <x v="1"/>
    <x v="2"/>
    <x v="8"/>
    <x v="1"/>
    <n v="17.899999999999999"/>
    <x v="1"/>
    <n v="96.5"/>
    <n v="4"/>
    <s v="More than 90%"/>
    <x v="1"/>
    <x v="3"/>
    <x v="0"/>
    <x v="74"/>
    <s v="1-4 hrs"/>
    <s v="4-6 hrs"/>
    <x v="0"/>
  </r>
  <r>
    <x v="345"/>
    <n v="17"/>
    <s v="Female"/>
    <x v="2"/>
    <x v="0"/>
    <n v="7.1"/>
    <n v="1.8"/>
    <n v="1"/>
    <x v="12"/>
    <x v="3"/>
    <x v="2"/>
    <x v="4"/>
    <x v="1"/>
    <n v="21.1"/>
    <x v="0"/>
    <n v="100"/>
    <n v="5"/>
    <s v="More than 90%"/>
    <x v="0"/>
    <x v="2"/>
    <x v="0"/>
    <x v="96"/>
    <s v="1-4 hrs"/>
    <s v="6-8 hrs"/>
    <x v="0"/>
  </r>
  <r>
    <x v="346"/>
    <n v="20"/>
    <s v="Male"/>
    <x v="3"/>
    <x v="5"/>
    <n v="5.2"/>
    <n v="11"/>
    <n v="2"/>
    <x v="12"/>
    <x v="19"/>
    <x v="2"/>
    <x v="3"/>
    <x v="2"/>
    <n v="15"/>
    <x v="1"/>
    <n v="72.400000000000006"/>
    <n v="2"/>
    <s v="70-80%"/>
    <x v="0"/>
    <x v="3"/>
    <x v="0"/>
    <x v="130"/>
    <s v="8-12 hrs"/>
    <s v="4-6 hrs"/>
    <x v="1"/>
  </r>
  <r>
    <x v="347"/>
    <n v="23"/>
    <s v="Male"/>
    <x v="4"/>
    <x v="1"/>
    <n v="7.1"/>
    <n v="5.6"/>
    <n v="4"/>
    <x v="4"/>
    <x v="16"/>
    <x v="3"/>
    <x v="13"/>
    <x v="4"/>
    <n v="16.899999999999999"/>
    <x v="1"/>
    <n v="90.9"/>
    <n v="3"/>
    <s v="More than 90%"/>
    <x v="0"/>
    <x v="2"/>
    <x v="1"/>
    <x v="47"/>
    <s v="4-8 hrs"/>
    <s v="6-8 hrs"/>
    <x v="1"/>
  </r>
  <r>
    <x v="348"/>
    <n v="18"/>
    <s v="Non-binary"/>
    <x v="0"/>
    <x v="0"/>
    <n v="6.4"/>
    <n v="4.2"/>
    <n v="1"/>
    <x v="22"/>
    <x v="1"/>
    <x v="3"/>
    <x v="28"/>
    <x v="1"/>
    <n v="15.2"/>
    <x v="0"/>
    <n v="65.599999999999994"/>
    <n v="2"/>
    <s v="60-70 %"/>
    <x v="0"/>
    <x v="0"/>
    <x v="0"/>
    <x v="51"/>
    <s v="4-8 hrs"/>
    <s v="6-8 hrs"/>
    <x v="3"/>
  </r>
  <r>
    <x v="349"/>
    <n v="25"/>
    <s v="Female"/>
    <x v="4"/>
    <x v="5"/>
    <n v="6.1"/>
    <n v="2.2999999999999998"/>
    <n v="4"/>
    <x v="17"/>
    <x v="19"/>
    <x v="2"/>
    <x v="29"/>
    <x v="2"/>
    <n v="16.8"/>
    <x v="1"/>
    <n v="93.9"/>
    <n v="2"/>
    <s v="More than 90%"/>
    <x v="1"/>
    <x v="0"/>
    <x v="0"/>
    <x v="132"/>
    <s v="1-4 hrs"/>
    <s v="6-8 hrs"/>
    <x v="0"/>
  </r>
  <r>
    <x v="350"/>
    <n v="22"/>
    <s v="F"/>
    <x v="2"/>
    <x v="2"/>
    <n v="5.8"/>
    <n v="3.4"/>
    <n v="0"/>
    <x v="5"/>
    <x v="4"/>
    <x v="1"/>
    <x v="4"/>
    <x v="1"/>
    <n v="26.6"/>
    <x v="0"/>
    <n v="72.599999999999994"/>
    <n v="4"/>
    <s v="70-80%"/>
    <x v="0"/>
    <x v="1"/>
    <x v="0"/>
    <x v="84"/>
    <s v="1-4 hrs"/>
    <s v="4-6 hrs"/>
    <x v="0"/>
  </r>
  <r>
    <x v="351"/>
    <n v="23"/>
    <s v="Male"/>
    <x v="4"/>
    <x v="5"/>
    <n v="4.5999999999999996"/>
    <n v="3.3"/>
    <n v="3"/>
    <x v="8"/>
    <x v="3"/>
    <x v="1"/>
    <x v="8"/>
    <x v="1"/>
    <n v="20.399999999999999"/>
    <x v="1"/>
    <n v="60.6"/>
    <n v="3"/>
    <s v="60-70 %"/>
    <x v="0"/>
    <x v="3"/>
    <x v="1"/>
    <x v="6"/>
    <s v="1-4 hrs"/>
    <s v="4-6 hrs"/>
    <x v="1"/>
  </r>
  <r>
    <x v="352"/>
    <n v="20"/>
    <s v="Male"/>
    <x v="2"/>
    <x v="4"/>
    <n v="6.8"/>
    <n v="1.8"/>
    <n v="0"/>
    <x v="5"/>
    <x v="2"/>
    <x v="1"/>
    <x v="8"/>
    <x v="2"/>
    <n v="30.3"/>
    <x v="1"/>
    <n v="80.2"/>
    <n v="2"/>
    <s v="80-90%"/>
    <x v="1"/>
    <x v="1"/>
    <x v="1"/>
    <x v="3"/>
    <s v="1-4 hrs"/>
    <s v="6-8 hrs"/>
    <x v="1"/>
  </r>
  <r>
    <x v="353"/>
    <n v="23"/>
    <s v="Male"/>
    <x v="3"/>
    <x v="5"/>
    <n v="6.2"/>
    <n v="1"/>
    <n v="3"/>
    <x v="17"/>
    <x v="5"/>
    <x v="2"/>
    <x v="21"/>
    <x v="2"/>
    <n v="24.3"/>
    <x v="1"/>
    <n v="100"/>
    <n v="5"/>
    <s v="More than 90%"/>
    <x v="1"/>
    <x v="0"/>
    <x v="1"/>
    <x v="47"/>
    <s v="1-4 hrs"/>
    <s v="6-8 hrs"/>
    <x v="1"/>
  </r>
  <r>
    <x v="354"/>
    <n v="24"/>
    <s v="Female"/>
    <x v="4"/>
    <x v="1"/>
    <n v="3.3"/>
    <n v="3.3"/>
    <n v="4"/>
    <x v="9"/>
    <x v="1"/>
    <x v="1"/>
    <x v="19"/>
    <x v="1"/>
    <n v="22.4"/>
    <x v="0"/>
    <n v="83.5"/>
    <n v="4"/>
    <s v="80-90%"/>
    <x v="0"/>
    <x v="2"/>
    <x v="0"/>
    <x v="39"/>
    <s v="1-4 hrs"/>
    <s v="&lt; 4 hrs"/>
    <x v="0"/>
  </r>
  <r>
    <x v="355"/>
    <n v="22"/>
    <s v="Male"/>
    <x v="0"/>
    <x v="0"/>
    <n v="5"/>
    <n v="7"/>
    <n v="4"/>
    <x v="5"/>
    <x v="1"/>
    <x v="1"/>
    <x v="13"/>
    <x v="1"/>
    <n v="7.4"/>
    <x v="1"/>
    <n v="98.4"/>
    <n v="4"/>
    <s v="More than 90%"/>
    <x v="0"/>
    <x v="2"/>
    <x v="2"/>
    <x v="133"/>
    <s v="4-8 hrs"/>
    <s v="4-6 hrs"/>
    <x v="1"/>
  </r>
  <r>
    <x v="356"/>
    <n v="22"/>
    <s v="Male"/>
    <x v="0"/>
    <x v="2"/>
    <n v="4.3"/>
    <n v="9.4"/>
    <n v="7"/>
    <x v="3"/>
    <x v="9"/>
    <x v="2"/>
    <x v="19"/>
    <x v="2"/>
    <n v="25.1"/>
    <x v="0"/>
    <n v="68.099999999999994"/>
    <n v="1"/>
    <s v="60-70 %"/>
    <x v="0"/>
    <x v="1"/>
    <x v="2"/>
    <x v="18"/>
    <s v="8-12 hrs"/>
    <s v="4-6 hrs"/>
    <x v="1"/>
  </r>
  <r>
    <x v="357"/>
    <n v="22"/>
    <s v="Male"/>
    <x v="4"/>
    <x v="1"/>
    <n v="7.5"/>
    <n v="8"/>
    <n v="3"/>
    <x v="6"/>
    <x v="9"/>
    <x v="2"/>
    <x v="2"/>
    <x v="2"/>
    <n v="13.9"/>
    <x v="1"/>
    <n v="95.8"/>
    <n v="5"/>
    <s v="More than 90%"/>
    <x v="1"/>
    <x v="1"/>
    <x v="1"/>
    <x v="89"/>
    <s v="8-12 hrs"/>
    <s v="6-8 hrs"/>
    <x v="1"/>
  </r>
  <r>
    <x v="358"/>
    <n v="20"/>
    <s v="Female"/>
    <x v="2"/>
    <x v="1"/>
    <n v="3.5"/>
    <n v="8.3000000000000007"/>
    <n v="4"/>
    <x v="3"/>
    <x v="4"/>
    <x v="2"/>
    <x v="9"/>
    <x v="1"/>
    <n v="26.8"/>
    <x v="1"/>
    <n v="74.400000000000006"/>
    <n v="4"/>
    <s v="70-80%"/>
    <x v="0"/>
    <x v="2"/>
    <x v="1"/>
    <x v="20"/>
    <s v="8-12 hrs"/>
    <s v="&lt; 4 hrs"/>
    <x v="0"/>
  </r>
  <r>
    <x v="359"/>
    <n v="21"/>
    <s v="Female"/>
    <x v="0"/>
    <x v="1"/>
    <n v="4.4000000000000004"/>
    <n v="2"/>
    <n v="3"/>
    <x v="10"/>
    <x v="16"/>
    <x v="1"/>
    <x v="3"/>
    <x v="4"/>
    <n v="15"/>
    <x v="1"/>
    <n v="82.4"/>
    <n v="3"/>
    <s v="80-90%"/>
    <x v="1"/>
    <x v="1"/>
    <x v="0"/>
    <x v="73"/>
    <s v="1-4 hrs"/>
    <s v="4-6 hrs"/>
    <x v="0"/>
  </r>
  <r>
    <x v="360"/>
    <n v="21"/>
    <s v="Male"/>
    <x v="0"/>
    <x v="0"/>
    <n v="7.6"/>
    <n v="5.2"/>
    <n v="5"/>
    <x v="5"/>
    <x v="19"/>
    <x v="1"/>
    <x v="5"/>
    <x v="2"/>
    <n v="4.0999999999999996"/>
    <x v="1"/>
    <n v="80.7"/>
    <n v="1"/>
    <s v="80-90%"/>
    <x v="1"/>
    <x v="3"/>
    <x v="0"/>
    <x v="92"/>
    <s v="4-8 hrs"/>
    <s v="6-8 hrs"/>
    <x v="1"/>
  </r>
  <r>
    <x v="361"/>
    <n v="22"/>
    <s v="Male"/>
    <x v="1"/>
    <x v="0"/>
    <n v="7.8"/>
    <n v="6.2"/>
    <n v="3"/>
    <x v="3"/>
    <x v="5"/>
    <x v="2"/>
    <x v="2"/>
    <x v="2"/>
    <n v="29.6"/>
    <x v="1"/>
    <n v="97"/>
    <n v="5"/>
    <s v="More than 90%"/>
    <x v="0"/>
    <x v="2"/>
    <x v="0"/>
    <x v="114"/>
    <s v="4-8 hrs"/>
    <s v="6-8 hrs"/>
    <x v="1"/>
  </r>
  <r>
    <x v="362"/>
    <n v="24"/>
    <s v="Female"/>
    <x v="1"/>
    <x v="1"/>
    <n v="5.6"/>
    <n v="6.4"/>
    <n v="5"/>
    <x v="6"/>
    <x v="9"/>
    <x v="2"/>
    <x v="3"/>
    <x v="2"/>
    <n v="13.6"/>
    <x v="1"/>
    <n v="81.5"/>
    <m/>
    <s v="80-90%"/>
    <x v="1"/>
    <x v="0"/>
    <x v="1"/>
    <x v="130"/>
    <s v="4-8 hrs"/>
    <s v="4-6 hrs"/>
    <x v="0"/>
  </r>
  <r>
    <x v="363"/>
    <n v="19"/>
    <s v="F"/>
    <x v="1"/>
    <x v="4"/>
    <n v="5.3"/>
    <n v="4.2"/>
    <n v="1"/>
    <x v="22"/>
    <x v="1"/>
    <x v="3"/>
    <x v="27"/>
    <x v="1"/>
    <n v="28.8"/>
    <x v="0"/>
    <n v="74"/>
    <n v="4"/>
    <s v="70-80%"/>
    <x v="0"/>
    <x v="2"/>
    <x v="1"/>
    <x v="33"/>
    <s v="4-8 hrs"/>
    <s v="4-6 hrs"/>
    <x v="0"/>
  </r>
  <r>
    <x v="364"/>
    <n v="21"/>
    <s v="Female"/>
    <x v="1"/>
    <x v="3"/>
    <n v="7.1"/>
    <n v="4.8"/>
    <n v="3"/>
    <x v="6"/>
    <x v="5"/>
    <x v="2"/>
    <x v="10"/>
    <x v="2"/>
    <n v="17.3"/>
    <x v="1"/>
    <n v="90.7"/>
    <n v="4"/>
    <s v="More than 90%"/>
    <x v="0"/>
    <x v="3"/>
    <x v="0"/>
    <x v="38"/>
    <s v="4-8 hrs"/>
    <s v="6-8 hrs"/>
    <x v="0"/>
  </r>
  <r>
    <x v="365"/>
    <n v="25"/>
    <s v="Female"/>
    <x v="3"/>
    <x v="1"/>
    <n v="3.2"/>
    <n v="7.9"/>
    <n v="4"/>
    <x v="1"/>
    <x v="7"/>
    <x v="1"/>
    <x v="4"/>
    <x v="1"/>
    <n v="15"/>
    <x v="0"/>
    <n v="100"/>
    <n v="4"/>
    <s v="More than 90%"/>
    <x v="1"/>
    <x v="4"/>
    <x v="0"/>
    <x v="75"/>
    <s v="4-8 hrs"/>
    <s v="&lt; 4 hrs"/>
    <x v="0"/>
  </r>
  <r>
    <x v="366"/>
    <n v="20"/>
    <s v="Male"/>
    <x v="3"/>
    <x v="3"/>
    <n v="3.8"/>
    <n v="6"/>
    <n v="1"/>
    <x v="12"/>
    <x v="2"/>
    <x v="2"/>
    <x v="13"/>
    <x v="2"/>
    <n v="18.8"/>
    <x v="1"/>
    <n v="76.7"/>
    <n v="4"/>
    <s v="70-80%"/>
    <x v="1"/>
    <x v="2"/>
    <x v="1"/>
    <x v="75"/>
    <s v="4-8 hrs"/>
    <s v="&lt; 4 hrs"/>
    <x v="1"/>
  </r>
  <r>
    <x v="367"/>
    <n v="20"/>
    <s v="Male"/>
    <x v="4"/>
    <x v="1"/>
    <n v="5.9"/>
    <n v="6.8"/>
    <n v="1"/>
    <x v="12"/>
    <x v="5"/>
    <x v="2"/>
    <x v="14"/>
    <x v="2"/>
    <n v="10.7"/>
    <x v="1"/>
    <n v="53"/>
    <n v="5"/>
    <s v="Less than 0%"/>
    <x v="0"/>
    <x v="2"/>
    <x v="2"/>
    <x v="134"/>
    <s v="4-8 hrs"/>
    <s v="4-6 hrs"/>
    <x v="1"/>
  </r>
  <r>
    <x v="368"/>
    <n v="22"/>
    <s v="Male"/>
    <x v="1"/>
    <x v="3"/>
    <n v="8.5"/>
    <n v="3.2"/>
    <n v="6"/>
    <x v="13"/>
    <x v="14"/>
    <x v="3"/>
    <x v="11"/>
    <x v="4"/>
    <n v="17"/>
    <x v="0"/>
    <n v="89.5"/>
    <n v="2"/>
    <s v="80-90%"/>
    <x v="1"/>
    <x v="2"/>
    <x v="0"/>
    <x v="135"/>
    <s v="1-4 hrs"/>
    <s v="&gt; 8 hrs"/>
    <x v="1"/>
  </r>
  <r>
    <x v="369"/>
    <n v="23"/>
    <s v="Male"/>
    <x v="2"/>
    <x v="3"/>
    <n v="5.6"/>
    <n v="6.5"/>
    <n v="2"/>
    <x v="3"/>
    <x v="9"/>
    <x v="2"/>
    <x v="5"/>
    <x v="2"/>
    <n v="7.6"/>
    <x v="1"/>
    <n v="75.099999999999994"/>
    <n v="2"/>
    <s v="70-80%"/>
    <x v="1"/>
    <x v="3"/>
    <x v="2"/>
    <x v="73"/>
    <s v="4-8 hrs"/>
    <s v="4-6 hrs"/>
    <x v="1"/>
  </r>
  <r>
    <x v="370"/>
    <n v="22"/>
    <s v="Female"/>
    <x v="0"/>
    <x v="1"/>
    <n v="6.3"/>
    <n v="4.8"/>
    <n v="1"/>
    <x v="6"/>
    <x v="5"/>
    <x v="2"/>
    <x v="23"/>
    <x v="2"/>
    <n v="15.1"/>
    <x v="1"/>
    <n v="75.7"/>
    <n v="4"/>
    <s v="70-80%"/>
    <x v="0"/>
    <x v="3"/>
    <x v="0"/>
    <x v="8"/>
    <s v="4-8 hrs"/>
    <s v="6-8 hrs"/>
    <x v="0"/>
  </r>
  <r>
    <x v="371"/>
    <n v="24"/>
    <s v="Female"/>
    <x v="3"/>
    <x v="5"/>
    <n v="7.2"/>
    <n v="7.4"/>
    <n v="2"/>
    <x v="10"/>
    <x v="1"/>
    <x v="1"/>
    <x v="19"/>
    <x v="1"/>
    <n v="24.8"/>
    <x v="0"/>
    <n v="87.2"/>
    <n v="3"/>
    <s v="80-90%"/>
    <x v="1"/>
    <x v="4"/>
    <x v="0"/>
    <x v="33"/>
    <s v="4-8 hrs"/>
    <s v="6-8 hrs"/>
    <x v="0"/>
  </r>
  <r>
    <x v="372"/>
    <n v="23"/>
    <s v="Prefer not to say"/>
    <x v="3"/>
    <x v="6"/>
    <n v="8.6"/>
    <n v="2.6"/>
    <n v="2"/>
    <x v="4"/>
    <x v="7"/>
    <x v="3"/>
    <x v="1"/>
    <x v="1"/>
    <n v="18.8"/>
    <x v="0"/>
    <n v="75.8"/>
    <m/>
    <s v="70-80%"/>
    <x v="0"/>
    <x v="1"/>
    <x v="2"/>
    <x v="50"/>
    <s v="1-4 hrs"/>
    <s v="&gt; 8 hrs"/>
    <x v="2"/>
  </r>
  <r>
    <x v="373"/>
    <n v="23"/>
    <s v="Prefer not to say"/>
    <x v="3"/>
    <x v="3"/>
    <n v="5"/>
    <n v="7"/>
    <n v="3"/>
    <x v="9"/>
    <x v="2"/>
    <x v="1"/>
    <x v="9"/>
    <x v="2"/>
    <n v="8.6"/>
    <x v="1"/>
    <n v="76.900000000000006"/>
    <n v="4"/>
    <s v="70-80%"/>
    <x v="0"/>
    <x v="3"/>
    <x v="2"/>
    <x v="7"/>
    <s v="4-8 hrs"/>
    <s v="4-6 hrs"/>
    <x v="2"/>
  </r>
  <r>
    <x v="374"/>
    <n v="23"/>
    <s v="F"/>
    <x v="2"/>
    <x v="6"/>
    <n v="6.2"/>
    <n v="3.5"/>
    <n v="5"/>
    <x v="5"/>
    <x v="3"/>
    <x v="1"/>
    <x v="2"/>
    <x v="1"/>
    <n v="22.1"/>
    <x v="1"/>
    <n v="76.3"/>
    <n v="3"/>
    <s v="70-80%"/>
    <x v="1"/>
    <x v="1"/>
    <x v="2"/>
    <x v="98"/>
    <s v="1-4 hrs"/>
    <s v="6-8 hrs"/>
    <x v="0"/>
  </r>
  <r>
    <x v="375"/>
    <n v="26"/>
    <s v="Male"/>
    <x v="3"/>
    <x v="2"/>
    <n v="7.8"/>
    <n v="7.1"/>
    <n v="7"/>
    <x v="17"/>
    <x v="10"/>
    <x v="2"/>
    <x v="5"/>
    <x v="2"/>
    <n v="16.399999999999999"/>
    <x v="1"/>
    <n v="100"/>
    <n v="4"/>
    <s v="More than 90%"/>
    <x v="0"/>
    <x v="2"/>
    <x v="0"/>
    <x v="128"/>
    <s v="4-8 hrs"/>
    <s v="6-8 hrs"/>
    <x v="1"/>
  </r>
  <r>
    <x v="376"/>
    <n v="21"/>
    <s v="Male"/>
    <x v="0"/>
    <x v="1"/>
    <n v="4.5"/>
    <n v="5.2"/>
    <n v="3"/>
    <x v="12"/>
    <x v="3"/>
    <x v="2"/>
    <x v="13"/>
    <x v="1"/>
    <n v="19.600000000000001"/>
    <x v="1"/>
    <n v="82.4"/>
    <m/>
    <s v="80-90%"/>
    <x v="0"/>
    <x v="0"/>
    <x v="0"/>
    <x v="87"/>
    <s v="4-8 hrs"/>
    <s v="4-6 hrs"/>
    <x v="1"/>
  </r>
  <r>
    <x v="377"/>
    <n v="17"/>
    <s v="Male"/>
    <x v="2"/>
    <x v="4"/>
    <n v="7.9"/>
    <n v="4.5"/>
    <n v="4"/>
    <x v="6"/>
    <x v="4"/>
    <x v="2"/>
    <x v="3"/>
    <x v="1"/>
    <n v="22.7"/>
    <x v="1"/>
    <n v="62.8"/>
    <n v="5"/>
    <s v="60-70 %"/>
    <x v="0"/>
    <x v="2"/>
    <x v="1"/>
    <x v="120"/>
    <s v="4-8 hrs"/>
    <s v="6-8 hrs"/>
    <x v="1"/>
  </r>
  <r>
    <x v="378"/>
    <n v="25"/>
    <s v="Female"/>
    <x v="2"/>
    <x v="2"/>
    <n v="4.9000000000000004"/>
    <n v="3.6"/>
    <n v="2"/>
    <x v="16"/>
    <x v="14"/>
    <x v="3"/>
    <x v="22"/>
    <x v="4"/>
    <n v="17.5"/>
    <x v="0"/>
    <n v="68.2"/>
    <n v="2"/>
    <s v="60-70 %"/>
    <x v="1"/>
    <x v="3"/>
    <x v="1"/>
    <x v="41"/>
    <s v="1-4 hrs"/>
    <s v="4-6 hrs"/>
    <x v="0"/>
  </r>
  <r>
    <x v="379"/>
    <n v="21"/>
    <s v="Male"/>
    <x v="1"/>
    <x v="2"/>
    <n v="6.5"/>
    <n v="4.2"/>
    <n v="5"/>
    <x v="15"/>
    <x v="11"/>
    <x v="3"/>
    <x v="22"/>
    <x v="1"/>
    <n v="10.4"/>
    <x v="0"/>
    <n v="78.5"/>
    <n v="4"/>
    <s v="70-80%"/>
    <x v="0"/>
    <x v="3"/>
    <x v="2"/>
    <x v="79"/>
    <s v="4-8 hrs"/>
    <s v="6-8 hrs"/>
    <x v="1"/>
  </r>
  <r>
    <x v="380"/>
    <n v="22"/>
    <s v="M"/>
    <x v="3"/>
    <x v="0"/>
    <n v="5.8"/>
    <n v="3.3"/>
    <n v="1"/>
    <x v="9"/>
    <x v="4"/>
    <x v="1"/>
    <x v="19"/>
    <x v="1"/>
    <n v="31.8"/>
    <x v="0"/>
    <n v="66.599999999999994"/>
    <n v="5"/>
    <s v="60-70 %"/>
    <x v="1"/>
    <x v="1"/>
    <x v="1"/>
    <x v="136"/>
    <s v="1-4 hrs"/>
    <s v="4-6 hrs"/>
    <x v="1"/>
  </r>
  <r>
    <x v="381"/>
    <n v="24"/>
    <s v="Female"/>
    <x v="3"/>
    <x v="2"/>
    <n v="5.0999999999999996"/>
    <n v="3.6"/>
    <n v="0"/>
    <x v="6"/>
    <x v="10"/>
    <x v="2"/>
    <x v="10"/>
    <x v="2"/>
    <n v="16.100000000000001"/>
    <x v="1"/>
    <n v="62"/>
    <n v="3"/>
    <s v="60-70 %"/>
    <x v="0"/>
    <x v="3"/>
    <x v="0"/>
    <x v="45"/>
    <s v="1-4 hrs"/>
    <s v="4-6 hrs"/>
    <x v="0"/>
  </r>
  <r>
    <x v="382"/>
    <n v="18"/>
    <s v="Female"/>
    <x v="3"/>
    <x v="1"/>
    <n v="4.7"/>
    <n v="5.9"/>
    <n v="6"/>
    <x v="25"/>
    <x v="17"/>
    <x v="0"/>
    <x v="17"/>
    <x v="4"/>
    <n v="15.9"/>
    <x v="0"/>
    <n v="83.3"/>
    <n v="3"/>
    <s v="80-90%"/>
    <x v="1"/>
    <x v="4"/>
    <x v="2"/>
    <x v="106"/>
    <s v="4-8 hrs"/>
    <s v="4-6 hrs"/>
    <x v="0"/>
  </r>
  <r>
    <x v="383"/>
    <n v="19"/>
    <s v="Male"/>
    <x v="3"/>
    <x v="5"/>
    <n v="7.2"/>
    <n v="1.1000000000000001"/>
    <n v="5"/>
    <x v="5"/>
    <x v="7"/>
    <x v="1"/>
    <x v="10"/>
    <x v="1"/>
    <n v="14"/>
    <x v="1"/>
    <n v="91.9"/>
    <n v="3"/>
    <s v="More than 90%"/>
    <x v="0"/>
    <x v="1"/>
    <x v="2"/>
    <x v="113"/>
    <s v="1-4 hrs"/>
    <s v="6-8 hrs"/>
    <x v="1"/>
  </r>
  <r>
    <x v="384"/>
    <n v="18"/>
    <s v="Male"/>
    <x v="0"/>
    <x v="1"/>
    <n v="7"/>
    <n v="7"/>
    <n v="2"/>
    <x v="8"/>
    <x v="13"/>
    <x v="1"/>
    <x v="22"/>
    <x v="4"/>
    <n v="25.6"/>
    <x v="0"/>
    <n v="70.900000000000006"/>
    <n v="3"/>
    <s v="70-80%"/>
    <x v="1"/>
    <x v="1"/>
    <x v="2"/>
    <x v="67"/>
    <s v="4-8 hrs"/>
    <s v="6-8 hrs"/>
    <x v="1"/>
  </r>
  <r>
    <x v="385"/>
    <n v="20"/>
    <s v="Male"/>
    <x v="4"/>
    <x v="5"/>
    <n v="6.1"/>
    <n v="7.1"/>
    <n v="3"/>
    <x v="10"/>
    <x v="4"/>
    <x v="1"/>
    <x v="13"/>
    <x v="1"/>
    <n v="11.2"/>
    <x v="1"/>
    <n v="80.599999999999994"/>
    <n v="3"/>
    <s v="80-90%"/>
    <x v="0"/>
    <x v="2"/>
    <x v="0"/>
    <x v="74"/>
    <s v="4-8 hrs"/>
    <s v="6-8 hrs"/>
    <x v="1"/>
  </r>
  <r>
    <x v="386"/>
    <n v="22"/>
    <s v="M"/>
    <x v="0"/>
    <x v="4"/>
    <n v="6.4"/>
    <n v="3.7"/>
    <n v="3"/>
    <x v="3"/>
    <x v="9"/>
    <x v="2"/>
    <x v="2"/>
    <x v="2"/>
    <n v="10.9"/>
    <x v="1"/>
    <n v="84.8"/>
    <n v="2"/>
    <s v="80-90%"/>
    <x v="0"/>
    <x v="4"/>
    <x v="0"/>
    <x v="137"/>
    <s v="1-4 hrs"/>
    <s v="6-8 hrs"/>
    <x v="1"/>
  </r>
  <r>
    <x v="387"/>
    <n v="23"/>
    <s v="Female"/>
    <x v="0"/>
    <x v="0"/>
    <n v="6.7"/>
    <n v="4.9000000000000004"/>
    <n v="2"/>
    <x v="5"/>
    <x v="4"/>
    <x v="1"/>
    <x v="19"/>
    <x v="1"/>
    <n v="13.8"/>
    <x v="0"/>
    <n v="92.4"/>
    <n v="5"/>
    <s v="More than 90%"/>
    <x v="0"/>
    <x v="2"/>
    <x v="2"/>
    <x v="10"/>
    <s v="4-8 hrs"/>
    <s v="6-8 hrs"/>
    <x v="0"/>
  </r>
  <r>
    <x v="388"/>
    <n v="22"/>
    <s v="Male"/>
    <x v="3"/>
    <x v="0"/>
    <n v="5"/>
    <n v="2.2000000000000002"/>
    <n v="2"/>
    <x v="9"/>
    <x v="1"/>
    <x v="1"/>
    <x v="5"/>
    <x v="1"/>
    <n v="24.3"/>
    <x v="1"/>
    <n v="87.2"/>
    <m/>
    <s v="80-90%"/>
    <x v="1"/>
    <x v="2"/>
    <x v="1"/>
    <x v="100"/>
    <s v="1-4 hrs"/>
    <s v="4-6 hrs"/>
    <x v="1"/>
  </r>
  <r>
    <x v="389"/>
    <n v="19"/>
    <s v="Male"/>
    <x v="4"/>
    <x v="0"/>
    <n v="7.1"/>
    <n v="5.7"/>
    <n v="1"/>
    <x v="13"/>
    <x v="1"/>
    <x v="3"/>
    <x v="15"/>
    <x v="1"/>
    <n v="23.2"/>
    <x v="0"/>
    <n v="39.6"/>
    <n v="3"/>
    <s v="Less than 0%"/>
    <x v="0"/>
    <x v="2"/>
    <x v="1"/>
    <x v="26"/>
    <s v="4-8 hrs"/>
    <s v="6-8 hrs"/>
    <x v="1"/>
  </r>
  <r>
    <x v="390"/>
    <n v="17"/>
    <s v="Female"/>
    <x v="0"/>
    <x v="6"/>
    <n v="7.8"/>
    <n v="2.4"/>
    <n v="3"/>
    <x v="5"/>
    <x v="2"/>
    <x v="1"/>
    <x v="3"/>
    <x v="2"/>
    <n v="16.399999999999999"/>
    <x v="1"/>
    <n v="78.099999999999994"/>
    <n v="4"/>
    <s v="70-80%"/>
    <x v="0"/>
    <x v="4"/>
    <x v="2"/>
    <x v="138"/>
    <s v="1-4 hrs"/>
    <s v="6-8 hrs"/>
    <x v="0"/>
  </r>
  <r>
    <x v="391"/>
    <n v="22"/>
    <s v="Female"/>
    <x v="4"/>
    <x v="5"/>
    <n v="9.9"/>
    <n v="1"/>
    <n v="2"/>
    <x v="5"/>
    <x v="3"/>
    <x v="1"/>
    <x v="8"/>
    <x v="1"/>
    <n v="29.9"/>
    <x v="1"/>
    <n v="87.9"/>
    <n v="1"/>
    <s v="80-90%"/>
    <x v="0"/>
    <x v="3"/>
    <x v="0"/>
    <x v="26"/>
    <s v="1-4 hrs"/>
    <s v="&gt; 8 hrs"/>
    <x v="0"/>
  </r>
  <r>
    <x v="392"/>
    <n v="21"/>
    <s v="Male"/>
    <x v="2"/>
    <x v="0"/>
    <n v="5.9"/>
    <n v="9.1999999999999993"/>
    <n v="3"/>
    <x v="2"/>
    <x v="19"/>
    <x v="2"/>
    <x v="3"/>
    <x v="2"/>
    <n v="24.2"/>
    <x v="1"/>
    <n v="76"/>
    <n v="2"/>
    <s v="70-80%"/>
    <x v="0"/>
    <x v="2"/>
    <x v="0"/>
    <x v="37"/>
    <s v="8-12 hrs"/>
    <s v="4-6 hrs"/>
    <x v="1"/>
  </r>
  <r>
    <x v="393"/>
    <n v="22"/>
    <s v="Male"/>
    <x v="1"/>
    <x v="1"/>
    <n v="6.4"/>
    <n v="2"/>
    <n v="1"/>
    <x v="2"/>
    <x v="2"/>
    <x v="2"/>
    <x v="29"/>
    <x v="2"/>
    <n v="21.1"/>
    <x v="1"/>
    <n v="85.1"/>
    <m/>
    <s v="80-90%"/>
    <x v="1"/>
    <x v="1"/>
    <x v="1"/>
    <x v="27"/>
    <s v="1-4 hrs"/>
    <s v="6-8 hrs"/>
    <x v="1"/>
  </r>
  <r>
    <x v="394"/>
    <n v="23"/>
    <s v="Male"/>
    <x v="3"/>
    <x v="1"/>
    <n v="7.1"/>
    <n v="4.2"/>
    <n v="5"/>
    <x v="2"/>
    <x v="5"/>
    <x v="2"/>
    <x v="3"/>
    <x v="2"/>
    <n v="20.6"/>
    <x v="1"/>
    <n v="90.7"/>
    <n v="4"/>
    <s v="More than 90%"/>
    <x v="0"/>
    <x v="2"/>
    <x v="0"/>
    <x v="53"/>
    <s v="4-8 hrs"/>
    <s v="6-8 hrs"/>
    <x v="1"/>
  </r>
  <r>
    <x v="395"/>
    <n v="22"/>
    <s v="F"/>
    <x v="1"/>
    <x v="0"/>
    <n v="7.1"/>
    <n v="5"/>
    <n v="3"/>
    <x v="6"/>
    <x v="4"/>
    <x v="2"/>
    <x v="8"/>
    <x v="1"/>
    <n v="21.8"/>
    <x v="1"/>
    <n v="76.7"/>
    <n v="1"/>
    <s v="70-80%"/>
    <x v="1"/>
    <x v="4"/>
    <x v="2"/>
    <x v="6"/>
    <s v="4-8 hrs"/>
    <s v="6-8 hrs"/>
    <x v="0"/>
  </r>
  <r>
    <x v="396"/>
    <n v="23"/>
    <s v="Male"/>
    <x v="1"/>
    <x v="3"/>
    <n v="5.6"/>
    <n v="5.9"/>
    <n v="5"/>
    <x v="22"/>
    <x v="11"/>
    <x v="3"/>
    <x v="22"/>
    <x v="1"/>
    <n v="8"/>
    <x v="0"/>
    <n v="93.5"/>
    <n v="4"/>
    <s v="More than 90%"/>
    <x v="1"/>
    <x v="2"/>
    <x v="0"/>
    <x v="130"/>
    <s v="4-8 hrs"/>
    <s v="4-6 hrs"/>
    <x v="1"/>
  </r>
  <r>
    <x v="397"/>
    <n v="22"/>
    <s v="Female"/>
    <x v="2"/>
    <x v="5"/>
    <n v="5.5"/>
    <n v="4.4000000000000004"/>
    <n v="0"/>
    <x v="10"/>
    <x v="3"/>
    <x v="1"/>
    <x v="9"/>
    <x v="1"/>
    <n v="16.600000000000001"/>
    <x v="1"/>
    <n v="94.7"/>
    <n v="3"/>
    <s v="More than 90%"/>
    <x v="1"/>
    <x v="3"/>
    <x v="1"/>
    <x v="139"/>
    <s v="4-8 hrs"/>
    <s v="4-6 hrs"/>
    <x v="0"/>
  </r>
  <r>
    <x v="398"/>
    <n v="23"/>
    <s v="Male"/>
    <x v="1"/>
    <x v="1"/>
    <n v="7.2"/>
    <n v="5.3"/>
    <n v="3"/>
    <x v="4"/>
    <x v="13"/>
    <x v="3"/>
    <x v="15"/>
    <x v="4"/>
    <n v="21.6"/>
    <x v="0"/>
    <n v="72.099999999999994"/>
    <n v="1"/>
    <s v="70-80%"/>
    <x v="0"/>
    <x v="2"/>
    <x v="0"/>
    <x v="53"/>
    <s v="4-8 hrs"/>
    <s v="6-8 hrs"/>
    <x v="1"/>
  </r>
  <r>
    <x v="399"/>
    <n v="20"/>
    <s v="Male"/>
    <x v="4"/>
    <x v="4"/>
    <n v="5.5"/>
    <n v="3.6"/>
    <n v="4"/>
    <x v="11"/>
    <x v="8"/>
    <x v="5"/>
    <x v="3"/>
    <x v="3"/>
    <n v="8.4"/>
    <x v="1"/>
    <n v="75.400000000000006"/>
    <n v="4"/>
    <s v="70-80%"/>
    <x v="0"/>
    <x v="2"/>
    <x v="2"/>
    <x v="129"/>
    <s v="1-4 hrs"/>
    <s v="4-6 hrs"/>
    <x v="1"/>
  </r>
  <r>
    <x v="400"/>
    <n v="21"/>
    <s v="M"/>
    <x v="0"/>
    <x v="0"/>
    <n v="6.2"/>
    <n v="1.3"/>
    <n v="2"/>
    <x v="5"/>
    <x v="9"/>
    <x v="1"/>
    <x v="8"/>
    <x v="2"/>
    <n v="16.8"/>
    <x v="1"/>
    <n v="35.799999999999997"/>
    <n v="3"/>
    <s v="Less than 0%"/>
    <x v="0"/>
    <x v="0"/>
    <x v="2"/>
    <x v="110"/>
    <s v="1-4 hrs"/>
    <s v="6-8 hrs"/>
    <x v="1"/>
  </r>
  <r>
    <x v="401"/>
    <n v="22"/>
    <s v="Male"/>
    <x v="3"/>
    <x v="4"/>
    <n v="6.6"/>
    <n v="4.3"/>
    <n v="1"/>
    <x v="2"/>
    <x v="5"/>
    <x v="2"/>
    <x v="3"/>
    <x v="2"/>
    <n v="20"/>
    <x v="1"/>
    <n v="82"/>
    <n v="2"/>
    <s v="80-90%"/>
    <x v="1"/>
    <x v="0"/>
    <x v="1"/>
    <x v="78"/>
    <s v="4-8 hrs"/>
    <s v="6-8 hrs"/>
    <x v="1"/>
  </r>
  <r>
    <x v="402"/>
    <n v="23"/>
    <s v="Female"/>
    <x v="1"/>
    <x v="1"/>
    <n v="7.7"/>
    <n v="6.4"/>
    <n v="2"/>
    <x v="6"/>
    <x v="4"/>
    <x v="2"/>
    <x v="23"/>
    <x v="1"/>
    <n v="28.5"/>
    <x v="1"/>
    <n v="70.3"/>
    <n v="5"/>
    <s v="70-80%"/>
    <x v="1"/>
    <x v="3"/>
    <x v="0"/>
    <x v="86"/>
    <s v="4-8 hrs"/>
    <s v="6-8 hrs"/>
    <x v="0"/>
  </r>
  <r>
    <x v="403"/>
    <n v="21"/>
    <s v="Female"/>
    <x v="0"/>
    <x v="2"/>
    <n v="5.9"/>
    <n v="2.1"/>
    <n v="2"/>
    <x v="16"/>
    <x v="17"/>
    <x v="3"/>
    <x v="20"/>
    <x v="4"/>
    <n v="2.9"/>
    <x v="0"/>
    <n v="74.900000000000006"/>
    <n v="3"/>
    <s v="70-80%"/>
    <x v="0"/>
    <x v="1"/>
    <x v="1"/>
    <x v="140"/>
    <s v="1-4 hrs"/>
    <s v="4-6 hrs"/>
    <x v="0"/>
  </r>
  <r>
    <x v="404"/>
    <n v="23"/>
    <s v="Male"/>
    <x v="0"/>
    <x v="3"/>
    <n v="4"/>
    <n v="5"/>
    <n v="2"/>
    <x v="8"/>
    <x v="7"/>
    <x v="1"/>
    <x v="15"/>
    <x v="1"/>
    <n v="12.8"/>
    <x v="0"/>
    <n v="81.400000000000006"/>
    <n v="3"/>
    <s v="80-90%"/>
    <x v="0"/>
    <x v="4"/>
    <x v="0"/>
    <x v="51"/>
    <s v="4-8 hrs"/>
    <s v="4-6 hrs"/>
    <x v="1"/>
  </r>
  <r>
    <x v="405"/>
    <n v="21"/>
    <s v="Male"/>
    <x v="1"/>
    <x v="1"/>
    <n v="3.5"/>
    <n v="12.5"/>
    <n v="2"/>
    <x v="12"/>
    <x v="3"/>
    <x v="2"/>
    <x v="3"/>
    <x v="1"/>
    <n v="19.5"/>
    <x v="1"/>
    <n v="88.2"/>
    <n v="3"/>
    <s v="80-90%"/>
    <x v="1"/>
    <x v="2"/>
    <x v="1"/>
    <x v="89"/>
    <s v="12-16 hrs"/>
    <s v="&lt; 4 hrs"/>
    <x v="1"/>
  </r>
  <r>
    <x v="406"/>
    <n v="21"/>
    <s v="M"/>
    <x v="1"/>
    <x v="5"/>
    <n v="5.0999999999999996"/>
    <n v="4.0999999999999996"/>
    <n v="2"/>
    <x v="6"/>
    <x v="5"/>
    <x v="2"/>
    <x v="21"/>
    <x v="2"/>
    <n v="25"/>
    <x v="1"/>
    <n v="100"/>
    <n v="4"/>
    <s v="More than 90%"/>
    <x v="0"/>
    <x v="0"/>
    <x v="0"/>
    <x v="40"/>
    <s v="4-8 hrs"/>
    <s v="4-6 hrs"/>
    <x v="1"/>
  </r>
  <r>
    <x v="407"/>
    <n v="23"/>
    <s v="Female"/>
    <x v="4"/>
    <x v="6"/>
    <n v="4.5999999999999996"/>
    <n v="4.3"/>
    <n v="3"/>
    <x v="23"/>
    <x v="16"/>
    <x v="0"/>
    <x v="17"/>
    <x v="4"/>
    <n v="13.3"/>
    <x v="0"/>
    <n v="80.900000000000006"/>
    <n v="4"/>
    <s v="80-90%"/>
    <x v="0"/>
    <x v="2"/>
    <x v="0"/>
    <x v="135"/>
    <s v="4-8 hrs"/>
    <s v="4-6 hrs"/>
    <x v="0"/>
  </r>
  <r>
    <x v="408"/>
    <n v="17"/>
    <s v="Female"/>
    <x v="3"/>
    <x v="1"/>
    <n v="6.5"/>
    <n v="1.2"/>
    <n v="0"/>
    <x v="23"/>
    <x v="14"/>
    <x v="0"/>
    <x v="20"/>
    <x v="4"/>
    <n v="30.8"/>
    <x v="0"/>
    <n v="100"/>
    <n v="5"/>
    <s v="More than 90%"/>
    <x v="0"/>
    <x v="1"/>
    <x v="1"/>
    <x v="47"/>
    <s v="1-4 hrs"/>
    <s v="6-8 hrs"/>
    <x v="0"/>
  </r>
  <r>
    <x v="409"/>
    <n v="19"/>
    <s v="Female"/>
    <x v="2"/>
    <x v="1"/>
    <n v="5.2"/>
    <n v="1.9"/>
    <n v="2"/>
    <x v="1"/>
    <x v="7"/>
    <x v="1"/>
    <x v="13"/>
    <x v="1"/>
    <n v="20.8"/>
    <x v="1"/>
    <n v="81.900000000000006"/>
    <n v="2"/>
    <s v="80-90%"/>
    <x v="0"/>
    <x v="1"/>
    <x v="1"/>
    <x v="18"/>
    <s v="1-4 hrs"/>
    <s v="4-6 hrs"/>
    <x v="0"/>
  </r>
  <r>
    <x v="410"/>
    <n v="18"/>
    <s v="Male"/>
    <x v="3"/>
    <x v="5"/>
    <n v="5.8"/>
    <n v="2.4"/>
    <n v="4"/>
    <x v="3"/>
    <x v="5"/>
    <x v="2"/>
    <x v="5"/>
    <x v="2"/>
    <n v="14.6"/>
    <x v="1"/>
    <n v="58.5"/>
    <n v="4"/>
    <s v="Less than 0%"/>
    <x v="1"/>
    <x v="3"/>
    <x v="1"/>
    <x v="62"/>
    <s v="1-4 hrs"/>
    <s v="4-6 hrs"/>
    <x v="1"/>
  </r>
  <r>
    <x v="411"/>
    <n v="17"/>
    <s v="Male"/>
    <x v="3"/>
    <x v="0"/>
    <n v="4.7"/>
    <n v="6.3"/>
    <n v="1"/>
    <x v="17"/>
    <x v="4"/>
    <x v="2"/>
    <x v="29"/>
    <x v="1"/>
    <n v="19.3"/>
    <x v="1"/>
    <n v="77.400000000000006"/>
    <n v="4"/>
    <s v="70-80%"/>
    <x v="0"/>
    <x v="3"/>
    <x v="1"/>
    <x v="87"/>
    <s v="4-8 hrs"/>
    <s v="4-6 hrs"/>
    <x v="1"/>
  </r>
  <r>
    <x v="412"/>
    <n v="20"/>
    <s v="Male"/>
    <x v="0"/>
    <x v="1"/>
    <n v="5.5"/>
    <n v="2.2000000000000002"/>
    <n v="1"/>
    <x v="12"/>
    <x v="4"/>
    <x v="2"/>
    <x v="2"/>
    <x v="1"/>
    <n v="17.100000000000001"/>
    <x v="1"/>
    <n v="65.8"/>
    <n v="3"/>
    <s v="60-70 %"/>
    <x v="1"/>
    <x v="4"/>
    <x v="0"/>
    <x v="11"/>
    <s v="1-4 hrs"/>
    <s v="4-6 hrs"/>
    <x v="1"/>
  </r>
  <r>
    <x v="413"/>
    <n v="23"/>
    <s v="F"/>
    <x v="0"/>
    <x v="0"/>
    <n v="8"/>
    <n v="1"/>
    <n v="1"/>
    <x v="17"/>
    <x v="10"/>
    <x v="2"/>
    <x v="23"/>
    <x v="2"/>
    <n v="27.2"/>
    <x v="1"/>
    <n v="90.4"/>
    <n v="1"/>
    <s v="More than 90%"/>
    <x v="0"/>
    <x v="1"/>
    <x v="1"/>
    <x v="128"/>
    <s v="1-4 hrs"/>
    <s v="6-8 hrs"/>
    <x v="0"/>
  </r>
  <r>
    <x v="414"/>
    <n v="21"/>
    <s v="Female"/>
    <x v="0"/>
    <x v="5"/>
    <n v="6.6"/>
    <n v="5.6"/>
    <n v="0"/>
    <x v="2"/>
    <x v="9"/>
    <x v="2"/>
    <x v="16"/>
    <x v="2"/>
    <n v="6.2"/>
    <x v="1"/>
    <n v="65.5"/>
    <n v="4"/>
    <s v="60-70 %"/>
    <x v="0"/>
    <x v="0"/>
    <x v="1"/>
    <x v="73"/>
    <s v="4-8 hrs"/>
    <s v="6-8 hrs"/>
    <x v="0"/>
  </r>
  <r>
    <x v="415"/>
    <n v="22"/>
    <s v="Male"/>
    <x v="1"/>
    <x v="1"/>
    <n v="6.3"/>
    <n v="2.6"/>
    <n v="3"/>
    <x v="22"/>
    <x v="13"/>
    <x v="3"/>
    <x v="27"/>
    <x v="4"/>
    <n v="78"/>
    <x v="0"/>
    <n v="84.1"/>
    <n v="2"/>
    <s v="80-90%"/>
    <x v="1"/>
    <x v="1"/>
    <x v="2"/>
    <x v="20"/>
    <s v="1-4 hrs"/>
    <s v="6-8 hrs"/>
    <x v="1"/>
  </r>
  <r>
    <x v="416"/>
    <n v="24"/>
    <s v="Female"/>
    <x v="2"/>
    <x v="0"/>
    <n v="6.3"/>
    <n v="1.2"/>
    <n v="0"/>
    <x v="9"/>
    <x v="1"/>
    <x v="1"/>
    <x v="8"/>
    <x v="1"/>
    <n v="24.7"/>
    <x v="1"/>
    <n v="81.5"/>
    <n v="4"/>
    <s v="80-90%"/>
    <x v="0"/>
    <x v="0"/>
    <x v="1"/>
    <x v="109"/>
    <s v="1-4 hrs"/>
    <s v="6-8 hrs"/>
    <x v="0"/>
  </r>
  <r>
    <x v="417"/>
    <n v="24"/>
    <s v="Female"/>
    <x v="0"/>
    <x v="4"/>
    <n v="5.4"/>
    <n v="6.8"/>
    <n v="2"/>
    <x v="10"/>
    <x v="4"/>
    <x v="1"/>
    <x v="19"/>
    <x v="1"/>
    <n v="30.5"/>
    <x v="0"/>
    <n v="79"/>
    <n v="3"/>
    <s v="70-80%"/>
    <x v="1"/>
    <x v="0"/>
    <x v="2"/>
    <x v="24"/>
    <s v="4-8 hrs"/>
    <s v="4-6 hrs"/>
    <x v="0"/>
  </r>
  <r>
    <x v="418"/>
    <n v="21"/>
    <s v="Female"/>
    <x v="0"/>
    <x v="2"/>
    <n v="6.9"/>
    <n v="3.3"/>
    <n v="7"/>
    <x v="9"/>
    <x v="3"/>
    <x v="1"/>
    <x v="2"/>
    <x v="1"/>
    <n v="1.6"/>
    <x v="1"/>
    <n v="83.6"/>
    <n v="1"/>
    <s v="80-90%"/>
    <x v="1"/>
    <x v="1"/>
    <x v="0"/>
    <x v="33"/>
    <s v="1-4 hrs"/>
    <s v="6-8 hrs"/>
    <x v="0"/>
  </r>
  <r>
    <x v="419"/>
    <n v="24"/>
    <s v="Female"/>
    <x v="1"/>
    <x v="4"/>
    <n v="6.4"/>
    <n v="6"/>
    <n v="5"/>
    <x v="12"/>
    <x v="5"/>
    <x v="2"/>
    <x v="6"/>
    <x v="2"/>
    <n v="28.1"/>
    <x v="1"/>
    <n v="98.3"/>
    <n v="5"/>
    <s v="More than 90%"/>
    <x v="0"/>
    <x v="2"/>
    <x v="0"/>
    <x v="95"/>
    <s v="4-8 hrs"/>
    <s v="6-8 hrs"/>
    <x v="0"/>
  </r>
  <r>
    <x v="420"/>
    <n v="22"/>
    <s v="Female"/>
    <x v="3"/>
    <x v="0"/>
    <n v="5.4"/>
    <n v="1.2"/>
    <n v="1"/>
    <x v="9"/>
    <x v="1"/>
    <x v="1"/>
    <x v="2"/>
    <x v="1"/>
    <n v="85.3"/>
    <x v="1"/>
    <n v="100"/>
    <n v="4"/>
    <s v="More than 90%"/>
    <x v="0"/>
    <x v="2"/>
    <x v="0"/>
    <x v="141"/>
    <s v="1-4 hrs"/>
    <s v="4-6 hrs"/>
    <x v="0"/>
  </r>
  <r>
    <x v="421"/>
    <n v="20"/>
    <s v="Male"/>
    <x v="0"/>
    <x v="3"/>
    <n v="6.9"/>
    <n v="1"/>
    <n v="2"/>
    <x v="12"/>
    <x v="2"/>
    <x v="2"/>
    <x v="23"/>
    <x v="2"/>
    <n v="3.7"/>
    <x v="1"/>
    <n v="77.400000000000006"/>
    <n v="3"/>
    <s v="70-80%"/>
    <x v="0"/>
    <x v="4"/>
    <x v="1"/>
    <x v="58"/>
    <s v="1-4 hrs"/>
    <s v="6-8 hrs"/>
    <x v="1"/>
  </r>
  <r>
    <x v="422"/>
    <n v="20"/>
    <s v="Male"/>
    <x v="1"/>
    <x v="5"/>
    <n v="4"/>
    <n v="4.7"/>
    <n v="3"/>
    <x v="16"/>
    <x v="4"/>
    <x v="3"/>
    <x v="4"/>
    <x v="1"/>
    <n v="1"/>
    <x v="0"/>
    <n v="91.9"/>
    <n v="4"/>
    <s v="More than 90%"/>
    <x v="0"/>
    <x v="1"/>
    <x v="2"/>
    <x v="142"/>
    <s v="4-8 hrs"/>
    <s v="4-6 hrs"/>
    <x v="1"/>
  </r>
  <r>
    <x v="423"/>
    <n v="18"/>
    <s v="F"/>
    <x v="0"/>
    <x v="1"/>
    <n v="6.6"/>
    <n v="1.8"/>
    <n v="4"/>
    <x v="17"/>
    <x v="19"/>
    <x v="2"/>
    <x v="6"/>
    <x v="2"/>
    <n v="8.9"/>
    <x v="1"/>
    <n v="59.2"/>
    <n v="3"/>
    <s v="Less than 0%"/>
    <x v="1"/>
    <x v="0"/>
    <x v="0"/>
    <x v="81"/>
    <s v="1-4 hrs"/>
    <s v="6-8 hrs"/>
    <x v="0"/>
  </r>
  <r>
    <x v="424"/>
    <n v="20"/>
    <s v="Female"/>
    <x v="3"/>
    <x v="4"/>
    <n v="7.2"/>
    <n v="4.7"/>
    <n v="4"/>
    <x v="6"/>
    <x v="9"/>
    <x v="2"/>
    <x v="5"/>
    <x v="2"/>
    <n v="19.8"/>
    <x v="1"/>
    <n v="60.4"/>
    <n v="4"/>
    <s v="60-70 %"/>
    <x v="0"/>
    <x v="2"/>
    <x v="1"/>
    <x v="143"/>
    <s v="4-8 hrs"/>
    <s v="6-8 hrs"/>
    <x v="0"/>
  </r>
  <r>
    <x v="425"/>
    <n v="21"/>
    <s v="F"/>
    <x v="2"/>
    <x v="0"/>
    <n v="6.6"/>
    <n v="4.7"/>
    <n v="1"/>
    <x v="22"/>
    <x v="11"/>
    <x v="3"/>
    <x v="4"/>
    <x v="1"/>
    <n v="15.7"/>
    <x v="0"/>
    <n v="60.7"/>
    <n v="2"/>
    <s v="60-70 %"/>
    <x v="0"/>
    <x v="1"/>
    <x v="0"/>
    <x v="64"/>
    <s v="4-8 hrs"/>
    <s v="6-8 hrs"/>
    <x v="0"/>
  </r>
  <r>
    <x v="426"/>
    <n v="23"/>
    <s v="Male"/>
    <x v="1"/>
    <x v="1"/>
    <n v="8.4"/>
    <n v="4.4000000000000004"/>
    <n v="1"/>
    <x v="4"/>
    <x v="14"/>
    <x v="3"/>
    <x v="22"/>
    <x v="4"/>
    <n v="24.9"/>
    <x v="0"/>
    <n v="80.7"/>
    <n v="3"/>
    <s v="80-90%"/>
    <x v="1"/>
    <x v="2"/>
    <x v="0"/>
    <x v="9"/>
    <s v="4-8 hrs"/>
    <s v="&gt; 8 hrs"/>
    <x v="1"/>
  </r>
  <r>
    <x v="427"/>
    <n v="25"/>
    <s v="Female"/>
    <x v="4"/>
    <x v="1"/>
    <n v="4.5"/>
    <n v="8.3000000000000007"/>
    <n v="2"/>
    <x v="16"/>
    <x v="16"/>
    <x v="3"/>
    <x v="24"/>
    <x v="4"/>
    <n v="12.9"/>
    <x v="0"/>
    <n v="91.1"/>
    <n v="3"/>
    <s v="More than 90%"/>
    <x v="0"/>
    <x v="4"/>
    <x v="2"/>
    <x v="132"/>
    <s v="8-12 hrs"/>
    <s v="4-6 hrs"/>
    <x v="0"/>
  </r>
  <r>
    <x v="428"/>
    <n v="19"/>
    <s v="Male"/>
    <x v="0"/>
    <x v="5"/>
    <n v="5.0999999999999996"/>
    <n v="16"/>
    <n v="5"/>
    <x v="10"/>
    <x v="1"/>
    <x v="1"/>
    <x v="13"/>
    <x v="1"/>
    <n v="7.7"/>
    <x v="1"/>
    <n v="68"/>
    <n v="3"/>
    <s v="60-70 %"/>
    <x v="0"/>
    <x v="1"/>
    <x v="0"/>
    <x v="67"/>
    <s v="12-16 hrs"/>
    <s v="4-6 hrs"/>
    <x v="1"/>
  </r>
  <r>
    <x v="429"/>
    <n v="22"/>
    <s v="Male"/>
    <x v="3"/>
    <x v="1"/>
    <n v="6.1"/>
    <n v="5.6"/>
    <n v="5"/>
    <x v="2"/>
    <x v="5"/>
    <x v="2"/>
    <x v="6"/>
    <x v="2"/>
    <n v="17.600000000000001"/>
    <x v="1"/>
    <n v="72.2"/>
    <n v="3"/>
    <s v="70-80%"/>
    <x v="1"/>
    <x v="0"/>
    <x v="1"/>
    <x v="78"/>
    <s v="4-8 hrs"/>
    <s v="6-8 hrs"/>
    <x v="1"/>
  </r>
  <r>
    <x v="430"/>
    <n v="19"/>
    <s v="Male"/>
    <x v="4"/>
    <x v="1"/>
    <n v="5.0999999999999996"/>
    <n v="12.5"/>
    <n v="0"/>
    <x v="4"/>
    <x v="16"/>
    <x v="3"/>
    <x v="0"/>
    <x v="4"/>
    <n v="19.3"/>
    <x v="0"/>
    <n v="72.2"/>
    <n v="2"/>
    <s v="70-80%"/>
    <x v="0"/>
    <x v="3"/>
    <x v="2"/>
    <x v="30"/>
    <s v="12-16 hrs"/>
    <s v="4-6 hrs"/>
    <x v="1"/>
  </r>
  <r>
    <x v="431"/>
    <n v="22"/>
    <s v="Male"/>
    <x v="0"/>
    <x v="1"/>
    <n v="6.2"/>
    <n v="3.4"/>
    <n v="3"/>
    <x v="16"/>
    <x v="11"/>
    <x v="3"/>
    <x v="27"/>
    <x v="1"/>
    <n v="24.5"/>
    <x v="0"/>
    <n v="84.9"/>
    <n v="5"/>
    <s v="80-90%"/>
    <x v="0"/>
    <x v="1"/>
    <x v="2"/>
    <x v="64"/>
    <s v="1-4 hrs"/>
    <s v="6-8 hrs"/>
    <x v="1"/>
  </r>
  <r>
    <x v="432"/>
    <n v="21"/>
    <s v="Female"/>
    <x v="4"/>
    <x v="0"/>
    <n v="6.3"/>
    <n v="1.6"/>
    <n v="1"/>
    <x v="13"/>
    <x v="13"/>
    <x v="3"/>
    <x v="19"/>
    <x v="4"/>
    <n v="11"/>
    <x v="0"/>
    <n v="66.2"/>
    <n v="1"/>
    <s v="60-70 %"/>
    <x v="1"/>
    <x v="4"/>
    <x v="0"/>
    <x v="144"/>
    <s v="1-4 hrs"/>
    <s v="6-8 hrs"/>
    <x v="0"/>
  </r>
  <r>
    <x v="433"/>
    <n v="18"/>
    <s v="Female"/>
    <x v="1"/>
    <x v="0"/>
    <n v="7.2"/>
    <n v="2.7"/>
    <n v="4"/>
    <x v="1"/>
    <x v="3"/>
    <x v="1"/>
    <x v="22"/>
    <x v="1"/>
    <n v="19.7"/>
    <x v="0"/>
    <n v="70.5"/>
    <n v="1"/>
    <s v="70-80%"/>
    <x v="0"/>
    <x v="0"/>
    <x v="1"/>
    <x v="145"/>
    <s v="1-4 hrs"/>
    <s v="6-8 hrs"/>
    <x v="0"/>
  </r>
  <r>
    <x v="434"/>
    <n v="23"/>
    <s v="Female"/>
    <x v="0"/>
    <x v="2"/>
    <n v="8"/>
    <n v="3.5"/>
    <n v="5"/>
    <x v="9"/>
    <x v="11"/>
    <x v="1"/>
    <x v="2"/>
    <x v="1"/>
    <n v="13.6"/>
    <x v="1"/>
    <n v="61.4"/>
    <n v="3"/>
    <s v="60-70 %"/>
    <x v="1"/>
    <x v="0"/>
    <x v="0"/>
    <x v="17"/>
    <s v="1-4 hrs"/>
    <s v="6-8 hrs"/>
    <x v="0"/>
  </r>
  <r>
    <x v="435"/>
    <n v="20"/>
    <s v="Female"/>
    <x v="4"/>
    <x v="1"/>
    <n v="5.2"/>
    <n v="13.2"/>
    <n v="2"/>
    <x v="23"/>
    <x v="17"/>
    <x v="0"/>
    <x v="26"/>
    <x v="4"/>
    <n v="13.6"/>
    <x v="0"/>
    <n v="68.3"/>
    <n v="4"/>
    <s v="60-70 %"/>
    <x v="1"/>
    <x v="1"/>
    <x v="0"/>
    <x v="49"/>
    <s v="12-16 hrs"/>
    <s v="4-6 hrs"/>
    <x v="0"/>
  </r>
  <r>
    <x v="436"/>
    <n v="20"/>
    <s v="Female"/>
    <x v="0"/>
    <x v="1"/>
    <n v="7.1"/>
    <n v="4.5"/>
    <n v="0"/>
    <x v="1"/>
    <x v="3"/>
    <x v="1"/>
    <x v="9"/>
    <x v="1"/>
    <n v="15.6"/>
    <x v="1"/>
    <n v="100"/>
    <n v="2"/>
    <s v="More than 90%"/>
    <x v="0"/>
    <x v="0"/>
    <x v="1"/>
    <x v="114"/>
    <s v="4-8 hrs"/>
    <s v="6-8 hrs"/>
    <x v="0"/>
  </r>
  <r>
    <x v="437"/>
    <n v="19"/>
    <s v="Female"/>
    <x v="1"/>
    <x v="2"/>
    <n v="4.9000000000000004"/>
    <n v="8.5"/>
    <n v="3"/>
    <x v="2"/>
    <x v="2"/>
    <x v="2"/>
    <x v="6"/>
    <x v="2"/>
    <n v="22.9"/>
    <x v="1"/>
    <n v="76.900000000000006"/>
    <n v="3"/>
    <s v="70-80%"/>
    <x v="0"/>
    <x v="0"/>
    <x v="2"/>
    <x v="40"/>
    <s v="8-12 hrs"/>
    <s v="4-6 hrs"/>
    <x v="0"/>
  </r>
  <r>
    <x v="438"/>
    <n v="20"/>
    <s v="Male"/>
    <x v="0"/>
    <x v="0"/>
    <n v="7.4"/>
    <n v="3.2"/>
    <n v="2"/>
    <x v="3"/>
    <x v="3"/>
    <x v="2"/>
    <x v="4"/>
    <x v="1"/>
    <n v="20"/>
    <x v="0"/>
    <n v="71.900000000000006"/>
    <n v="4"/>
    <s v="70-80%"/>
    <x v="1"/>
    <x v="4"/>
    <x v="0"/>
    <x v="86"/>
    <s v="1-4 hrs"/>
    <s v="6-8 hrs"/>
    <x v="1"/>
  </r>
  <r>
    <x v="439"/>
    <n v="22"/>
    <s v="Prefer not to say"/>
    <x v="0"/>
    <x v="5"/>
    <n v="5.8"/>
    <n v="2.9"/>
    <n v="4"/>
    <x v="9"/>
    <x v="4"/>
    <x v="1"/>
    <x v="9"/>
    <x v="1"/>
    <n v="10.1"/>
    <x v="1"/>
    <n v="95.5"/>
    <n v="2"/>
    <s v="More than 90%"/>
    <x v="0"/>
    <x v="1"/>
    <x v="2"/>
    <x v="10"/>
    <s v="1-4 hrs"/>
    <s v="4-6 hrs"/>
    <x v="2"/>
  </r>
  <r>
    <x v="440"/>
    <n v="21"/>
    <s v="M"/>
    <x v="2"/>
    <x v="1"/>
    <n v="7.9"/>
    <n v="1.1000000000000001"/>
    <n v="2"/>
    <x v="15"/>
    <x v="13"/>
    <x v="3"/>
    <x v="20"/>
    <x v="4"/>
    <n v="26.7"/>
    <x v="0"/>
    <n v="73.400000000000006"/>
    <n v="5"/>
    <s v="70-80%"/>
    <x v="0"/>
    <x v="4"/>
    <x v="0"/>
    <x v="99"/>
    <s v="1-4 hrs"/>
    <s v="6-8 hrs"/>
    <x v="1"/>
  </r>
  <r>
    <x v="441"/>
    <n v="22"/>
    <s v="Male"/>
    <x v="1"/>
    <x v="1"/>
    <n v="8"/>
    <n v="12.9"/>
    <n v="5"/>
    <x v="5"/>
    <x v="9"/>
    <x v="1"/>
    <x v="13"/>
    <x v="2"/>
    <n v="35.6"/>
    <x v="1"/>
    <n v="100"/>
    <n v="3"/>
    <s v="More than 90%"/>
    <x v="0"/>
    <x v="1"/>
    <x v="1"/>
    <x v="146"/>
    <s v="12-16 hrs"/>
    <s v="6-8 hrs"/>
    <x v="1"/>
  </r>
  <r>
    <x v="442"/>
    <n v="22"/>
    <s v="Female"/>
    <x v="1"/>
    <x v="1"/>
    <n v="5.3"/>
    <n v="10.199999999999999"/>
    <n v="2"/>
    <x v="2"/>
    <x v="5"/>
    <x v="2"/>
    <x v="23"/>
    <x v="2"/>
    <n v="23.5"/>
    <x v="1"/>
    <n v="100"/>
    <n v="4"/>
    <s v="More than 90%"/>
    <x v="0"/>
    <x v="2"/>
    <x v="2"/>
    <x v="99"/>
    <s v="8-12 hrs"/>
    <s v="4-6 hrs"/>
    <x v="0"/>
  </r>
  <r>
    <x v="443"/>
    <n v="24"/>
    <s v="Male"/>
    <x v="4"/>
    <x v="0"/>
    <n v="3.7"/>
    <n v="5.0999999999999996"/>
    <n v="1"/>
    <x v="12"/>
    <x v="5"/>
    <x v="2"/>
    <x v="3"/>
    <x v="2"/>
    <n v="29.8"/>
    <x v="1"/>
    <n v="84.7"/>
    <n v="2"/>
    <s v="80-90%"/>
    <x v="0"/>
    <x v="4"/>
    <x v="0"/>
    <x v="57"/>
    <s v="4-8 hrs"/>
    <s v="&lt; 4 hrs"/>
    <x v="1"/>
  </r>
  <r>
    <x v="444"/>
    <n v="21"/>
    <s v="Female"/>
    <x v="0"/>
    <x v="0"/>
    <n v="5.8"/>
    <n v="3.7"/>
    <n v="2"/>
    <x v="6"/>
    <x v="5"/>
    <x v="2"/>
    <x v="8"/>
    <x v="2"/>
    <n v="25.9"/>
    <x v="1"/>
    <n v="59.1"/>
    <n v="4"/>
    <s v="Less than 0%"/>
    <x v="1"/>
    <x v="3"/>
    <x v="0"/>
    <x v="87"/>
    <s v="1-4 hrs"/>
    <s v="4-6 hrs"/>
    <x v="0"/>
  </r>
  <r>
    <x v="445"/>
    <n v="18"/>
    <s v="Female"/>
    <x v="4"/>
    <x v="4"/>
    <n v="8"/>
    <n v="4.5999999999999996"/>
    <n v="0"/>
    <x v="2"/>
    <x v="19"/>
    <x v="2"/>
    <x v="23"/>
    <x v="2"/>
    <n v="15.5"/>
    <x v="1"/>
    <n v="100"/>
    <n v="4"/>
    <s v="More than 90%"/>
    <x v="0"/>
    <x v="3"/>
    <x v="1"/>
    <x v="20"/>
    <s v="4-8 hrs"/>
    <s v="6-8 hrs"/>
    <x v="0"/>
  </r>
  <r>
    <x v="446"/>
    <n v="24"/>
    <s v="Male"/>
    <x v="1"/>
    <x v="0"/>
    <n v="7.5"/>
    <n v="1.5"/>
    <n v="2"/>
    <x v="6"/>
    <x v="9"/>
    <x v="2"/>
    <x v="19"/>
    <x v="2"/>
    <n v="19.899999999999999"/>
    <x v="0"/>
    <n v="80.900000000000006"/>
    <n v="2"/>
    <s v="80-90%"/>
    <x v="0"/>
    <x v="4"/>
    <x v="1"/>
    <x v="9"/>
    <s v="1-4 hrs"/>
    <s v="6-8 hrs"/>
    <x v="1"/>
  </r>
  <r>
    <x v="447"/>
    <n v="21"/>
    <s v="Female"/>
    <x v="3"/>
    <x v="2"/>
    <n v="6.6"/>
    <n v="5.9"/>
    <n v="3"/>
    <x v="5"/>
    <x v="4"/>
    <x v="1"/>
    <x v="9"/>
    <x v="1"/>
    <n v="7"/>
    <x v="1"/>
    <n v="75.7"/>
    <n v="2"/>
    <s v="70-80%"/>
    <x v="0"/>
    <x v="1"/>
    <x v="0"/>
    <x v="67"/>
    <s v="4-8 hrs"/>
    <s v="6-8 hrs"/>
    <x v="0"/>
  </r>
  <r>
    <x v="448"/>
    <n v="24"/>
    <s v="Male"/>
    <x v="4"/>
    <x v="2"/>
    <n v="6.8"/>
    <n v="9.6999999999999993"/>
    <n v="1"/>
    <x v="8"/>
    <x v="3"/>
    <x v="1"/>
    <x v="9"/>
    <x v="1"/>
    <n v="15.8"/>
    <x v="1"/>
    <n v="92.4"/>
    <n v="3"/>
    <s v="More than 90%"/>
    <x v="1"/>
    <x v="4"/>
    <x v="0"/>
    <x v="10"/>
    <s v="8-12 hrs"/>
    <s v="6-8 hrs"/>
    <x v="1"/>
  </r>
  <r>
    <x v="449"/>
    <n v="22"/>
    <s v="Female"/>
    <x v="3"/>
    <x v="1"/>
    <n v="6.3"/>
    <n v="10"/>
    <n v="0"/>
    <x v="11"/>
    <x v="8"/>
    <x v="5"/>
    <x v="8"/>
    <x v="3"/>
    <n v="13.1"/>
    <x v="1"/>
    <n v="87.2"/>
    <n v="1"/>
    <s v="80-90%"/>
    <x v="1"/>
    <x v="3"/>
    <x v="2"/>
    <x v="30"/>
    <s v="8-12 hrs"/>
    <s v="6-8 hrs"/>
    <x v="0"/>
  </r>
  <r>
    <x v="450"/>
    <n v="21"/>
    <s v="Male"/>
    <x v="3"/>
    <x v="2"/>
    <n v="8.4"/>
    <n v="1.2"/>
    <n v="1"/>
    <x v="23"/>
    <x v="18"/>
    <x v="0"/>
    <x v="20"/>
    <x v="4"/>
    <n v="10.7"/>
    <x v="0"/>
    <n v="93"/>
    <n v="5"/>
    <s v="More than 90%"/>
    <x v="1"/>
    <x v="4"/>
    <x v="2"/>
    <x v="55"/>
    <s v="1-4 hrs"/>
    <s v="&gt; 8 hrs"/>
    <x v="1"/>
  </r>
  <r>
    <x v="451"/>
    <n v="22"/>
    <s v="Male"/>
    <x v="0"/>
    <x v="0"/>
    <n v="6.7"/>
    <n v="8.4"/>
    <n v="0"/>
    <x v="5"/>
    <x v="1"/>
    <x v="1"/>
    <x v="5"/>
    <x v="1"/>
    <n v="12.1"/>
    <x v="1"/>
    <n v="69.2"/>
    <n v="4"/>
    <s v="60-70 %"/>
    <x v="0"/>
    <x v="2"/>
    <x v="0"/>
    <x v="47"/>
    <s v="8-12 hrs"/>
    <s v="6-8 hrs"/>
    <x v="1"/>
  </r>
  <r>
    <x v="452"/>
    <n v="26"/>
    <s v="Male"/>
    <x v="4"/>
    <x v="0"/>
    <n v="8.3000000000000007"/>
    <n v="1.5"/>
    <n v="5"/>
    <x v="9"/>
    <x v="1"/>
    <x v="1"/>
    <x v="8"/>
    <x v="1"/>
    <n v="15.8"/>
    <x v="1"/>
    <n v="87.7"/>
    <n v="4"/>
    <s v="80-90%"/>
    <x v="0"/>
    <x v="1"/>
    <x v="1"/>
    <x v="38"/>
    <s v="1-4 hrs"/>
    <s v="&gt; 8 hrs"/>
    <x v="1"/>
  </r>
  <r>
    <x v="453"/>
    <n v="26"/>
    <s v="Female"/>
    <x v="4"/>
    <x v="1"/>
    <n v="7.2"/>
    <n v="1"/>
    <n v="6"/>
    <x v="9"/>
    <x v="4"/>
    <x v="1"/>
    <x v="8"/>
    <x v="1"/>
    <n v="20.399999999999999"/>
    <x v="1"/>
    <n v="73.400000000000006"/>
    <n v="5"/>
    <s v="70-80%"/>
    <x v="0"/>
    <x v="4"/>
    <x v="0"/>
    <x v="83"/>
    <s v="1-4 hrs"/>
    <s v="6-8 hrs"/>
    <x v="0"/>
  </r>
  <r>
    <x v="454"/>
    <n v="22"/>
    <s v="Female"/>
    <x v="1"/>
    <x v="4"/>
    <n v="7"/>
    <n v="8.6"/>
    <n v="0"/>
    <x v="12"/>
    <x v="2"/>
    <x v="2"/>
    <x v="23"/>
    <x v="2"/>
    <n v="20.9"/>
    <x v="1"/>
    <n v="94.6"/>
    <n v="4"/>
    <s v="More than 90%"/>
    <x v="0"/>
    <x v="2"/>
    <x v="1"/>
    <x v="53"/>
    <s v="8-12 hrs"/>
    <s v="6-8 hrs"/>
    <x v="0"/>
  </r>
  <r>
    <x v="455"/>
    <n v="22"/>
    <s v="Female"/>
    <x v="3"/>
    <x v="3"/>
    <n v="5.8"/>
    <n v="3"/>
    <n v="4"/>
    <x v="6"/>
    <x v="2"/>
    <x v="2"/>
    <x v="3"/>
    <x v="2"/>
    <n v="2.9"/>
    <x v="1"/>
    <n v="75.7"/>
    <n v="4"/>
    <s v="70-80%"/>
    <x v="1"/>
    <x v="1"/>
    <x v="0"/>
    <x v="21"/>
    <s v="1-4 hrs"/>
    <s v="4-6 hrs"/>
    <x v="0"/>
  </r>
  <r>
    <x v="456"/>
    <n v="24"/>
    <s v="Male"/>
    <x v="2"/>
    <x v="1"/>
    <n v="5.0999999999999996"/>
    <n v="7.9"/>
    <n v="4"/>
    <x v="6"/>
    <x v="5"/>
    <x v="2"/>
    <x v="5"/>
    <x v="2"/>
    <n v="17.899999999999999"/>
    <x v="1"/>
    <n v="86.5"/>
    <n v="3"/>
    <s v="80-90%"/>
    <x v="1"/>
    <x v="1"/>
    <x v="0"/>
    <x v="147"/>
    <s v="4-8 hrs"/>
    <s v="4-6 hrs"/>
    <x v="1"/>
  </r>
  <r>
    <x v="457"/>
    <n v="20"/>
    <s v="Prefer not to say"/>
    <x v="3"/>
    <x v="2"/>
    <n v="7.9"/>
    <n v="7.5"/>
    <n v="7"/>
    <x v="2"/>
    <x v="5"/>
    <x v="2"/>
    <x v="3"/>
    <x v="2"/>
    <n v="6.5"/>
    <x v="1"/>
    <n v="79"/>
    <n v="3"/>
    <s v="70-80%"/>
    <x v="0"/>
    <x v="1"/>
    <x v="2"/>
    <x v="49"/>
    <s v="4-8 hrs"/>
    <s v="6-8 hrs"/>
    <x v="2"/>
  </r>
  <r>
    <x v="458"/>
    <n v="22"/>
    <s v="Male"/>
    <x v="3"/>
    <x v="5"/>
    <n v="5.6"/>
    <n v="6.9"/>
    <n v="2"/>
    <x v="11"/>
    <x v="8"/>
    <x v="5"/>
    <x v="8"/>
    <x v="3"/>
    <n v="16.7"/>
    <x v="1"/>
    <n v="73.599999999999994"/>
    <n v="3"/>
    <s v="70-80%"/>
    <x v="0"/>
    <x v="4"/>
    <x v="1"/>
    <x v="110"/>
    <s v="4-8 hrs"/>
    <s v="4-6 hrs"/>
    <x v="1"/>
  </r>
  <r>
    <x v="459"/>
    <n v="21"/>
    <s v="Male"/>
    <x v="1"/>
    <x v="1"/>
    <n v="7.1"/>
    <n v="4.5999999999999996"/>
    <n v="2"/>
    <x v="6"/>
    <x v="9"/>
    <x v="2"/>
    <x v="3"/>
    <x v="2"/>
    <n v="24.2"/>
    <x v="1"/>
    <n v="66"/>
    <n v="3"/>
    <s v="60-70 %"/>
    <x v="0"/>
    <x v="1"/>
    <x v="1"/>
    <x v="83"/>
    <s v="4-8 hrs"/>
    <s v="6-8 hrs"/>
    <x v="1"/>
  </r>
  <r>
    <x v="460"/>
    <n v="22"/>
    <s v="Female"/>
    <x v="0"/>
    <x v="4"/>
    <n v="6.7"/>
    <n v="1.7"/>
    <n v="2"/>
    <x v="12"/>
    <x v="10"/>
    <x v="2"/>
    <x v="29"/>
    <x v="2"/>
    <n v="20.7"/>
    <x v="1"/>
    <n v="92.4"/>
    <n v="3"/>
    <s v="More than 90%"/>
    <x v="1"/>
    <x v="0"/>
    <x v="2"/>
    <x v="98"/>
    <s v="1-4 hrs"/>
    <s v="6-8 hrs"/>
    <x v="0"/>
  </r>
  <r>
    <x v="461"/>
    <n v="20"/>
    <s v="Male"/>
    <x v="4"/>
    <x v="5"/>
    <n v="5.6"/>
    <n v="3.6"/>
    <n v="5"/>
    <x v="9"/>
    <x v="5"/>
    <x v="1"/>
    <x v="22"/>
    <x v="2"/>
    <n v="14.1"/>
    <x v="0"/>
    <n v="100"/>
    <n v="2"/>
    <s v="More than 90%"/>
    <x v="0"/>
    <x v="3"/>
    <x v="0"/>
    <x v="53"/>
    <s v="1-4 hrs"/>
    <s v="4-6 hrs"/>
    <x v="1"/>
  </r>
  <r>
    <x v="462"/>
    <n v="18"/>
    <s v="Male"/>
    <x v="4"/>
    <x v="3"/>
    <n v="6"/>
    <n v="10.1"/>
    <n v="4"/>
    <x v="4"/>
    <x v="13"/>
    <x v="3"/>
    <x v="22"/>
    <x v="4"/>
    <n v="18.2"/>
    <x v="0"/>
    <n v="66"/>
    <n v="3"/>
    <s v="60-70 %"/>
    <x v="0"/>
    <x v="4"/>
    <x v="2"/>
    <x v="71"/>
    <s v="8-12 hrs"/>
    <s v="4-6 hrs"/>
    <x v="1"/>
  </r>
  <r>
    <x v="463"/>
    <n v="17"/>
    <s v="Female"/>
    <x v="0"/>
    <x v="6"/>
    <n v="7.2"/>
    <n v="8"/>
    <n v="3"/>
    <x v="5"/>
    <x v="9"/>
    <x v="1"/>
    <x v="2"/>
    <x v="2"/>
    <n v="13.7"/>
    <x v="1"/>
    <n v="84.8"/>
    <n v="3"/>
    <s v="80-90%"/>
    <x v="1"/>
    <x v="4"/>
    <x v="2"/>
    <x v="110"/>
    <s v="8-12 hrs"/>
    <s v="6-8 hrs"/>
    <x v="0"/>
  </r>
  <r>
    <x v="464"/>
    <n v="19"/>
    <s v="Female"/>
    <x v="3"/>
    <x v="1"/>
    <n v="6.8"/>
    <n v="3.7"/>
    <n v="1"/>
    <x v="6"/>
    <x v="2"/>
    <x v="2"/>
    <x v="10"/>
    <x v="2"/>
    <n v="13.8"/>
    <x v="1"/>
    <n v="87.6"/>
    <n v="3"/>
    <s v="80-90%"/>
    <x v="1"/>
    <x v="4"/>
    <x v="0"/>
    <x v="82"/>
    <s v="1-4 hrs"/>
    <s v="6-8 hrs"/>
    <x v="0"/>
  </r>
  <r>
    <x v="465"/>
    <n v="21"/>
    <s v="Female"/>
    <x v="1"/>
    <x v="0"/>
    <n v="3.5"/>
    <n v="3.7"/>
    <n v="4"/>
    <x v="2"/>
    <x v="19"/>
    <x v="2"/>
    <x v="21"/>
    <x v="2"/>
    <n v="21"/>
    <x v="1"/>
    <n v="82.1"/>
    <n v="2"/>
    <s v="80-90%"/>
    <x v="0"/>
    <x v="0"/>
    <x v="0"/>
    <x v="28"/>
    <s v="1-4 hrs"/>
    <s v="&lt; 4 hrs"/>
    <x v="0"/>
  </r>
  <r>
    <x v="466"/>
    <n v="21"/>
    <s v="Male"/>
    <x v="0"/>
    <x v="2"/>
    <n v="5.6"/>
    <n v="6.5"/>
    <n v="5"/>
    <x v="12"/>
    <x v="9"/>
    <x v="2"/>
    <x v="9"/>
    <x v="2"/>
    <n v="20.8"/>
    <x v="1"/>
    <n v="64.400000000000006"/>
    <n v="3"/>
    <s v="60-70 %"/>
    <x v="0"/>
    <x v="2"/>
    <x v="0"/>
    <x v="138"/>
    <s v="4-8 hrs"/>
    <s v="4-6 hrs"/>
    <x v="1"/>
  </r>
  <r>
    <x v="467"/>
    <n v="26"/>
    <s v="Male"/>
    <x v="3"/>
    <x v="1"/>
    <n v="8.1999999999999993"/>
    <n v="4.8"/>
    <n v="2"/>
    <x v="10"/>
    <x v="13"/>
    <x v="1"/>
    <x v="1"/>
    <x v="4"/>
    <n v="27.3"/>
    <x v="0"/>
    <n v="58.6"/>
    <m/>
    <s v="Less than 0%"/>
    <x v="0"/>
    <x v="1"/>
    <x v="2"/>
    <x v="9"/>
    <s v="4-8 hrs"/>
    <s v="&gt; 8 hrs"/>
    <x v="1"/>
  </r>
  <r>
    <x v="468"/>
    <n v="24"/>
    <s v="Female"/>
    <x v="1"/>
    <x v="0"/>
    <n v="5.9"/>
    <n v="3.8"/>
    <n v="3"/>
    <x v="22"/>
    <x v="7"/>
    <x v="3"/>
    <x v="15"/>
    <x v="1"/>
    <n v="9.9"/>
    <x v="0"/>
    <n v="72.8"/>
    <n v="4"/>
    <s v="70-80%"/>
    <x v="0"/>
    <x v="1"/>
    <x v="2"/>
    <x v="148"/>
    <s v="1-4 hrs"/>
    <s v="4-6 hrs"/>
    <x v="0"/>
  </r>
  <r>
    <x v="469"/>
    <n v="19"/>
    <s v="Female"/>
    <x v="1"/>
    <x v="6"/>
    <n v="4.2"/>
    <n v="6.1"/>
    <n v="2"/>
    <x v="6"/>
    <x v="9"/>
    <x v="2"/>
    <x v="5"/>
    <x v="2"/>
    <n v="23.6"/>
    <x v="1"/>
    <n v="47.3"/>
    <n v="4"/>
    <s v="Less than 0%"/>
    <x v="0"/>
    <x v="0"/>
    <x v="1"/>
    <x v="100"/>
    <s v="4-8 hrs"/>
    <s v="4-6 hrs"/>
    <x v="0"/>
  </r>
  <r>
    <x v="470"/>
    <n v="22"/>
    <s v="Female"/>
    <x v="3"/>
    <x v="1"/>
    <n v="8.6"/>
    <n v="6"/>
    <n v="3"/>
    <x v="12"/>
    <x v="4"/>
    <x v="2"/>
    <x v="2"/>
    <x v="1"/>
    <n v="18.899999999999999"/>
    <x v="1"/>
    <n v="94.8"/>
    <n v="2"/>
    <s v="More than 90%"/>
    <x v="1"/>
    <x v="2"/>
    <x v="0"/>
    <x v="143"/>
    <s v="4-8 hrs"/>
    <s v="&gt; 8 hrs"/>
    <x v="0"/>
  </r>
  <r>
    <x v="471"/>
    <n v="21"/>
    <s v="Female"/>
    <x v="0"/>
    <x v="0"/>
    <n v="7.3"/>
    <n v="2.7"/>
    <n v="3"/>
    <x v="23"/>
    <x v="11"/>
    <x v="0"/>
    <x v="17"/>
    <x v="1"/>
    <n v="21.2"/>
    <x v="0"/>
    <n v="82.4"/>
    <n v="1"/>
    <s v="80-90%"/>
    <x v="0"/>
    <x v="3"/>
    <x v="1"/>
    <x v="53"/>
    <s v="1-4 hrs"/>
    <s v="6-8 hrs"/>
    <x v="0"/>
  </r>
  <r>
    <x v="472"/>
    <n v="21"/>
    <s v="F"/>
    <x v="0"/>
    <x v="4"/>
    <n v="5.9"/>
    <n v="5.5"/>
    <n v="4"/>
    <x v="1"/>
    <x v="14"/>
    <x v="1"/>
    <x v="22"/>
    <x v="4"/>
    <n v="13.6"/>
    <x v="0"/>
    <n v="74.2"/>
    <n v="3"/>
    <s v="70-80%"/>
    <x v="0"/>
    <x v="2"/>
    <x v="0"/>
    <x v="55"/>
    <s v="4-8 hrs"/>
    <s v="4-6 hrs"/>
    <x v="0"/>
  </r>
  <r>
    <x v="473"/>
    <n v="22"/>
    <s v="Female"/>
    <x v="3"/>
    <x v="0"/>
    <n v="6"/>
    <n v="5.8"/>
    <n v="6"/>
    <x v="12"/>
    <x v="7"/>
    <x v="2"/>
    <x v="13"/>
    <x v="1"/>
    <n v="14.9"/>
    <x v="1"/>
    <n v="49.6"/>
    <n v="2"/>
    <s v="Less than 0%"/>
    <x v="0"/>
    <x v="3"/>
    <x v="0"/>
    <x v="79"/>
    <s v="4-8 hrs"/>
    <s v="4-6 hrs"/>
    <x v="0"/>
  </r>
  <r>
    <x v="474"/>
    <n v="23"/>
    <s v="Male"/>
    <x v="0"/>
    <x v="0"/>
    <n v="7.6"/>
    <n v="4.4000000000000004"/>
    <n v="2"/>
    <x v="3"/>
    <x v="19"/>
    <x v="2"/>
    <x v="23"/>
    <x v="2"/>
    <n v="1"/>
    <x v="1"/>
    <n v="51.2"/>
    <n v="3"/>
    <s v="Less than 0%"/>
    <x v="0"/>
    <x v="0"/>
    <x v="2"/>
    <x v="31"/>
    <s v="4-8 hrs"/>
    <s v="6-8 hrs"/>
    <x v="1"/>
  </r>
  <r>
    <x v="475"/>
    <n v="21"/>
    <s v="Non-binary"/>
    <x v="4"/>
    <x v="6"/>
    <n v="5.6"/>
    <n v="2.5"/>
    <n v="2"/>
    <x v="8"/>
    <x v="3"/>
    <x v="1"/>
    <x v="9"/>
    <x v="1"/>
    <n v="18.399999999999999"/>
    <x v="1"/>
    <n v="79"/>
    <n v="5"/>
    <s v="70-80%"/>
    <x v="0"/>
    <x v="0"/>
    <x v="0"/>
    <x v="17"/>
    <s v="1-4 hrs"/>
    <s v="4-6 hrs"/>
    <x v="3"/>
  </r>
  <r>
    <x v="476"/>
    <n v="24"/>
    <s v="M"/>
    <x v="4"/>
    <x v="0"/>
    <n v="7.2"/>
    <n v="3.5"/>
    <n v="2"/>
    <x v="3"/>
    <x v="5"/>
    <x v="2"/>
    <x v="2"/>
    <x v="2"/>
    <n v="19.8"/>
    <x v="1"/>
    <n v="100"/>
    <n v="2"/>
    <s v="More than 90%"/>
    <x v="1"/>
    <x v="4"/>
    <x v="1"/>
    <x v="149"/>
    <s v="1-4 hrs"/>
    <s v="6-8 hrs"/>
    <x v="1"/>
  </r>
  <r>
    <x v="477"/>
    <n v="19"/>
    <s v="Male"/>
    <x v="4"/>
    <x v="1"/>
    <n v="7.1"/>
    <n v="2.1"/>
    <n v="1"/>
    <x v="5"/>
    <x v="4"/>
    <x v="1"/>
    <x v="8"/>
    <x v="1"/>
    <n v="16.5"/>
    <x v="1"/>
    <n v="71.3"/>
    <n v="3"/>
    <s v="70-80%"/>
    <x v="0"/>
    <x v="1"/>
    <x v="1"/>
    <x v="86"/>
    <s v="1-4 hrs"/>
    <s v="6-8 hrs"/>
    <x v="1"/>
  </r>
  <r>
    <x v="478"/>
    <n v="22"/>
    <s v="Female"/>
    <x v="1"/>
    <x v="1"/>
    <n v="6.6"/>
    <n v="5.6"/>
    <n v="2"/>
    <x v="3"/>
    <x v="9"/>
    <x v="2"/>
    <x v="5"/>
    <x v="2"/>
    <n v="33.799999999999997"/>
    <x v="1"/>
    <n v="94.7"/>
    <n v="4"/>
    <s v="More than 90%"/>
    <x v="0"/>
    <x v="4"/>
    <x v="1"/>
    <x v="109"/>
    <s v="4-8 hrs"/>
    <s v="6-8 hrs"/>
    <x v="0"/>
  </r>
  <r>
    <x v="479"/>
    <n v="27"/>
    <s v="Female"/>
    <x v="4"/>
    <x v="3"/>
    <n v="7.5"/>
    <n v="1.2"/>
    <n v="0"/>
    <x v="12"/>
    <x v="4"/>
    <x v="2"/>
    <x v="13"/>
    <x v="1"/>
    <n v="6.9"/>
    <x v="1"/>
    <n v="75.400000000000006"/>
    <n v="3"/>
    <s v="70-80%"/>
    <x v="1"/>
    <x v="2"/>
    <x v="1"/>
    <x v="136"/>
    <s v="1-4 hrs"/>
    <s v="6-8 hrs"/>
    <x v="0"/>
  </r>
  <r>
    <x v="480"/>
    <n v="22"/>
    <s v="Male"/>
    <x v="1"/>
    <x v="1"/>
    <n v="5.3"/>
    <n v="10.7"/>
    <n v="2"/>
    <x v="17"/>
    <x v="2"/>
    <x v="2"/>
    <x v="29"/>
    <x v="2"/>
    <n v="15.7"/>
    <x v="1"/>
    <n v="81.400000000000006"/>
    <n v="1"/>
    <s v="80-90%"/>
    <x v="1"/>
    <x v="2"/>
    <x v="2"/>
    <x v="40"/>
    <s v="8-12 hrs"/>
    <s v="4-6 hrs"/>
    <x v="1"/>
  </r>
  <r>
    <x v="481"/>
    <n v="25"/>
    <s v="Prefer not to say"/>
    <x v="1"/>
    <x v="0"/>
    <n v="6.7"/>
    <n v="9.4"/>
    <n v="1"/>
    <x v="1"/>
    <x v="3"/>
    <x v="1"/>
    <x v="8"/>
    <x v="1"/>
    <n v="10.5"/>
    <x v="1"/>
    <n v="91.5"/>
    <n v="2"/>
    <s v="More than 90%"/>
    <x v="0"/>
    <x v="2"/>
    <x v="1"/>
    <x v="150"/>
    <s v="8-12 hrs"/>
    <s v="6-8 hrs"/>
    <x v="2"/>
  </r>
  <r>
    <x v="482"/>
    <n v="22"/>
    <s v="Female"/>
    <x v="3"/>
    <x v="1"/>
    <n v="4.7"/>
    <n v="5.9"/>
    <n v="2"/>
    <x v="9"/>
    <x v="3"/>
    <x v="1"/>
    <x v="2"/>
    <x v="1"/>
    <n v="17.100000000000001"/>
    <x v="1"/>
    <n v="69.7"/>
    <n v="5"/>
    <s v="60-70 %"/>
    <x v="1"/>
    <x v="2"/>
    <x v="1"/>
    <x v="36"/>
    <s v="4-8 hrs"/>
    <s v="4-6 hrs"/>
    <x v="0"/>
  </r>
  <r>
    <x v="483"/>
    <n v="23"/>
    <s v="Female"/>
    <x v="1"/>
    <x v="0"/>
    <n v="4.0999999999999996"/>
    <n v="7.7"/>
    <n v="4"/>
    <x v="16"/>
    <x v="16"/>
    <x v="3"/>
    <x v="4"/>
    <x v="4"/>
    <n v="23.2"/>
    <x v="0"/>
    <n v="68.900000000000006"/>
    <n v="2"/>
    <s v="60-70 %"/>
    <x v="1"/>
    <x v="2"/>
    <x v="0"/>
    <x v="92"/>
    <s v="4-8 hrs"/>
    <s v="4-6 hrs"/>
    <x v="0"/>
  </r>
  <r>
    <x v="484"/>
    <n v="21"/>
    <s v="Male"/>
    <x v="1"/>
    <x v="3"/>
    <n v="6.1"/>
    <n v="7.4"/>
    <n v="1"/>
    <x v="12"/>
    <x v="10"/>
    <x v="2"/>
    <x v="2"/>
    <x v="2"/>
    <n v="28.5"/>
    <x v="1"/>
    <n v="99.1"/>
    <n v="4"/>
    <s v="More than 90%"/>
    <x v="0"/>
    <x v="1"/>
    <x v="1"/>
    <x v="77"/>
    <s v="4-8 hrs"/>
    <s v="6-8 hrs"/>
    <x v="1"/>
  </r>
  <r>
    <x v="485"/>
    <n v="21"/>
    <s v="F"/>
    <x v="1"/>
    <x v="0"/>
    <n v="7.1"/>
    <n v="4.9000000000000004"/>
    <n v="3"/>
    <x v="12"/>
    <x v="19"/>
    <x v="2"/>
    <x v="29"/>
    <x v="2"/>
    <n v="13"/>
    <x v="1"/>
    <n v="76.599999999999994"/>
    <n v="4"/>
    <s v="70-80%"/>
    <x v="0"/>
    <x v="1"/>
    <x v="1"/>
    <x v="130"/>
    <s v="4-8 hrs"/>
    <s v="6-8 hrs"/>
    <x v="0"/>
  </r>
  <r>
    <x v="486"/>
    <n v="20"/>
    <s v="Female"/>
    <x v="4"/>
    <x v="6"/>
    <n v="7.2"/>
    <n v="3.9"/>
    <n v="5"/>
    <x v="23"/>
    <x v="0"/>
    <x v="0"/>
    <x v="11"/>
    <x v="0"/>
    <n v="10.199999999999999"/>
    <x v="0"/>
    <n v="92.1"/>
    <n v="3"/>
    <s v="More than 90%"/>
    <x v="0"/>
    <x v="4"/>
    <x v="2"/>
    <x v="14"/>
    <s v="1-4 hrs"/>
    <s v="6-8 hrs"/>
    <x v="0"/>
  </r>
  <r>
    <x v="487"/>
    <n v="22"/>
    <s v="Male"/>
    <x v="1"/>
    <x v="1"/>
    <n v="7"/>
    <n v="3.6"/>
    <n v="3"/>
    <x v="10"/>
    <x v="3"/>
    <x v="1"/>
    <x v="15"/>
    <x v="1"/>
    <n v="11.1"/>
    <x v="0"/>
    <n v="62.9"/>
    <n v="4"/>
    <s v="60-70 %"/>
    <x v="0"/>
    <x v="3"/>
    <x v="1"/>
    <x v="86"/>
    <s v="1-4 hrs"/>
    <s v="6-8 hrs"/>
    <x v="1"/>
  </r>
  <r>
    <x v="488"/>
    <n v="20"/>
    <s v="Female"/>
    <x v="1"/>
    <x v="0"/>
    <n v="5"/>
    <n v="11"/>
    <n v="1"/>
    <x v="17"/>
    <x v="2"/>
    <x v="2"/>
    <x v="21"/>
    <x v="2"/>
    <n v="26.3"/>
    <x v="1"/>
    <n v="100"/>
    <n v="2"/>
    <s v="More than 90%"/>
    <x v="0"/>
    <x v="2"/>
    <x v="1"/>
    <x v="151"/>
    <s v="8-12 hrs"/>
    <s v="4-6 hrs"/>
    <x v="0"/>
  </r>
  <r>
    <x v="489"/>
    <n v="23"/>
    <s v="Female"/>
    <x v="3"/>
    <x v="4"/>
    <n v="7.6"/>
    <n v="2.5"/>
    <n v="2"/>
    <x v="14"/>
    <x v="22"/>
    <x v="4"/>
    <x v="31"/>
    <x v="0"/>
    <n v="25.6"/>
    <x v="2"/>
    <n v="79.900000000000006"/>
    <n v="3"/>
    <s v="70-80%"/>
    <x v="0"/>
    <x v="3"/>
    <x v="0"/>
    <x v="53"/>
    <s v="1-4 hrs"/>
    <s v="6-8 hrs"/>
    <x v="0"/>
  </r>
  <r>
    <x v="490"/>
    <n v="24"/>
    <s v="Male"/>
    <x v="1"/>
    <x v="0"/>
    <n v="6.5"/>
    <n v="2.5"/>
    <n v="3"/>
    <x v="22"/>
    <x v="13"/>
    <x v="3"/>
    <x v="19"/>
    <x v="4"/>
    <n v="16.399999999999999"/>
    <x v="0"/>
    <n v="83.9"/>
    <n v="3"/>
    <s v="80-90%"/>
    <x v="1"/>
    <x v="0"/>
    <x v="1"/>
    <x v="12"/>
    <s v="1-4 hrs"/>
    <s v="6-8 hrs"/>
    <x v="1"/>
  </r>
  <r>
    <x v="491"/>
    <n v="22"/>
    <s v="Female"/>
    <x v="1"/>
    <x v="1"/>
    <n v="5"/>
    <n v="8.1"/>
    <n v="3"/>
    <x v="5"/>
    <x v="11"/>
    <x v="1"/>
    <x v="4"/>
    <x v="1"/>
    <n v="10.9"/>
    <x v="0"/>
    <n v="77.400000000000006"/>
    <n v="5"/>
    <s v="70-80%"/>
    <x v="0"/>
    <x v="1"/>
    <x v="1"/>
    <x v="48"/>
    <s v="8-12 hrs"/>
    <s v="4-6 hrs"/>
    <x v="0"/>
  </r>
  <r>
    <x v="492"/>
    <n v="21"/>
    <s v="Female"/>
    <x v="1"/>
    <x v="4"/>
    <n v="6.1"/>
    <n v="7.7"/>
    <n v="1"/>
    <x v="9"/>
    <x v="1"/>
    <x v="1"/>
    <x v="4"/>
    <x v="1"/>
    <n v="8.6"/>
    <x v="0"/>
    <n v="73.099999999999994"/>
    <n v="2"/>
    <s v="70-80%"/>
    <x v="1"/>
    <x v="2"/>
    <x v="1"/>
    <x v="130"/>
    <s v="4-8 hrs"/>
    <s v="6-8 hrs"/>
    <x v="0"/>
  </r>
  <r>
    <x v="493"/>
    <n v="22"/>
    <s v="Female"/>
    <x v="1"/>
    <x v="0"/>
    <n v="8.6999999999999993"/>
    <n v="3.7"/>
    <n v="2"/>
    <x v="6"/>
    <x v="10"/>
    <x v="2"/>
    <x v="2"/>
    <x v="2"/>
    <n v="16.7"/>
    <x v="1"/>
    <n v="80.400000000000006"/>
    <n v="2"/>
    <s v="80-90%"/>
    <x v="0"/>
    <x v="1"/>
    <x v="1"/>
    <x v="35"/>
    <s v="1-4 hrs"/>
    <s v="&gt; 8 hrs"/>
    <x v="0"/>
  </r>
  <r>
    <x v="494"/>
    <n v="21"/>
    <s v="Female"/>
    <x v="4"/>
    <x v="2"/>
    <n v="4.2"/>
    <n v="6.3"/>
    <n v="3"/>
    <x v="12"/>
    <x v="10"/>
    <x v="2"/>
    <x v="5"/>
    <x v="2"/>
    <n v="22.3"/>
    <x v="1"/>
    <n v="73.599999999999994"/>
    <n v="5"/>
    <s v="70-80%"/>
    <x v="0"/>
    <x v="0"/>
    <x v="2"/>
    <x v="51"/>
    <s v="4-8 hrs"/>
    <s v="4-6 hrs"/>
    <x v="0"/>
  </r>
  <r>
    <x v="495"/>
    <n v="23"/>
    <s v="Female"/>
    <x v="2"/>
    <x v="6"/>
    <n v="5.9"/>
    <n v="6.8"/>
    <n v="2"/>
    <x v="3"/>
    <x v="9"/>
    <x v="2"/>
    <x v="2"/>
    <x v="2"/>
    <n v="5.9"/>
    <x v="1"/>
    <n v="92"/>
    <n v="2"/>
    <s v="More than 90%"/>
    <x v="0"/>
    <x v="4"/>
    <x v="0"/>
    <x v="59"/>
    <s v="4-8 hrs"/>
    <s v="4-6 hrs"/>
    <x v="0"/>
  </r>
  <r>
    <x v="496"/>
    <n v="18"/>
    <s v="Female"/>
    <x v="0"/>
    <x v="1"/>
    <n v="5"/>
    <n v="1.6"/>
    <n v="3"/>
    <x v="5"/>
    <x v="4"/>
    <x v="1"/>
    <x v="3"/>
    <x v="1"/>
    <n v="18.3"/>
    <x v="1"/>
    <n v="72.3"/>
    <n v="5"/>
    <s v="70-80%"/>
    <x v="0"/>
    <x v="4"/>
    <x v="1"/>
    <x v="0"/>
    <s v="1-4 hrs"/>
    <s v="4-6 hrs"/>
    <x v="0"/>
  </r>
  <r>
    <x v="497"/>
    <n v="21"/>
    <s v="Female"/>
    <x v="0"/>
    <x v="1"/>
    <n v="5.9"/>
    <n v="9.8000000000000007"/>
    <n v="0"/>
    <x v="3"/>
    <x v="10"/>
    <x v="2"/>
    <x v="23"/>
    <x v="2"/>
    <n v="30.9"/>
    <x v="1"/>
    <n v="57.1"/>
    <n v="4"/>
    <s v="Less than 0%"/>
    <x v="0"/>
    <x v="2"/>
    <x v="1"/>
    <x v="87"/>
    <s v="8-12 hrs"/>
    <s v="4-6 hrs"/>
    <x v="0"/>
  </r>
  <r>
    <x v="498"/>
    <n v="17"/>
    <s v="Male"/>
    <x v="4"/>
    <x v="1"/>
    <n v="5.5"/>
    <n v="6.8"/>
    <n v="2"/>
    <x v="6"/>
    <x v="3"/>
    <x v="2"/>
    <x v="9"/>
    <x v="1"/>
    <n v="19.5"/>
    <x v="1"/>
    <n v="54.1"/>
    <n v="4"/>
    <s v="Less than 0%"/>
    <x v="0"/>
    <x v="4"/>
    <x v="2"/>
    <x v="63"/>
    <s v="4-8 hrs"/>
    <s v="4-6 hrs"/>
    <x v="1"/>
  </r>
  <r>
    <x v="499"/>
    <n v="18"/>
    <s v="Male"/>
    <x v="2"/>
    <x v="0"/>
    <n v="3.8"/>
    <n v="5.9"/>
    <n v="4"/>
    <x v="14"/>
    <x v="0"/>
    <x v="4"/>
    <x v="18"/>
    <x v="0"/>
    <n v="22.4"/>
    <x v="2"/>
    <n v="51.9"/>
    <m/>
    <s v="Less than 0%"/>
    <x v="1"/>
    <x v="3"/>
    <x v="1"/>
    <x v="144"/>
    <s v="4-8 hrs"/>
    <s v="&lt; 4 hr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2EC05-8227-4B02-98D8-7CD3FA57B079}"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9:H63" firstHeaderRow="0"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s>
  <rowFields count="1">
    <field x="20"/>
  </rowFields>
  <rowItems count="4">
    <i>
      <x/>
    </i>
    <i>
      <x v="1"/>
    </i>
    <i>
      <x v="2"/>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1EFC4-0BAA-411A-BDC4-4F59D111A062}" name="PivotTable5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34:D41" firstHeaderRow="0" firstDataRow="1" firstDataCol="1"/>
  <pivotFields count="25">
    <pivotField dataField="1" showAll="0"/>
    <pivotField showAll="0"/>
    <pivotField showAll="0"/>
    <pivotField showAll="0"/>
    <pivotField showAll="0"/>
    <pivotField showAll="0"/>
    <pivotField showAll="0"/>
    <pivotField showAll="0"/>
    <pivotField showAll="0"/>
    <pivotField showAll="0"/>
    <pivotField axis="axisRow" showAll="0">
      <items count="7">
        <item x="5"/>
        <item x="1"/>
        <item x="2"/>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DF7FC-ECEF-449A-8EE3-CE1319B4D930}" name="PivotTable8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58:L60" firstHeaderRow="0" firstDataRow="1" firstDataCol="1"/>
  <pivotFields count="2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dataField="1"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3">
        <item h="1" x="140"/>
        <item h="1" x="148"/>
        <item h="1" x="68"/>
        <item h="1" x="123"/>
        <item h="1" x="133"/>
        <item h="1" x="62"/>
        <item h="1" x="104"/>
        <item h="1" x="131"/>
        <item h="1" x="116"/>
        <item h="1" x="142"/>
        <item h="1" x="101"/>
        <item h="1" x="29"/>
        <item h="1" x="23"/>
        <item h="1" x="4"/>
        <item h="1" x="144"/>
        <item h="1" x="80"/>
        <item h="1" x="122"/>
        <item h="1" x="139"/>
        <item h="1" x="36"/>
        <item h="1" x="58"/>
        <item h="1" x="134"/>
        <item h="1" x="15"/>
        <item h="1" x="107"/>
        <item h="1" x="91"/>
        <item h="1" x="44"/>
        <item h="1" x="150"/>
        <item h="1" x="69"/>
        <item h="1" x="11"/>
        <item h="1" x="76"/>
        <item h="1" x="100"/>
        <item h="1" x="0"/>
        <item h="1" x="145"/>
        <item h="1" x="136"/>
        <item h="1" x="54"/>
        <item h="1" x="41"/>
        <item h="1" x="147"/>
        <item h="1" x="125"/>
        <item h="1" x="55"/>
        <item h="1" x="31"/>
        <item h="1" x="72"/>
        <item h="1" x="79"/>
        <item h="1" x="92"/>
        <item h="1" x="73"/>
        <item h="1" x="66"/>
        <item h="1" x="129"/>
        <item h="1" x="49"/>
        <item h="1" x="48"/>
        <item h="1" x="130"/>
        <item h="1" x="111"/>
        <item h="1" x="135"/>
        <item h="1" x="5"/>
        <item h="1" x="110"/>
        <item h="1" x="126"/>
        <item h="1" x="64"/>
        <item h="1" x="19"/>
        <item h="1" x="71"/>
        <item h="1" x="63"/>
        <item h="1" x="81"/>
        <item h="1" x="75"/>
        <item h="1" x="18"/>
        <item h="1" x="97"/>
        <item h="1" x="33"/>
        <item h="1" x="42"/>
        <item h="1" x="51"/>
        <item h="1" x="121"/>
        <item h="1" x="67"/>
        <item h="1" x="10"/>
        <item h="1" x="40"/>
        <item h="1" x="89"/>
        <item h="1" x="21"/>
        <item h="1" x="86"/>
        <item h="1" x="6"/>
        <item h="1" x="74"/>
        <item h="1" x="113"/>
        <item h="1" x="59"/>
        <item h="1" x="84"/>
        <item h="1" x="53"/>
        <item h="1" x="22"/>
        <item h="1" x="30"/>
        <item h="1" x="1"/>
        <item h="1" x="17"/>
        <item h="1" x="37"/>
        <item h="1" x="103"/>
        <item h="1" x="94"/>
        <item h="1" x="78"/>
        <item h="1" x="106"/>
        <item h="1" x="112"/>
        <item h="1" x="24"/>
        <item h="1" x="61"/>
        <item h="1" x="39"/>
        <item h="1" x="3"/>
        <item h="1" x="13"/>
        <item h="1" x="9"/>
        <item h="1" x="88"/>
        <item h="1" x="12"/>
        <item h="1" x="87"/>
        <item h="1" x="56"/>
        <item h="1" x="32"/>
        <item h="1" x="43"/>
        <item h="1" x="8"/>
        <item h="1" x="47"/>
        <item h="1" x="35"/>
        <item h="1" x="138"/>
        <item h="1" x="57"/>
        <item h="1" x="50"/>
        <item h="1" x="45"/>
        <item h="1" x="105"/>
        <item h="1" x="28"/>
        <item h="1" x="2"/>
        <item h="1" x="38"/>
        <item h="1" x="20"/>
        <item h="1" x="96"/>
        <item h="1" x="25"/>
        <item h="1" x="26"/>
        <item h="1" x="98"/>
        <item h="1" x="27"/>
        <item h="1" x="143"/>
        <item h="1" x="16"/>
        <item h="1" x="137"/>
        <item h="1" x="82"/>
        <item h="1" x="149"/>
        <item h="1" x="99"/>
        <item h="1" x="60"/>
        <item h="1" x="114"/>
        <item h="1" x="52"/>
        <item h="1" x="128"/>
        <item h="1" x="83"/>
        <item h="1" x="118"/>
        <item h="1" x="109"/>
        <item h="1" x="65"/>
        <item h="1" x="102"/>
        <item h="1" x="70"/>
        <item h="1" x="95"/>
        <item h="1" x="127"/>
        <item h="1" x="141"/>
        <item h="1" x="85"/>
        <item h="1" x="124"/>
        <item h="1" x="120"/>
        <item h="1" x="151"/>
        <item h="1" x="93"/>
        <item h="1" x="46"/>
        <item h="1" x="119"/>
        <item h="1" x="115"/>
        <item h="1" x="34"/>
        <item h="1" x="117"/>
        <item h="1" x="108"/>
        <item h="1" x="146"/>
        <item h="1" x="77"/>
        <item h="1" x="14"/>
        <item h="1" x="90"/>
        <item h="1" x="132"/>
        <item x="7"/>
        <item t="default"/>
      </items>
    </pivotField>
    <pivotField showAll="0"/>
    <pivotField showAll="0"/>
    <pivotField showAll="0"/>
  </pivotFields>
  <rowFields count="1">
    <field x="21"/>
  </rowFields>
  <rowItems count="2">
    <i>
      <x v="151"/>
    </i>
    <i t="grand">
      <x/>
    </i>
  </rowItems>
  <colFields count="1">
    <field x="-2"/>
  </colFields>
  <colItems count="2">
    <i>
      <x/>
    </i>
    <i i="1">
      <x v="1"/>
    </i>
  </colItems>
  <dataFields count="2">
    <dataField name="Average of year_of_study" fld="3" subtotal="average" baseField="21" baseItem="15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4F1E0-8320-4C93-81B3-70E97335EAC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D52" firstHeaderRow="0"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s>
  <rowFields count="1">
    <field x="24"/>
  </rowFields>
  <rowItems count="5">
    <i>
      <x/>
    </i>
    <i>
      <x v="1"/>
    </i>
    <i>
      <x v="2"/>
    </i>
    <i>
      <x v="3"/>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A7803B-E623-4031-96D3-47CECEB046D8}"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2:C85"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axis="axisRow" showAll="0">
      <items count="7">
        <item h="1" x="5"/>
        <item h="1" x="1"/>
        <item h="1" x="2"/>
        <item h="1"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v="4"/>
    </i>
    <i>
      <x v="5"/>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380EF-3118-4581-9C49-8E0591F2310B}"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8:K76" firstHeaderRow="0" firstDataRow="1" firstDataCol="1"/>
  <pivotFields count="25">
    <pivotField dataField="1" showAll="0"/>
    <pivotField showAll="0"/>
    <pivotField showAll="0"/>
    <pivotField showAll="0"/>
    <pivotField axis="axisRow" showAll="0">
      <items count="8">
        <item x="3"/>
        <item x="0"/>
        <item x="4"/>
        <item x="2"/>
        <item x="6"/>
        <item x="5"/>
        <item x="1"/>
        <item t="default"/>
      </items>
    </pivotField>
    <pivotField dataField="1" showAll="0"/>
    <pivotField dataField="1" showAll="0"/>
    <pivotField showAll="0"/>
    <pivotField dataField="1" showAll="0"/>
    <pivotField dataField="1" showAll="0"/>
    <pivotField showAll="0"/>
    <pivotField dataField="1" showAll="0"/>
    <pivotField showAll="0"/>
    <pivotField dataField="1" showAll="0"/>
    <pivotField showAll="0"/>
    <pivotField showAll="0"/>
    <pivotField dataField="1" showAll="0"/>
    <pivotField showAll="0"/>
    <pivotField showAll="0"/>
    <pivotField showAll="0"/>
    <pivotField showAll="0"/>
    <pivotField dataField="1" showAll="0"/>
    <pivotField showAll="0"/>
    <pivotField showAll="0"/>
    <pivotField showAll="0"/>
  </pivotFields>
  <rowFields count="1">
    <field x="4"/>
  </rowFields>
  <rowItems count="8">
    <i>
      <x/>
    </i>
    <i>
      <x v="1"/>
    </i>
    <i>
      <x v="2"/>
    </i>
    <i>
      <x v="3"/>
    </i>
    <i>
      <x v="4"/>
    </i>
    <i>
      <x v="5"/>
    </i>
    <i>
      <x v="6"/>
    </i>
    <i t="grand">
      <x/>
    </i>
  </rowItems>
  <colFields count="1">
    <field x="-2"/>
  </colFields>
  <colItems count="9">
    <i>
      <x/>
    </i>
    <i i="1">
      <x v="1"/>
    </i>
    <i i="2">
      <x v="2"/>
    </i>
    <i i="3">
      <x v="3"/>
    </i>
    <i i="4">
      <x v="4"/>
    </i>
    <i i="5">
      <x v="5"/>
    </i>
    <i i="6">
      <x v="6"/>
    </i>
    <i i="7">
      <x v="7"/>
    </i>
    <i i="8">
      <x v="8"/>
    </i>
  </colItems>
  <dataFields count="9">
    <dataField name="student_id Count" fld="0" subtotal="count" baseField="5" baseItem="0"/>
    <dataField name="Average phq9_score" fld="8" subtotal="average" baseField="5" baseItem="0" numFmtId="2"/>
    <dataField name="Average gad7_score" fld="9" subtotal="average" baseField="5" baseItem="0" numFmtId="2"/>
    <dataField name="Average daily_sleep_hours" fld="5" subtotal="average" baseField="5" baseItem="0" numFmtId="2"/>
    <dataField name="Average daily_screen_time_hours" fld="6" subtotal="average" baseField="5" baseItem="0" numFmtId="2"/>
    <dataField name="Average perceived_stress_scale" fld="11" subtotal="average" baseField="5" baseItem="0" numFmtId="2"/>
    <dataField name="Average weekly_study_hours" fld="13" subtotal="average" baseField="5" baseItem="0" numFmtId="2"/>
    <dataField name="Average online_learning_satisfaction" fld="16" subtotal="average" baseField="5" baseItem="0" numFmtId="2"/>
    <dataField name="Average cgpa" fld="21"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C1F9D5-4396-4B3D-B679-F198D72CCE3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4:H40" firstHeaderRow="0"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chartFormats count="4">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F1580-035D-4B24-A072-A4B1E7E8130F}" name="PivotTable5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89:D97" firstHeaderRow="0" firstDataRow="1" firstDataCol="1"/>
  <pivotFields count="25">
    <pivotField showAll="0"/>
    <pivotField showAll="0"/>
    <pivotField showAll="0"/>
    <pivotField showAll="0"/>
    <pivotField axis="axisRow" showAll="0">
      <items count="8">
        <item x="3"/>
        <item x="0"/>
        <item x="4"/>
        <item x="2"/>
        <item x="6"/>
        <item x="5"/>
        <item x="1"/>
        <item t="default"/>
      </items>
    </pivotField>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2"/>
  </colFields>
  <colItems count="2">
    <i>
      <x/>
    </i>
    <i i="1">
      <x v="1"/>
    </i>
  </colItems>
  <dataFields count="2">
    <dataField name="Average of weekly_study_hours" fld="13" subtotal="average" baseField="5" baseItem="0" numFmtId="2"/>
    <dataField name="Average of physical_activity_days_per_week" fld="7" subtotal="average" baseField="5" baseItem="0" numFmtId="2"/>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B1FF4E-C3C0-4EC9-AD4F-6CB9C7612EB5}" name="PivotTable6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N47:O55" firstHeaderRow="1" firstDataRow="1" firstDataCol="1"/>
  <pivotFields count="25">
    <pivotField showAll="0"/>
    <pivotField showAll="0"/>
    <pivotField showAll="0"/>
    <pivotField showAll="0"/>
    <pivotField axis="axisRow" showAll="0">
      <items count="8">
        <item x="3"/>
        <item x="0"/>
        <item x="4"/>
        <item x="2"/>
        <item x="6"/>
        <item x="5"/>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online_learning_satisfaction" fld="16"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C5DB1B-1B61-475B-B999-371A3A8DD3E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9:D62" firstHeaderRow="0"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18"/>
  </rowFields>
  <rowItems count="3">
    <i>
      <x/>
    </i>
    <i>
      <x v="1"/>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CE8423-2DDC-4BFC-87B1-755594E2B42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7:H55" firstHeaderRow="0" firstDataRow="1" firstDataCol="1"/>
  <pivotFields count="25">
    <pivotField dataField="1" showAll="0"/>
    <pivotField showAll="0"/>
    <pivotField showAll="0"/>
    <pivotField showAll="0"/>
    <pivotField axis="axisRow" showAll="0">
      <items count="8">
        <item x="3"/>
        <item x="0"/>
        <item x="4"/>
        <item x="2"/>
        <item x="6"/>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FF006C-C90F-4CB8-B6D9-ED40408F660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4:L38" firstHeaderRow="0"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214A8-FD23-489C-BB30-05A7DB22A117}" name="PivotTable6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B101:E104" firstHeaderRow="0" firstDataRow="1" firstDataCol="1"/>
  <pivotFields count="25">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18"/>
  </rowFields>
  <rowItems count="3">
    <i>
      <x/>
    </i>
    <i>
      <x v="1"/>
    </i>
    <i t="grand">
      <x/>
    </i>
  </rowItems>
  <colFields count="1">
    <field x="-2"/>
  </colFields>
  <colItems count="3">
    <i>
      <x/>
    </i>
    <i i="1">
      <x v="1"/>
    </i>
    <i i="2">
      <x v="2"/>
    </i>
  </colItems>
  <dataFields count="3">
    <dataField name="Average of perceived_stress_scale" fld="11" subtotal="average" baseField="19" baseItem="0" numFmtId="2"/>
    <dataField name="Average of gad7_score" fld="9" subtotal="average" baseField="19" baseItem="0" numFmtId="2"/>
    <dataField name="Average of phq9_score" fld="8" subtotal="average" baseField="1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F64254-F0A5-4640-AB45-F9A5067D2BF1}"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2:F84"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h="1" x="1"/>
        <item h="1" x="2"/>
        <item h="1"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
    <i>
      <x v="4"/>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C7B786-0B25-4078-8E80-97EA7334572D}"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2:I84"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1A6584-130C-4268-841E-2940B60AAA2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7:L53" firstHeaderRow="0" firstDataRow="1" firstDataCol="1"/>
  <pivotFields count="25">
    <pivotField dataField="1" showAll="0"/>
    <pivotField showAll="0"/>
    <pivotField showAll="0"/>
    <pivotField axis="axisRow"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student_id" fld="0" subtotal="count" baseField="0" baseItem="0"/>
    <dataField name="Percentag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60CFAAA-F678-4061-A49F-72AC2E44CA11}" name="PivotTable5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68:N71"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 showAll="0"/>
    <pivotField showAll="0"/>
  </pivotFields>
  <rowFields count="1">
    <field x="18"/>
  </rowFields>
  <rowItems count="3">
    <i>
      <x/>
    </i>
    <i>
      <x v="1"/>
    </i>
    <i t="grand">
      <x/>
    </i>
  </rowItems>
  <colItems count="1">
    <i/>
  </colItems>
  <dataFields count="1">
    <dataField name="Average of cgpa" fld="21" subtotal="average" baseField="19"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3E071FC-0240-4D85-B28A-7BFDE7E879B0}" name="PivotTable6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89:J97" firstHeaderRow="0" firstDataRow="1" firstDataCol="1"/>
  <pivotFields count="25">
    <pivotField showAll="0"/>
    <pivotField showAll="0"/>
    <pivotField showAll="0"/>
    <pivotField showAll="0"/>
    <pivotField axis="axisRow" showAll="0">
      <items count="8">
        <item x="3"/>
        <item x="0"/>
        <item x="4"/>
        <item x="2"/>
        <item x="6"/>
        <item x="5"/>
        <item x="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2"/>
  </colFields>
  <colItems count="2">
    <i>
      <x/>
    </i>
    <i i="1">
      <x v="1"/>
    </i>
  </colItems>
  <dataFields count="2">
    <dataField name="Average of daily_sleep_hours" fld="5" subtotal="average" baseField="5" baseItem="0" numFmtId="2"/>
    <dataField name="Average of daily_screen_time_hours" fld="6" subtotal="average" baseField="5" baseItem="0" numFmtId="2"/>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2958EA-7DA7-4514-B4AD-C0EDBE726517}"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2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hq9_score" fld="8" subtotal="average" baseField="0" baseItem="0" numFmtId="2"/>
  </dataFields>
  <formats count="13">
    <format dxfId="20">
      <pivotArea type="all" dataOnly="0" outline="0" fieldPosition="0"/>
    </format>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0"/>
          </reference>
        </references>
      </pivotArea>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BD407A-EACC-4113-B78B-243F5A44FB6E}"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tudent Count in the Survey" fld="0" subtotal="count" baseField="0" baseItem="0"/>
  </dataFields>
  <formats count="12">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48CCCA6-7AF1-4C63-B446-A65FA9656D87}"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R6"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perceived_stress_scale" fld="11" subtotal="average" baseField="0" baseItem="0" numFmtId="2"/>
  </dataFields>
  <formats count="13">
    <format dxfId="45">
      <pivotArea type="all" dataOnly="0" outline="0" fieldPosition="0"/>
    </format>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0"/>
          </reference>
        </references>
      </pivotArea>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AD77740-768F-4B13-9E6D-DBCE3C7B3984}"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M6" firstHeaderRow="1" firstDataRow="1" firstDataCol="0"/>
  <pivotFields count="25">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gad7_score" fld="9" subtotal="average" baseField="0" baseItem="0" numFmtId="2"/>
  </dataFields>
  <formats count="13">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fieldPosition="0">
        <references count="1">
          <reference field="4294967294" count="1">
            <x v="0"/>
          </reference>
        </references>
      </pivotArea>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414C23A-127E-4870-9CF1-BCC2BEC2106D}" autoFormatId="16" applyNumberFormats="0" applyBorderFormats="0" applyFontFormats="0" applyPatternFormats="0" applyAlignmentFormats="0" applyWidthHeightFormats="0">
  <queryTableRefresh nextId="43">
    <queryTableFields count="19">
      <queryTableField id="1" name="student_id" tableColumnId="1"/>
      <queryTableField id="2" name="age" tableColumnId="2"/>
      <queryTableField id="3" name="gender" tableColumnId="3"/>
      <queryTableField id="4" name="year_of_study" tableColumnId="4"/>
      <queryTableField id="5" name="major_category" tableColumnId="5"/>
      <queryTableField id="6" name="daily_sleep_hours" tableColumnId="6"/>
      <queryTableField id="7" name="daily_screen_time_hours" tableColumnId="7"/>
      <queryTableField id="8" name="physical_activity_days_per_week" tableColumnId="8"/>
      <queryTableField id="9" name="phq9_score" tableColumnId="9"/>
      <queryTableField id="10" name="gad7_score" tableColumnId="10"/>
      <queryTableField id="11" name="perceived_stress_scale" tableColumnId="11"/>
      <queryTableField id="12" name="weekly_study_hours" tableColumnId="12"/>
      <queryTableField id="13" name="class_attendance_percent" tableColumnId="13"/>
      <queryTableField id="14" name="online_learning_satisfaction" tableColumnId="14"/>
      <queryTableField id="15" name="has_part_time_job" tableColumnId="15"/>
      <queryTableField id="16" name="financial_stress" tableColumnId="16"/>
      <queryTableField id="17" name="semester_type" tableColumnId="17"/>
      <queryTableField id="18" name="cgpa" tableColumnId="18"/>
      <queryTableField id="19" name="gender_cleaned"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1A76736-723C-412A-917A-88711D747C9E}" autoFormatId="16" applyNumberFormats="0" applyBorderFormats="0" applyFontFormats="0" applyPatternFormats="0" applyAlignmentFormats="0" applyWidthHeightFormats="0">
  <queryTableRefresh nextId="50">
    <queryTableFields count="25">
      <queryTableField id="1" name="student_id" tableColumnId="1"/>
      <queryTableField id="2" name="age" tableColumnId="2"/>
      <queryTableField id="3" name="gender" tableColumnId="3"/>
      <queryTableField id="4" name="year_of_study" tableColumnId="4"/>
      <queryTableField id="5" name="major_category" tableColumnId="5"/>
      <queryTableField id="6" name="daily_sleep_hours" tableColumnId="6"/>
      <queryTableField id="7" name="daily_screen_time_hours" tableColumnId="7"/>
      <queryTableField id="8" name="physical_activity_days_per_week" tableColumnId="8"/>
      <queryTableField id="9" name="phq9_score" tableColumnId="9"/>
      <queryTableField id="10" name="gad7_score" tableColumnId="10"/>
      <queryTableField id="21" dataBound="0" tableColumnId="20"/>
      <queryTableField id="11" name="perceived_stress_scale" tableColumnId="11"/>
      <queryTableField id="22" dataBound="0" tableColumnId="21"/>
      <queryTableField id="12" name="weekly_study_hours" tableColumnId="12"/>
      <queryTableField id="23" dataBound="0" tableColumnId="22"/>
      <queryTableField id="13" name="class_attendance_percent" tableColumnId="13"/>
      <queryTableField id="14" name="online_learning_satisfaction" tableColumnId="14"/>
      <queryTableField id="27" dataBound="0" tableColumnId="26"/>
      <queryTableField id="15" name="has_part_time_job" tableColumnId="15"/>
      <queryTableField id="16" name="financial_stress" tableColumnId="16"/>
      <queryTableField id="17" name="semester_type" tableColumnId="17"/>
      <queryTableField id="18" name="cgpa" tableColumnId="18"/>
      <queryTableField id="26" dataBound="0" tableColumnId="25"/>
      <queryTableField id="25" dataBound="0" tableColumnId="24"/>
      <queryTableField id="19" name="gender_cleaned"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13CA92-2D4A-4F70-9655-E659A7F162F3}" name="stdsurvey3" displayName="stdsurvey3" ref="A1:S501" tableType="queryTable" totalsRowShown="0" headerRowDxfId="65">
  <autoFilter ref="A1:S501" xr:uid="{A313CA92-2D4A-4F70-9655-E659A7F162F3}"/>
  <tableColumns count="19">
    <tableColumn id="1" xr3:uid="{25B786C5-145F-4F60-AB20-724B444CE8C6}" uniqueName="1" name="student_id" queryTableFieldId="1" dataDxfId="64"/>
    <tableColumn id="2" xr3:uid="{776E4566-DDF1-48D6-8F49-513AD74D735C}" uniqueName="2" name="age" queryTableFieldId="2"/>
    <tableColumn id="3" xr3:uid="{788C6656-16CD-4C5E-B122-DD6FE043FF56}" uniqueName="3" name="gender" queryTableFieldId="3" dataDxfId="63"/>
    <tableColumn id="4" xr3:uid="{A1DBEE31-D8ED-4D3E-B6EA-EC4014E9B1F2}" uniqueName="4" name="year_of_study" queryTableFieldId="4"/>
    <tableColumn id="5" xr3:uid="{072B7DCB-309E-4B57-9128-ED5228A0FE0F}" uniqueName="5" name="major_category" queryTableFieldId="5" dataDxfId="62"/>
    <tableColumn id="6" xr3:uid="{5843C802-A53E-46D4-9268-1B70DA491A49}" uniqueName="6" name="daily_sleep_hours" queryTableFieldId="6"/>
    <tableColumn id="7" xr3:uid="{6A4CE84F-BE81-4611-86EA-CC8965ADC073}" uniqueName="7" name="daily_screen_time_hours" queryTableFieldId="7"/>
    <tableColumn id="8" xr3:uid="{BDEA49F4-3139-4C25-A77C-D1158E3A8315}" uniqueName="8" name="physical_activity_days_per_week" queryTableFieldId="8"/>
    <tableColumn id="9" xr3:uid="{1CB654C7-78EB-4F21-915C-05D1B9C403F6}" uniqueName="9" name="phq9_score" queryTableFieldId="9"/>
    <tableColumn id="10" xr3:uid="{35B07D7E-08D1-4D21-8440-CBDCAA3736CB}" uniqueName="10" name="gad7_score" queryTableFieldId="10"/>
    <tableColumn id="11" xr3:uid="{1427D650-BE59-4BDF-A33B-B1048A4AE48B}" uniqueName="11" name="perceived_stress_scale" queryTableFieldId="11"/>
    <tableColumn id="12" xr3:uid="{0A9B73F8-A350-461C-B28A-C2C838490931}" uniqueName="12" name="weekly_study_hours" queryTableFieldId="12"/>
    <tableColumn id="13" xr3:uid="{DC6DCCA1-B107-4B50-A442-0B6C3A91A987}" uniqueName="13" name="class_attendance_percent" queryTableFieldId="13"/>
    <tableColumn id="14" xr3:uid="{7B71726F-9EB5-4648-AD58-4804B0681AC3}" uniqueName="14" name="online_learning_satisfaction" queryTableFieldId="14"/>
    <tableColumn id="15" xr3:uid="{1F2FEC13-66ED-4D62-9B5D-4B34BF189DF1}" uniqueName="15" name="has_part_time_job" queryTableFieldId="15" dataDxfId="61"/>
    <tableColumn id="16" xr3:uid="{9FC82DC6-B099-4245-B31E-5E222809408B}" uniqueName="16" name="financial_stress" queryTableFieldId="16"/>
    <tableColumn id="17" xr3:uid="{173A5798-63D1-43DD-98CD-B83608377BCF}" uniqueName="17" name="semester_type" queryTableFieldId="17" dataDxfId="60"/>
    <tableColumn id="18" xr3:uid="{09B73249-B6E3-46A8-B651-B99C89A1628F}" uniqueName="18" name="cgpa" queryTableFieldId="18"/>
    <tableColumn id="19" xr3:uid="{7719FA88-CE1B-4A32-9789-55358F34547E}" uniqueName="19" name="gender_cleaned" queryTableFieldId="19" dataDxfId="5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71B8AD-7AC9-47BF-906B-96D0935B3E6E}" name="stdsurvey" displayName="stdsurvey" ref="A4:Y504" tableType="queryTable" totalsRowShown="0" headerRowDxfId="78">
  <autoFilter ref="A4:Y504" xr:uid="{A971B8AD-7AC9-47BF-906B-96D0935B3E6E}"/>
  <tableColumns count="25">
    <tableColumn id="1" xr3:uid="{C414DAE0-B7F2-45CC-8219-CF60F19FED5E}" uniqueName="1" name="student_id" queryTableFieldId="1" dataDxfId="77"/>
    <tableColumn id="2" xr3:uid="{308E38CF-A963-4B95-93CC-16E1B67FADCB}" uniqueName="2" name="age" queryTableFieldId="2"/>
    <tableColumn id="3" xr3:uid="{22FEE529-2AE9-4F6C-B813-E82E0BBBE52A}" uniqueName="3" name="gender" queryTableFieldId="3" dataDxfId="76"/>
    <tableColumn id="4" xr3:uid="{C2035C3D-BB21-49E3-BCD5-A1D875C75472}" uniqueName="4" name="year_of_study" queryTableFieldId="4"/>
    <tableColumn id="5" xr3:uid="{AEB5FB3D-2090-481D-9AED-2B7BA4AC770E}" uniqueName="5" name="major_category" queryTableFieldId="5" dataDxfId="75"/>
    <tableColumn id="6" xr3:uid="{9C9F8A8C-51CD-4F2D-BCFF-D9033CF52CE2}" uniqueName="6" name="daily_sleep_hours" queryTableFieldId="6"/>
    <tableColumn id="7" xr3:uid="{0470B0DB-8524-4E7B-A4E0-6313E71F2277}" uniqueName="7" name="daily_screen_time_hours" queryTableFieldId="7"/>
    <tableColumn id="8" xr3:uid="{8292784C-7263-4A8A-8901-5E9EFBDC881E}" uniqueName="8" name="physical_activity_days_per_week" queryTableFieldId="8"/>
    <tableColumn id="9" xr3:uid="{DFBA164A-946A-41FE-9511-086E49ACD616}" uniqueName="9" name="phq9_score" queryTableFieldId="9"/>
    <tableColumn id="10" xr3:uid="{DA3971D7-33F3-400A-AFF2-5594859466F4}" uniqueName="10" name="gad7_score" queryTableFieldId="10"/>
    <tableColumn id="20" xr3:uid="{3F62FE89-0C2B-423E-8D26-A5454B0985F0}" uniqueName="20" name="phq9_score_category" queryTableFieldId="21" dataDxfId="74">
      <calculatedColumnFormula array="1">_xlfn.IFS(stdsurvey[[#This Row],[phq9_score]]="","Answer Not Provided",stdsurvey[[#This Row],[phq9_score]]&lt;=4,"Minimal",stdsurvey[[#This Row],[phq9_score]]&lt;=9,"Mild",stdsurvey[[#This Row],[phq9_score]]&lt;=14,"Moderate",stdsurvey[[#This Row],[phq9_score]]&lt;=19,"Moderately Severe",stdsurvey[[#This Row],[phq9_score]]&lt;=27,"Severe")</calculatedColumnFormula>
    </tableColumn>
    <tableColumn id="11" xr3:uid="{D21D463E-C2FA-447A-AB5A-D12E35FB9015}" uniqueName="11" name="perceived_stress_scale" queryTableFieldId="11"/>
    <tableColumn id="21" xr3:uid="{7604FB21-A5E0-4476-AB18-2C2ABD9E1925}" uniqueName="21" name="gad7_score_interpretation" queryTableFieldId="22" dataDxfId="73">
      <calculatedColumnFormula array="1">_xlfn.IFS(stdsurvey[[#This Row],[gad7_score]]="","Answer Not Provided",stdsurvey[[#This Row],[gad7_score]]&lt;=4,"Minimal",stdsurvey[[#This Row],[gad7_score]]&lt;=9,"Mild",stdsurvey[[#This Row],[gad7_score]]&lt;=14,"Moderate",stdsurvey[[#This Row],[gad7_score]]&lt;=21,"Severe")</calculatedColumnFormula>
    </tableColumn>
    <tableColumn id="12" xr3:uid="{50453D91-79BE-491A-9153-EA39AD46382E}" uniqueName="12" name="weekly_study_hours" queryTableFieldId="12"/>
    <tableColumn id="22" xr3:uid="{A6ED6CCB-0308-468D-94C9-DC8FC7ED80D0}" uniqueName="22" name="pss_category" queryTableFieldId="23" dataDxfId="72">
      <calculatedColumnFormula array="1">_xlfn.IFS(stdsurvey[[#This Row],[perceived_stress_scale]]="","Answer Not Provided",stdsurvey[[#This Row],[perceived_stress_scale]]&lt;=13,"Low Stress",stdsurvey[[#This Row],[perceived_stress_scale]]&lt;=26,"Moderate Stress",stdsurvey[[#This Row],[perceived_stress_scale]]&lt;=40,"High Stress")</calculatedColumnFormula>
    </tableColumn>
    <tableColumn id="13" xr3:uid="{B3C7330D-FD8C-4CB2-84BA-CBCF56E64F04}" uniqueName="13" name="class_attendance_percent" queryTableFieldId="13"/>
    <tableColumn id="14" xr3:uid="{A27BE28F-E74B-4C35-B94F-4FFB9FE96335}" uniqueName="14" name="online_learning_satisfaction" queryTableFieldId="14"/>
    <tableColumn id="26" xr3:uid="{EFB6BA7C-0CE0-4E37-9BA3-433F9DA84060}" uniqueName="26" name="attendance_band" queryTableFieldId="27" dataDxfId="71">
      <calculatedColumnFormula array="1">_xlfn.IFS(stdsurvey[[#This Row],[class_attendance_percent]]&lt;60,"Less than 0%",stdsurvey[[#This Row],[class_attendance_percent]]&lt;70,"60-70 %",stdsurvey[[#This Row],[class_attendance_percent]]&lt;80, "70-80%",stdsurvey[[#This Row],[class_attendance_percent]]&lt;90,"80-90%",TRUE,"More than 90%")</calculatedColumnFormula>
    </tableColumn>
    <tableColumn id="15" xr3:uid="{11DFF3C7-FE25-487F-8795-3F48B2959A82}" uniqueName="15" name="has_part_time_job" queryTableFieldId="15" dataDxfId="70"/>
    <tableColumn id="16" xr3:uid="{B971F7B2-5F65-4145-85AC-D2E7306A1850}" uniqueName="16" name="financial_stress" queryTableFieldId="16"/>
    <tableColumn id="17" xr3:uid="{78AC34E1-DB32-43F7-BDA9-EAB55E98FFB4}" uniqueName="17" name="semester_type" queryTableFieldId="17" dataDxfId="69"/>
    <tableColumn id="18" xr3:uid="{40F1450B-FA3F-49C1-9E77-FB2CE98C46E1}" uniqueName="18" name="cgpa" queryTableFieldId="18"/>
    <tableColumn id="25" xr3:uid="{96130971-D041-4924-8F1A-D859F02C6668}" uniqueName="25" name="screen_time_band" queryTableFieldId="26" dataDxfId="68">
      <calculatedColumnFormula array="1">_xlfn.IFS(
    stdsurvey[[#This Row],[daily_screen_time_hours]]&lt;1,"&lt;1 hr",
    stdsurvey[[#This Row],[daily_screen_time_hours]]&lt;4,"1-4 hrs",
    stdsurvey[[#This Row],[daily_screen_time_hours]]&lt;8,"4-8 hrs",
    stdsurvey[[#This Row],[daily_screen_time_hours]]&lt;12,"8-12 hrs",
    stdsurvey[[#This Row],[daily_screen_time_hours]]&lt;=16,"12-16 hrs",
    TRUE,"&gt;16 hrs"
)</calculatedColumnFormula>
    </tableColumn>
    <tableColumn id="24" xr3:uid="{535603A3-114B-4C51-80C4-C877E2DADE8D}" uniqueName="24" name="sleep_hour_band" queryTableFieldId="25" dataDxfId="67">
      <calculatedColumnFormula array="1">_xlfn.IFS(stdsurvey[[#This Row],[daily_sleep_hours]]&lt;4,"&lt; 4 hrs",stdsurvey[[#This Row],[daily_sleep_hours]]&lt;=6,"4-6 hrs",stdsurvey[[#This Row],[daily_sleep_hours]]&lt;=8,"6-8 hrs",TRUE,"&gt; 8 hrs")</calculatedColumnFormula>
    </tableColumn>
    <tableColumn id="19" xr3:uid="{73421A99-3C73-4548-9687-CF2B1D7F72C5}" uniqueName="19" name="gender_cleaned" queryTableFieldId="19" dataDxfId="66"/>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A6EA40-36AC-4BAE-80B0-D0C64FD5DDD0}" name="Table4" displayName="Table4" ref="C56:E62" totalsRowShown="0">
  <autoFilter ref="C56:E62" xr:uid="{6EA6EA40-36AC-4BAE-80B0-D0C64FD5DDD0}"/>
  <tableColumns count="3">
    <tableColumn id="1" xr3:uid="{D40FA5E5-575B-4C50-B73C-671249D62C4A}" name="Model Comparison" dataDxfId="7"/>
    <tableColumn id="2" xr3:uid="{C46497B5-FBB0-4B53-8C7A-9BEBBF7C7129}" name="Mental Health Model" dataDxfId="6"/>
    <tableColumn id="3" xr3:uid="{C6FA2E4B-265A-4759-9BD4-034F41AF756B}" name="Full Model" dataDxfId="5"/>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B81874-7DCA-49EF-862C-5621DF0CB475}" name="Table5" displayName="Table5" ref="C65:G76" totalsRowShown="0">
  <autoFilter ref="C65:G76" xr:uid="{99B81874-7DCA-49EF-862C-5621DF0CB475}"/>
  <tableColumns count="5">
    <tableColumn id="1" xr3:uid="{F7ED481F-D580-463B-9BBA-17C4D7458281}" name="Factor"/>
    <tableColumn id="2" xr3:uid="{5B85CF6C-3211-451A-98A1-07DE5EEEB5A6}" name="Direction with CGPA" dataDxfId="4"/>
    <tableColumn id="3" xr3:uid="{9B4E8E79-7AB2-41A5-91F0-E6F7D772CE10}" name="β Coefficient" dataDxfId="3"/>
    <tableColumn id="4" xr3:uid="{62EAC012-4B1D-431C-B0B1-B9530ACD9CB3}" name="p-value"/>
    <tableColumn id="5" xr3:uid="{0860F389-8834-43EB-9C25-59E6F43DE00B}" name="Significa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21.xml"/><Relationship Id="rId7" Type="http://schemas.openxmlformats.org/officeDocument/2006/relationships/table" Target="../tables/table3.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72D2-FC8C-4D19-A2D8-528C098681E5}">
  <dimension ref="A1:S501"/>
  <sheetViews>
    <sheetView workbookViewId="0"/>
  </sheetViews>
  <sheetFormatPr defaultRowHeight="14.4" x14ac:dyDescent="0.3"/>
  <cols>
    <col min="1" max="1" width="12.21875" bestFit="1" customWidth="1"/>
    <col min="2" max="2" width="6.21875" bestFit="1" customWidth="1"/>
    <col min="3" max="3" width="14.6640625" bestFit="1" customWidth="1"/>
    <col min="4" max="4" width="15.44140625" bestFit="1" customWidth="1"/>
    <col min="5" max="5" width="16.6640625" bestFit="1" customWidth="1"/>
    <col min="6" max="6" width="18.44140625" bestFit="1" customWidth="1"/>
    <col min="7" max="7" width="24.5546875" bestFit="1" customWidth="1"/>
    <col min="8" max="8" width="31.77734375" bestFit="1" customWidth="1"/>
    <col min="9" max="9" width="13" bestFit="1" customWidth="1"/>
    <col min="10" max="10" width="12.77734375" bestFit="1" customWidth="1"/>
    <col min="11" max="11" width="22.44140625" bestFit="1" customWidth="1"/>
    <col min="12" max="12" width="20.77734375" bestFit="1" customWidth="1"/>
    <col min="13" max="13" width="25.44140625" bestFit="1" customWidth="1"/>
    <col min="14" max="14" width="27.109375" bestFit="1" customWidth="1"/>
    <col min="15" max="15" width="19.21875" bestFit="1" customWidth="1"/>
    <col min="16" max="16" width="16.109375" bestFit="1" customWidth="1"/>
    <col min="17" max="17" width="15.6640625" bestFit="1" customWidth="1"/>
    <col min="18" max="18" width="7.21875" bestFit="1" customWidth="1"/>
    <col min="19" max="19" width="16.77734375" bestFit="1" customWidth="1"/>
  </cols>
  <sheetData>
    <row r="1" spans="1:19"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x14ac:dyDescent="0.3">
      <c r="A2" t="s">
        <v>19</v>
      </c>
      <c r="B2">
        <v>22</v>
      </c>
      <c r="C2" t="s">
        <v>20</v>
      </c>
      <c r="D2">
        <v>3</v>
      </c>
      <c r="E2" t="s">
        <v>21</v>
      </c>
      <c r="F2">
        <v>6.1</v>
      </c>
      <c r="G2">
        <v>4.0999999999999996</v>
      </c>
      <c r="H2">
        <v>1</v>
      </c>
      <c r="I2">
        <v>17</v>
      </c>
      <c r="J2">
        <v>16</v>
      </c>
      <c r="K2">
        <v>26</v>
      </c>
      <c r="L2">
        <v>6.3</v>
      </c>
      <c r="M2">
        <v>63.9</v>
      </c>
      <c r="N2">
        <v>5</v>
      </c>
      <c r="O2" t="s">
        <v>22</v>
      </c>
      <c r="P2">
        <v>1</v>
      </c>
      <c r="Q2" t="s">
        <v>23</v>
      </c>
      <c r="R2">
        <v>2.46</v>
      </c>
      <c r="S2" t="s">
        <v>20</v>
      </c>
    </row>
    <row r="3" spans="1:19" x14ac:dyDescent="0.3">
      <c r="A3" t="s">
        <v>24</v>
      </c>
      <c r="B3">
        <v>19</v>
      </c>
      <c r="C3" t="s">
        <v>25</v>
      </c>
      <c r="D3">
        <v>2</v>
      </c>
      <c r="E3" t="s">
        <v>21</v>
      </c>
      <c r="F3">
        <v>7</v>
      </c>
      <c r="G3">
        <v>2.2999999999999998</v>
      </c>
      <c r="H3">
        <v>3</v>
      </c>
      <c r="I3">
        <v>9</v>
      </c>
      <c r="J3">
        <v>7</v>
      </c>
      <c r="K3">
        <v>19</v>
      </c>
      <c r="L3">
        <v>20.7</v>
      </c>
      <c r="M3">
        <v>78.5</v>
      </c>
      <c r="N3">
        <v>3</v>
      </c>
      <c r="O3" t="s">
        <v>22</v>
      </c>
      <c r="P3">
        <v>4</v>
      </c>
      <c r="Q3" t="s">
        <v>26</v>
      </c>
      <c r="R3">
        <v>2.98</v>
      </c>
      <c r="S3" t="s">
        <v>27</v>
      </c>
    </row>
    <row r="4" spans="1:19" x14ac:dyDescent="0.3">
      <c r="A4" t="s">
        <v>28</v>
      </c>
      <c r="B4">
        <v>23</v>
      </c>
      <c r="C4" t="s">
        <v>29</v>
      </c>
      <c r="D4">
        <v>3</v>
      </c>
      <c r="E4" t="s">
        <v>30</v>
      </c>
      <c r="F4">
        <v>5</v>
      </c>
      <c r="G4">
        <v>9.1999999999999993</v>
      </c>
      <c r="H4">
        <v>1</v>
      </c>
      <c r="I4">
        <v>1</v>
      </c>
      <c r="J4">
        <v>2</v>
      </c>
      <c r="K4">
        <v>10</v>
      </c>
      <c r="L4">
        <v>17.100000000000001</v>
      </c>
      <c r="M4">
        <v>92.5</v>
      </c>
      <c r="N4">
        <v>5</v>
      </c>
      <c r="O4" t="s">
        <v>22</v>
      </c>
      <c r="P4">
        <v>3</v>
      </c>
      <c r="Q4" t="s">
        <v>23</v>
      </c>
      <c r="R4">
        <v>3.27</v>
      </c>
      <c r="S4" t="s">
        <v>29</v>
      </c>
    </row>
    <row r="5" spans="1:19" x14ac:dyDescent="0.3">
      <c r="A5" t="s">
        <v>31</v>
      </c>
      <c r="B5">
        <v>23</v>
      </c>
      <c r="C5" t="s">
        <v>27</v>
      </c>
      <c r="D5">
        <v>2</v>
      </c>
      <c r="E5" t="s">
        <v>32</v>
      </c>
      <c r="F5">
        <v>3.8</v>
      </c>
      <c r="G5">
        <v>2</v>
      </c>
      <c r="H5">
        <v>6</v>
      </c>
      <c r="I5">
        <v>4</v>
      </c>
      <c r="J5">
        <v>6</v>
      </c>
      <c r="K5">
        <v>9</v>
      </c>
      <c r="L5">
        <v>25.2</v>
      </c>
      <c r="M5">
        <v>86.5</v>
      </c>
      <c r="N5">
        <v>3</v>
      </c>
      <c r="O5" t="s">
        <v>33</v>
      </c>
      <c r="P5">
        <v>2</v>
      </c>
      <c r="Q5" t="s">
        <v>23</v>
      </c>
      <c r="R5">
        <v>3.09</v>
      </c>
      <c r="S5" t="s">
        <v>27</v>
      </c>
    </row>
    <row r="6" spans="1:19" x14ac:dyDescent="0.3">
      <c r="A6" t="s">
        <v>34</v>
      </c>
      <c r="B6">
        <v>17</v>
      </c>
      <c r="C6" t="s">
        <v>20</v>
      </c>
      <c r="D6">
        <v>5</v>
      </c>
      <c r="E6" t="s">
        <v>35</v>
      </c>
      <c r="F6">
        <v>5.8</v>
      </c>
      <c r="G6">
        <v>4.0999999999999996</v>
      </c>
      <c r="H6">
        <v>0</v>
      </c>
      <c r="I6">
        <v>10</v>
      </c>
      <c r="J6">
        <v>6</v>
      </c>
      <c r="K6">
        <v>15</v>
      </c>
      <c r="L6">
        <v>4.5999999999999996</v>
      </c>
      <c r="M6">
        <v>83.9</v>
      </c>
      <c r="N6">
        <v>5</v>
      </c>
      <c r="O6" t="s">
        <v>33</v>
      </c>
      <c r="P6">
        <v>3</v>
      </c>
      <c r="Q6" t="s">
        <v>23</v>
      </c>
      <c r="R6">
        <v>2.2799999999999998</v>
      </c>
      <c r="S6" t="s">
        <v>20</v>
      </c>
    </row>
    <row r="7" spans="1:19" x14ac:dyDescent="0.3">
      <c r="A7" t="s">
        <v>36</v>
      </c>
      <c r="B7">
        <v>19</v>
      </c>
      <c r="C7" t="s">
        <v>20</v>
      </c>
      <c r="D7">
        <v>2</v>
      </c>
      <c r="E7" t="s">
        <v>21</v>
      </c>
      <c r="F7">
        <v>5.2</v>
      </c>
      <c r="G7">
        <v>5.8</v>
      </c>
      <c r="H7">
        <v>4</v>
      </c>
      <c r="I7">
        <v>5</v>
      </c>
      <c r="J7">
        <v>5</v>
      </c>
      <c r="K7">
        <v>8</v>
      </c>
      <c r="L7">
        <v>12.5</v>
      </c>
      <c r="M7">
        <v>78.400000000000006</v>
      </c>
      <c r="N7">
        <v>2</v>
      </c>
      <c r="O7" t="s">
        <v>22</v>
      </c>
      <c r="P7">
        <v>3</v>
      </c>
      <c r="Q7" t="s">
        <v>23</v>
      </c>
      <c r="R7">
        <v>2.69</v>
      </c>
      <c r="S7" t="s">
        <v>20</v>
      </c>
    </row>
    <row r="8" spans="1:19" x14ac:dyDescent="0.3">
      <c r="A8" t="s">
        <v>37</v>
      </c>
      <c r="B8">
        <v>22</v>
      </c>
      <c r="C8" t="s">
        <v>27</v>
      </c>
      <c r="D8">
        <v>3</v>
      </c>
      <c r="E8" t="s">
        <v>32</v>
      </c>
      <c r="F8">
        <v>4.3</v>
      </c>
      <c r="G8">
        <v>4.5999999999999996</v>
      </c>
      <c r="H8">
        <v>4</v>
      </c>
      <c r="I8">
        <v>3</v>
      </c>
      <c r="J8">
        <v>3</v>
      </c>
      <c r="K8">
        <v>5</v>
      </c>
      <c r="L8">
        <v>20.8</v>
      </c>
      <c r="M8">
        <v>75.5</v>
      </c>
      <c r="N8">
        <v>4</v>
      </c>
      <c r="O8" t="s">
        <v>22</v>
      </c>
      <c r="P8">
        <v>3</v>
      </c>
      <c r="Q8" t="s">
        <v>26</v>
      </c>
      <c r="R8">
        <v>2.9</v>
      </c>
      <c r="S8" t="s">
        <v>27</v>
      </c>
    </row>
    <row r="9" spans="1:19" x14ac:dyDescent="0.3">
      <c r="A9" t="s">
        <v>38</v>
      </c>
      <c r="B9">
        <v>21</v>
      </c>
      <c r="C9" t="s">
        <v>39</v>
      </c>
      <c r="D9">
        <v>1</v>
      </c>
      <c r="E9" t="s">
        <v>30</v>
      </c>
      <c r="F9">
        <v>8.3000000000000007</v>
      </c>
      <c r="G9">
        <v>5.3</v>
      </c>
      <c r="H9">
        <v>0</v>
      </c>
      <c r="I9">
        <v>27</v>
      </c>
      <c r="J9">
        <v>19</v>
      </c>
      <c r="K9">
        <v>28</v>
      </c>
      <c r="L9">
        <v>24.6</v>
      </c>
      <c r="M9">
        <v>71.2</v>
      </c>
      <c r="N9">
        <v>2</v>
      </c>
      <c r="O9" t="s">
        <v>22</v>
      </c>
      <c r="P9">
        <v>5</v>
      </c>
      <c r="Q9" t="s">
        <v>26</v>
      </c>
      <c r="S9" t="s">
        <v>27</v>
      </c>
    </row>
    <row r="10" spans="1:19" x14ac:dyDescent="0.3">
      <c r="A10" t="s">
        <v>40</v>
      </c>
      <c r="B10">
        <v>21</v>
      </c>
      <c r="C10" t="s">
        <v>20</v>
      </c>
      <c r="D10">
        <v>2</v>
      </c>
      <c r="E10" t="s">
        <v>30</v>
      </c>
      <c r="F10">
        <v>6.8</v>
      </c>
      <c r="G10">
        <v>2.2999999999999998</v>
      </c>
      <c r="H10">
        <v>1</v>
      </c>
      <c r="I10">
        <v>7</v>
      </c>
      <c r="J10">
        <v>8</v>
      </c>
      <c r="K10">
        <v>12</v>
      </c>
      <c r="L10">
        <v>32.700000000000003</v>
      </c>
      <c r="M10">
        <v>96</v>
      </c>
      <c r="N10">
        <v>5</v>
      </c>
      <c r="O10" t="s">
        <v>22</v>
      </c>
      <c r="P10">
        <v>4</v>
      </c>
      <c r="Q10" t="s">
        <v>23</v>
      </c>
      <c r="R10">
        <v>3.18</v>
      </c>
      <c r="S10" t="s">
        <v>20</v>
      </c>
    </row>
    <row r="11" spans="1:19" x14ac:dyDescent="0.3">
      <c r="A11" t="s">
        <v>41</v>
      </c>
      <c r="B11">
        <v>20</v>
      </c>
      <c r="C11" t="s">
        <v>20</v>
      </c>
      <c r="D11">
        <v>4</v>
      </c>
      <c r="E11" t="s">
        <v>30</v>
      </c>
      <c r="F11">
        <v>6.6</v>
      </c>
      <c r="G11">
        <v>5.9</v>
      </c>
      <c r="H11">
        <v>2</v>
      </c>
      <c r="I11">
        <v>6</v>
      </c>
      <c r="J11">
        <v>7</v>
      </c>
      <c r="K11">
        <v>13</v>
      </c>
      <c r="L11">
        <v>20.8</v>
      </c>
      <c r="M11">
        <v>97.1</v>
      </c>
      <c r="N11">
        <v>5</v>
      </c>
      <c r="O11" t="s">
        <v>22</v>
      </c>
      <c r="P11">
        <v>4</v>
      </c>
      <c r="Q11" t="s">
        <v>26</v>
      </c>
      <c r="R11">
        <v>3.11</v>
      </c>
      <c r="S11" t="s">
        <v>20</v>
      </c>
    </row>
    <row r="12" spans="1:19" x14ac:dyDescent="0.3">
      <c r="A12" t="s">
        <v>42</v>
      </c>
      <c r="B12">
        <v>23</v>
      </c>
      <c r="C12" t="s">
        <v>27</v>
      </c>
      <c r="D12">
        <v>3</v>
      </c>
      <c r="E12" t="s">
        <v>30</v>
      </c>
      <c r="F12">
        <v>6.1</v>
      </c>
      <c r="G12">
        <v>1.1000000000000001</v>
      </c>
      <c r="H12">
        <v>5</v>
      </c>
      <c r="I12">
        <v>8</v>
      </c>
      <c r="J12">
        <v>6</v>
      </c>
      <c r="K12">
        <v>7</v>
      </c>
      <c r="L12">
        <v>31.6</v>
      </c>
      <c r="M12">
        <v>65.599999999999994</v>
      </c>
      <c r="N12">
        <v>3</v>
      </c>
      <c r="O12" t="s">
        <v>22</v>
      </c>
      <c r="P12">
        <v>3</v>
      </c>
      <c r="Q12" t="s">
        <v>23</v>
      </c>
      <c r="R12">
        <v>2.85</v>
      </c>
      <c r="S12" t="s">
        <v>27</v>
      </c>
    </row>
    <row r="13" spans="1:19" x14ac:dyDescent="0.3">
      <c r="A13" t="s">
        <v>43</v>
      </c>
      <c r="B13">
        <v>23</v>
      </c>
      <c r="C13" t="s">
        <v>27</v>
      </c>
      <c r="D13">
        <v>2</v>
      </c>
      <c r="E13" t="s">
        <v>35</v>
      </c>
      <c r="F13">
        <v>5.2</v>
      </c>
      <c r="G13">
        <v>9.1</v>
      </c>
      <c r="H13">
        <v>3</v>
      </c>
      <c r="I13">
        <v>4</v>
      </c>
      <c r="J13">
        <v>5</v>
      </c>
      <c r="K13">
        <v>10</v>
      </c>
      <c r="L13">
        <v>11.5</v>
      </c>
      <c r="M13">
        <v>89</v>
      </c>
      <c r="N13">
        <v>3</v>
      </c>
      <c r="O13" t="s">
        <v>33</v>
      </c>
      <c r="P13">
        <v>5</v>
      </c>
      <c r="Q13" t="s">
        <v>23</v>
      </c>
      <c r="R13">
        <v>2.4300000000000002</v>
      </c>
      <c r="S13" t="s">
        <v>27</v>
      </c>
    </row>
    <row r="14" spans="1:19" x14ac:dyDescent="0.3">
      <c r="A14" t="s">
        <v>44</v>
      </c>
      <c r="B14">
        <v>22</v>
      </c>
      <c r="C14" t="s">
        <v>45</v>
      </c>
      <c r="D14">
        <v>5</v>
      </c>
      <c r="E14" t="s">
        <v>21</v>
      </c>
      <c r="F14">
        <v>8.1999999999999993</v>
      </c>
      <c r="G14">
        <v>1</v>
      </c>
      <c r="H14">
        <v>3</v>
      </c>
      <c r="K14">
        <v>21</v>
      </c>
      <c r="L14">
        <v>24.5</v>
      </c>
      <c r="M14">
        <v>71.8</v>
      </c>
      <c r="N14">
        <v>4</v>
      </c>
      <c r="O14" t="s">
        <v>22</v>
      </c>
      <c r="P14">
        <v>2</v>
      </c>
      <c r="Q14" t="s">
        <v>23</v>
      </c>
      <c r="R14">
        <v>3.13</v>
      </c>
      <c r="S14" t="s">
        <v>20</v>
      </c>
    </row>
    <row r="15" spans="1:19" x14ac:dyDescent="0.3">
      <c r="A15" t="s">
        <v>46</v>
      </c>
      <c r="B15">
        <v>24</v>
      </c>
      <c r="C15" t="s">
        <v>27</v>
      </c>
      <c r="D15">
        <v>4</v>
      </c>
      <c r="E15" t="s">
        <v>47</v>
      </c>
      <c r="F15">
        <v>6.4</v>
      </c>
      <c r="G15">
        <v>2.9</v>
      </c>
      <c r="H15">
        <v>4</v>
      </c>
      <c r="I15">
        <v>7</v>
      </c>
      <c r="J15">
        <v>5</v>
      </c>
      <c r="K15">
        <v>15</v>
      </c>
      <c r="L15">
        <v>11.4</v>
      </c>
      <c r="M15">
        <v>86.2</v>
      </c>
      <c r="N15">
        <v>3</v>
      </c>
      <c r="O15" t="s">
        <v>22</v>
      </c>
      <c r="P15">
        <v>2</v>
      </c>
      <c r="Q15" t="s">
        <v>23</v>
      </c>
      <c r="R15">
        <v>3.1</v>
      </c>
      <c r="S15" t="s">
        <v>27</v>
      </c>
    </row>
    <row r="16" spans="1:19" x14ac:dyDescent="0.3">
      <c r="A16" t="s">
        <v>48</v>
      </c>
      <c r="B16">
        <v>22</v>
      </c>
      <c r="C16" t="s">
        <v>27</v>
      </c>
      <c r="D16">
        <v>2</v>
      </c>
      <c r="E16" t="s">
        <v>49</v>
      </c>
      <c r="F16">
        <v>7.6</v>
      </c>
      <c r="G16">
        <v>4.0999999999999996</v>
      </c>
      <c r="H16">
        <v>4</v>
      </c>
      <c r="I16">
        <v>6</v>
      </c>
      <c r="J16">
        <v>6</v>
      </c>
      <c r="K16">
        <v>10</v>
      </c>
      <c r="L16">
        <v>18.899999999999999</v>
      </c>
      <c r="M16">
        <v>75.7</v>
      </c>
      <c r="N16">
        <v>4</v>
      </c>
      <c r="O16" t="s">
        <v>22</v>
      </c>
      <c r="P16">
        <v>1</v>
      </c>
      <c r="Q16" t="s">
        <v>23</v>
      </c>
      <c r="R16">
        <v>4.0999999999999996</v>
      </c>
      <c r="S16" t="s">
        <v>27</v>
      </c>
    </row>
    <row r="17" spans="1:19" x14ac:dyDescent="0.3">
      <c r="A17" t="s">
        <v>50</v>
      </c>
      <c r="B17">
        <v>20</v>
      </c>
      <c r="C17" t="s">
        <v>27</v>
      </c>
      <c r="D17">
        <v>3</v>
      </c>
      <c r="E17" t="s">
        <v>30</v>
      </c>
      <c r="F17">
        <v>5.5</v>
      </c>
      <c r="G17">
        <v>8.8000000000000007</v>
      </c>
      <c r="H17">
        <v>3</v>
      </c>
      <c r="I17">
        <v>27</v>
      </c>
      <c r="J17">
        <v>19</v>
      </c>
      <c r="K17">
        <v>27</v>
      </c>
      <c r="L17">
        <v>1.5</v>
      </c>
      <c r="M17">
        <v>97.8</v>
      </c>
      <c r="O17" t="s">
        <v>22</v>
      </c>
      <c r="P17">
        <v>3</v>
      </c>
      <c r="Q17" t="s">
        <v>51</v>
      </c>
      <c r="R17">
        <v>2.37</v>
      </c>
      <c r="S17" t="s">
        <v>27</v>
      </c>
    </row>
    <row r="18" spans="1:19" x14ac:dyDescent="0.3">
      <c r="A18" t="s">
        <v>52</v>
      </c>
      <c r="B18">
        <v>22</v>
      </c>
      <c r="C18" t="s">
        <v>20</v>
      </c>
      <c r="D18">
        <v>3</v>
      </c>
      <c r="E18" t="s">
        <v>30</v>
      </c>
      <c r="F18">
        <v>5.9</v>
      </c>
      <c r="G18">
        <v>2</v>
      </c>
      <c r="H18">
        <v>3</v>
      </c>
      <c r="I18">
        <v>4</v>
      </c>
      <c r="J18">
        <v>4</v>
      </c>
      <c r="K18">
        <v>11</v>
      </c>
      <c r="L18">
        <v>15.4</v>
      </c>
      <c r="M18">
        <v>75.3</v>
      </c>
      <c r="N18">
        <v>3</v>
      </c>
      <c r="O18" t="s">
        <v>33</v>
      </c>
      <c r="P18">
        <v>3</v>
      </c>
      <c r="Q18" t="s">
        <v>26</v>
      </c>
      <c r="R18">
        <v>3.37</v>
      </c>
      <c r="S18" t="s">
        <v>20</v>
      </c>
    </row>
    <row r="19" spans="1:19" x14ac:dyDescent="0.3">
      <c r="A19" t="s">
        <v>53</v>
      </c>
      <c r="B19">
        <v>19</v>
      </c>
      <c r="C19" t="s">
        <v>20</v>
      </c>
      <c r="D19">
        <v>3</v>
      </c>
      <c r="E19" t="s">
        <v>47</v>
      </c>
      <c r="F19">
        <v>4.5999999999999996</v>
      </c>
      <c r="G19">
        <v>7.3</v>
      </c>
      <c r="H19">
        <v>4</v>
      </c>
      <c r="I19">
        <v>3</v>
      </c>
      <c r="J19">
        <v>1</v>
      </c>
      <c r="K19">
        <v>1</v>
      </c>
      <c r="L19">
        <v>23.7</v>
      </c>
      <c r="M19">
        <v>85.9</v>
      </c>
      <c r="N19">
        <v>2</v>
      </c>
      <c r="O19" t="s">
        <v>33</v>
      </c>
      <c r="P19">
        <v>4</v>
      </c>
      <c r="Q19" t="s">
        <v>23</v>
      </c>
      <c r="R19">
        <v>2.99</v>
      </c>
      <c r="S19" t="s">
        <v>20</v>
      </c>
    </row>
    <row r="20" spans="1:19" x14ac:dyDescent="0.3">
      <c r="A20" t="s">
        <v>54</v>
      </c>
      <c r="B20">
        <v>23</v>
      </c>
      <c r="C20" t="s">
        <v>20</v>
      </c>
      <c r="D20">
        <v>2</v>
      </c>
      <c r="E20" t="s">
        <v>30</v>
      </c>
      <c r="F20">
        <v>4.5</v>
      </c>
      <c r="G20">
        <v>1</v>
      </c>
      <c r="H20">
        <v>2</v>
      </c>
      <c r="I20">
        <v>7</v>
      </c>
      <c r="J20">
        <v>9</v>
      </c>
      <c r="K20">
        <v>17</v>
      </c>
      <c r="L20">
        <v>11.9</v>
      </c>
      <c r="M20">
        <v>92</v>
      </c>
      <c r="N20">
        <v>5</v>
      </c>
      <c r="O20" t="s">
        <v>22</v>
      </c>
      <c r="P20">
        <v>3</v>
      </c>
      <c r="Q20" t="s">
        <v>26</v>
      </c>
      <c r="R20">
        <v>2.78</v>
      </c>
      <c r="S20" t="s">
        <v>20</v>
      </c>
    </row>
    <row r="21" spans="1:19" x14ac:dyDescent="0.3">
      <c r="A21" t="s">
        <v>55</v>
      </c>
      <c r="B21">
        <v>21</v>
      </c>
      <c r="C21" t="s">
        <v>27</v>
      </c>
      <c r="D21">
        <v>2</v>
      </c>
      <c r="E21" t="s">
        <v>35</v>
      </c>
      <c r="F21">
        <v>6.4</v>
      </c>
      <c r="G21">
        <v>2.8</v>
      </c>
      <c r="H21">
        <v>5</v>
      </c>
      <c r="I21">
        <v>4</v>
      </c>
      <c r="J21">
        <v>3</v>
      </c>
      <c r="K21">
        <v>8</v>
      </c>
      <c r="L21">
        <v>17.5</v>
      </c>
      <c r="M21">
        <v>66.7</v>
      </c>
      <c r="N21">
        <v>2</v>
      </c>
      <c r="O21" t="s">
        <v>22</v>
      </c>
      <c r="P21">
        <v>1</v>
      </c>
      <c r="Q21" t="s">
        <v>23</v>
      </c>
      <c r="R21">
        <v>2.73</v>
      </c>
      <c r="S21" t="s">
        <v>27</v>
      </c>
    </row>
    <row r="22" spans="1:19" x14ac:dyDescent="0.3">
      <c r="A22" t="s">
        <v>56</v>
      </c>
      <c r="B22">
        <v>21</v>
      </c>
      <c r="C22" t="s">
        <v>27</v>
      </c>
      <c r="D22">
        <v>4</v>
      </c>
      <c r="E22" t="s">
        <v>30</v>
      </c>
      <c r="F22">
        <v>7.1</v>
      </c>
      <c r="G22">
        <v>1</v>
      </c>
      <c r="H22">
        <v>0</v>
      </c>
      <c r="I22">
        <v>7</v>
      </c>
      <c r="J22">
        <v>9</v>
      </c>
      <c r="K22">
        <v>19</v>
      </c>
      <c r="L22">
        <v>26.8</v>
      </c>
      <c r="M22">
        <v>80</v>
      </c>
      <c r="N22">
        <v>4</v>
      </c>
      <c r="O22" t="s">
        <v>33</v>
      </c>
      <c r="P22">
        <v>4</v>
      </c>
      <c r="Q22" t="s">
        <v>23</v>
      </c>
      <c r="R22">
        <v>3.29</v>
      </c>
      <c r="S22" t="s">
        <v>27</v>
      </c>
    </row>
    <row r="23" spans="1:19" x14ac:dyDescent="0.3">
      <c r="A23" t="s">
        <v>57</v>
      </c>
      <c r="B23">
        <v>20</v>
      </c>
      <c r="C23" t="s">
        <v>25</v>
      </c>
      <c r="D23">
        <v>4</v>
      </c>
      <c r="E23" t="s">
        <v>49</v>
      </c>
      <c r="F23">
        <v>4.5</v>
      </c>
      <c r="G23">
        <v>4.3</v>
      </c>
      <c r="H23">
        <v>1</v>
      </c>
      <c r="I23">
        <v>2</v>
      </c>
      <c r="J23">
        <v>2</v>
      </c>
      <c r="K23">
        <v>2</v>
      </c>
      <c r="L23">
        <v>14.1</v>
      </c>
      <c r="M23">
        <v>72.7</v>
      </c>
      <c r="N23">
        <v>2</v>
      </c>
      <c r="O23" t="s">
        <v>22</v>
      </c>
      <c r="P23">
        <v>5</v>
      </c>
      <c r="Q23" t="s">
        <v>23</v>
      </c>
      <c r="R23">
        <v>2.88</v>
      </c>
      <c r="S23" t="s">
        <v>27</v>
      </c>
    </row>
    <row r="24" spans="1:19" x14ac:dyDescent="0.3">
      <c r="A24" t="s">
        <v>58</v>
      </c>
      <c r="B24">
        <v>24</v>
      </c>
      <c r="C24" t="s">
        <v>20</v>
      </c>
      <c r="D24">
        <v>4</v>
      </c>
      <c r="E24" t="s">
        <v>47</v>
      </c>
      <c r="F24">
        <v>6.4</v>
      </c>
      <c r="G24">
        <v>2.4</v>
      </c>
      <c r="H24">
        <v>4</v>
      </c>
      <c r="I24">
        <v>13</v>
      </c>
      <c r="J24">
        <v>9</v>
      </c>
      <c r="K24">
        <v>20</v>
      </c>
      <c r="L24">
        <v>14.7</v>
      </c>
      <c r="M24">
        <v>69.3</v>
      </c>
      <c r="N24">
        <v>2</v>
      </c>
      <c r="O24" t="s">
        <v>33</v>
      </c>
      <c r="P24">
        <v>2</v>
      </c>
      <c r="Q24" t="s">
        <v>23</v>
      </c>
      <c r="R24">
        <v>2.96</v>
      </c>
      <c r="S24" t="s">
        <v>20</v>
      </c>
    </row>
    <row r="25" spans="1:19" x14ac:dyDescent="0.3">
      <c r="A25" t="s">
        <v>59</v>
      </c>
      <c r="B25">
        <v>21</v>
      </c>
      <c r="C25" t="s">
        <v>20</v>
      </c>
      <c r="D25">
        <v>5</v>
      </c>
      <c r="E25" t="s">
        <v>30</v>
      </c>
      <c r="F25">
        <v>6.5</v>
      </c>
      <c r="G25">
        <v>2.6</v>
      </c>
      <c r="H25">
        <v>2</v>
      </c>
      <c r="I25">
        <v>25</v>
      </c>
      <c r="J25">
        <v>21</v>
      </c>
      <c r="K25">
        <v>31</v>
      </c>
      <c r="L25">
        <v>12.8</v>
      </c>
      <c r="M25">
        <v>62.4</v>
      </c>
      <c r="N25">
        <v>1</v>
      </c>
      <c r="O25" t="s">
        <v>22</v>
      </c>
      <c r="P25">
        <v>2</v>
      </c>
      <c r="Q25" t="s">
        <v>23</v>
      </c>
      <c r="R25">
        <v>2.2599999999999998</v>
      </c>
      <c r="S25" t="s">
        <v>20</v>
      </c>
    </row>
    <row r="26" spans="1:19" x14ac:dyDescent="0.3">
      <c r="A26" t="s">
        <v>60</v>
      </c>
      <c r="B26">
        <v>21</v>
      </c>
      <c r="C26" t="s">
        <v>61</v>
      </c>
      <c r="D26">
        <v>4</v>
      </c>
      <c r="E26" t="s">
        <v>30</v>
      </c>
      <c r="F26">
        <v>3</v>
      </c>
      <c r="G26">
        <v>10.6</v>
      </c>
      <c r="H26">
        <v>1</v>
      </c>
      <c r="I26">
        <v>4</v>
      </c>
      <c r="J26">
        <v>7</v>
      </c>
      <c r="K26">
        <v>10</v>
      </c>
      <c r="L26">
        <v>13.2</v>
      </c>
      <c r="M26">
        <v>97.3</v>
      </c>
      <c r="N26">
        <v>3</v>
      </c>
      <c r="O26" t="s">
        <v>22</v>
      </c>
      <c r="P26">
        <v>2</v>
      </c>
      <c r="Q26" t="s">
        <v>26</v>
      </c>
      <c r="R26">
        <v>3.06</v>
      </c>
      <c r="S26" t="s">
        <v>61</v>
      </c>
    </row>
    <row r="27" spans="1:19" x14ac:dyDescent="0.3">
      <c r="A27" t="s">
        <v>62</v>
      </c>
      <c r="B27">
        <v>21</v>
      </c>
      <c r="C27" t="s">
        <v>39</v>
      </c>
      <c r="D27">
        <v>4</v>
      </c>
      <c r="E27" t="s">
        <v>63</v>
      </c>
      <c r="F27">
        <v>5.3</v>
      </c>
      <c r="G27">
        <v>2.9</v>
      </c>
      <c r="H27">
        <v>1</v>
      </c>
      <c r="I27">
        <v>3</v>
      </c>
      <c r="J27">
        <v>4</v>
      </c>
      <c r="K27">
        <v>5</v>
      </c>
      <c r="L27">
        <v>19</v>
      </c>
      <c r="M27">
        <v>73.8</v>
      </c>
      <c r="N27">
        <v>4</v>
      </c>
      <c r="O27" t="s">
        <v>33</v>
      </c>
      <c r="P27">
        <v>3</v>
      </c>
      <c r="Q27" t="s">
        <v>23</v>
      </c>
      <c r="R27">
        <v>2.88</v>
      </c>
      <c r="S27" t="s">
        <v>27</v>
      </c>
    </row>
    <row r="28" spans="1:19" x14ac:dyDescent="0.3">
      <c r="A28" t="s">
        <v>64</v>
      </c>
      <c r="B28">
        <v>23</v>
      </c>
      <c r="C28" t="s">
        <v>27</v>
      </c>
      <c r="D28">
        <v>4</v>
      </c>
      <c r="E28" t="s">
        <v>30</v>
      </c>
      <c r="F28">
        <v>6.5</v>
      </c>
      <c r="G28">
        <v>9.6999999999999993</v>
      </c>
      <c r="H28">
        <v>3</v>
      </c>
      <c r="K28">
        <v>11</v>
      </c>
      <c r="L28">
        <v>21.1</v>
      </c>
      <c r="M28">
        <v>88.4</v>
      </c>
      <c r="N28">
        <v>3</v>
      </c>
      <c r="O28" t="s">
        <v>22</v>
      </c>
      <c r="P28">
        <v>2</v>
      </c>
      <c r="Q28" t="s">
        <v>26</v>
      </c>
      <c r="R28">
        <v>3.31</v>
      </c>
      <c r="S28" t="s">
        <v>27</v>
      </c>
    </row>
    <row r="29" spans="1:19" x14ac:dyDescent="0.3">
      <c r="A29" t="s">
        <v>65</v>
      </c>
      <c r="B29">
        <v>22</v>
      </c>
      <c r="C29" t="s">
        <v>20</v>
      </c>
      <c r="D29">
        <v>3</v>
      </c>
      <c r="E29" t="s">
        <v>21</v>
      </c>
      <c r="F29">
        <v>7.1</v>
      </c>
      <c r="G29">
        <v>2.2999999999999998</v>
      </c>
      <c r="H29">
        <v>4</v>
      </c>
      <c r="I29">
        <v>3</v>
      </c>
      <c r="J29">
        <v>3</v>
      </c>
      <c r="K29">
        <v>10</v>
      </c>
      <c r="L29">
        <v>13.2</v>
      </c>
      <c r="M29">
        <v>83.8</v>
      </c>
      <c r="N29">
        <v>4</v>
      </c>
      <c r="O29" t="s">
        <v>22</v>
      </c>
      <c r="P29">
        <v>3</v>
      </c>
      <c r="Q29" t="s">
        <v>51</v>
      </c>
      <c r="R29">
        <v>2.96</v>
      </c>
      <c r="S29" t="s">
        <v>20</v>
      </c>
    </row>
    <row r="30" spans="1:19" x14ac:dyDescent="0.3">
      <c r="A30" t="s">
        <v>66</v>
      </c>
      <c r="B30">
        <v>22</v>
      </c>
      <c r="C30" t="s">
        <v>20</v>
      </c>
      <c r="D30">
        <v>2</v>
      </c>
      <c r="E30" t="s">
        <v>21</v>
      </c>
      <c r="F30">
        <v>4.5</v>
      </c>
      <c r="G30">
        <v>4.5999999999999996</v>
      </c>
      <c r="H30">
        <v>0</v>
      </c>
      <c r="I30">
        <v>3</v>
      </c>
      <c r="J30">
        <v>4</v>
      </c>
      <c r="K30">
        <v>14</v>
      </c>
      <c r="L30">
        <v>34.4</v>
      </c>
      <c r="M30">
        <v>66.7</v>
      </c>
      <c r="N30">
        <v>4</v>
      </c>
      <c r="O30" t="s">
        <v>22</v>
      </c>
      <c r="P30">
        <v>4</v>
      </c>
      <c r="Q30" t="s">
        <v>23</v>
      </c>
      <c r="R30">
        <v>3.31</v>
      </c>
      <c r="S30" t="s">
        <v>20</v>
      </c>
    </row>
    <row r="31" spans="1:19" x14ac:dyDescent="0.3">
      <c r="A31" t="s">
        <v>67</v>
      </c>
      <c r="B31">
        <v>22</v>
      </c>
      <c r="C31" t="s">
        <v>20</v>
      </c>
      <c r="D31">
        <v>2</v>
      </c>
      <c r="E31" t="s">
        <v>30</v>
      </c>
      <c r="F31">
        <v>6</v>
      </c>
      <c r="G31">
        <v>4.2</v>
      </c>
      <c r="H31">
        <v>0</v>
      </c>
      <c r="I31">
        <v>14</v>
      </c>
      <c r="J31">
        <v>10</v>
      </c>
      <c r="K31">
        <v>22</v>
      </c>
      <c r="L31">
        <v>11.7</v>
      </c>
      <c r="M31">
        <v>80</v>
      </c>
      <c r="N31">
        <v>2</v>
      </c>
      <c r="O31" t="s">
        <v>33</v>
      </c>
      <c r="P31">
        <v>3</v>
      </c>
      <c r="Q31" t="s">
        <v>23</v>
      </c>
      <c r="R31">
        <v>3.32</v>
      </c>
      <c r="S31" t="s">
        <v>20</v>
      </c>
    </row>
    <row r="32" spans="1:19" x14ac:dyDescent="0.3">
      <c r="A32" t="s">
        <v>68</v>
      </c>
      <c r="B32">
        <v>26</v>
      </c>
      <c r="C32" t="s">
        <v>25</v>
      </c>
      <c r="D32">
        <v>3</v>
      </c>
      <c r="E32" t="s">
        <v>49</v>
      </c>
      <c r="F32">
        <v>7.5</v>
      </c>
      <c r="G32">
        <v>8.6</v>
      </c>
      <c r="H32">
        <v>3</v>
      </c>
      <c r="I32">
        <v>3</v>
      </c>
      <c r="J32">
        <v>6</v>
      </c>
      <c r="K32">
        <v>8</v>
      </c>
      <c r="L32">
        <v>27.2</v>
      </c>
      <c r="M32">
        <v>63.4</v>
      </c>
      <c r="N32">
        <v>1</v>
      </c>
      <c r="O32" t="s">
        <v>33</v>
      </c>
      <c r="P32">
        <v>3</v>
      </c>
      <c r="Q32" t="s">
        <v>51</v>
      </c>
      <c r="R32">
        <v>2.78</v>
      </c>
      <c r="S32" t="s">
        <v>27</v>
      </c>
    </row>
    <row r="33" spans="1:19" x14ac:dyDescent="0.3">
      <c r="A33" t="s">
        <v>69</v>
      </c>
      <c r="B33">
        <v>21</v>
      </c>
      <c r="C33" t="s">
        <v>20</v>
      </c>
      <c r="D33">
        <v>2</v>
      </c>
      <c r="E33" t="s">
        <v>49</v>
      </c>
      <c r="F33">
        <v>6.9</v>
      </c>
      <c r="G33">
        <v>6.7</v>
      </c>
      <c r="H33">
        <v>6</v>
      </c>
      <c r="I33">
        <v>2</v>
      </c>
      <c r="J33">
        <v>2</v>
      </c>
      <c r="K33">
        <v>4</v>
      </c>
      <c r="L33">
        <v>11.1</v>
      </c>
      <c r="M33">
        <v>90.5</v>
      </c>
      <c r="N33">
        <v>4</v>
      </c>
      <c r="O33" t="s">
        <v>22</v>
      </c>
      <c r="P33">
        <v>1</v>
      </c>
      <c r="Q33" t="s">
        <v>23</v>
      </c>
      <c r="R33">
        <v>3.34</v>
      </c>
      <c r="S33" t="s">
        <v>20</v>
      </c>
    </row>
    <row r="34" spans="1:19" x14ac:dyDescent="0.3">
      <c r="A34" t="s">
        <v>70</v>
      </c>
      <c r="B34">
        <v>20</v>
      </c>
      <c r="C34" t="s">
        <v>39</v>
      </c>
      <c r="D34">
        <v>2</v>
      </c>
      <c r="E34" t="s">
        <v>21</v>
      </c>
      <c r="F34">
        <v>6.1</v>
      </c>
      <c r="G34">
        <v>3.4</v>
      </c>
      <c r="H34">
        <v>2</v>
      </c>
      <c r="I34">
        <v>6</v>
      </c>
      <c r="J34">
        <v>9</v>
      </c>
      <c r="K34">
        <v>9</v>
      </c>
      <c r="L34">
        <v>18.100000000000001</v>
      </c>
      <c r="M34">
        <v>67.400000000000006</v>
      </c>
      <c r="N34">
        <v>4</v>
      </c>
      <c r="O34" t="s">
        <v>22</v>
      </c>
      <c r="P34">
        <v>5</v>
      </c>
      <c r="Q34" t="s">
        <v>23</v>
      </c>
      <c r="R34">
        <v>2.2799999999999998</v>
      </c>
      <c r="S34" t="s">
        <v>27</v>
      </c>
    </row>
    <row r="35" spans="1:19" x14ac:dyDescent="0.3">
      <c r="A35" t="s">
        <v>71</v>
      </c>
      <c r="B35">
        <v>20</v>
      </c>
      <c r="C35" t="s">
        <v>25</v>
      </c>
      <c r="D35">
        <v>3</v>
      </c>
      <c r="E35" t="s">
        <v>47</v>
      </c>
      <c r="F35">
        <v>5.4</v>
      </c>
      <c r="G35">
        <v>6.6</v>
      </c>
      <c r="H35">
        <v>6</v>
      </c>
      <c r="I35">
        <v>4</v>
      </c>
      <c r="J35">
        <v>4</v>
      </c>
      <c r="K35">
        <v>14</v>
      </c>
      <c r="L35">
        <v>28.3</v>
      </c>
      <c r="M35">
        <v>84.6</v>
      </c>
      <c r="N35">
        <v>3</v>
      </c>
      <c r="O35" t="s">
        <v>22</v>
      </c>
      <c r="P35">
        <v>3</v>
      </c>
      <c r="Q35" t="s">
        <v>26</v>
      </c>
      <c r="R35">
        <v>3.26</v>
      </c>
      <c r="S35" t="s">
        <v>27</v>
      </c>
    </row>
    <row r="36" spans="1:19" x14ac:dyDescent="0.3">
      <c r="A36" t="s">
        <v>72</v>
      </c>
      <c r="B36">
        <v>23</v>
      </c>
      <c r="C36" t="s">
        <v>20</v>
      </c>
      <c r="D36">
        <v>2</v>
      </c>
      <c r="E36" t="s">
        <v>30</v>
      </c>
      <c r="F36">
        <v>4.8</v>
      </c>
      <c r="G36">
        <v>6.3</v>
      </c>
      <c r="H36">
        <v>5</v>
      </c>
      <c r="I36">
        <v>12</v>
      </c>
      <c r="J36">
        <v>10</v>
      </c>
      <c r="K36">
        <v>15</v>
      </c>
      <c r="L36">
        <v>26.7</v>
      </c>
      <c r="M36">
        <v>56.6</v>
      </c>
      <c r="N36">
        <v>2</v>
      </c>
      <c r="O36" t="s">
        <v>22</v>
      </c>
      <c r="P36">
        <v>3</v>
      </c>
      <c r="Q36" t="s">
        <v>26</v>
      </c>
      <c r="R36">
        <v>2.2400000000000002</v>
      </c>
      <c r="S36" t="s">
        <v>20</v>
      </c>
    </row>
    <row r="37" spans="1:19" x14ac:dyDescent="0.3">
      <c r="A37" t="s">
        <v>73</v>
      </c>
      <c r="B37">
        <v>24</v>
      </c>
      <c r="C37" t="s">
        <v>45</v>
      </c>
      <c r="D37">
        <v>1</v>
      </c>
      <c r="E37" t="s">
        <v>30</v>
      </c>
      <c r="F37">
        <v>7.5</v>
      </c>
      <c r="G37">
        <v>2.1</v>
      </c>
      <c r="H37">
        <v>2</v>
      </c>
      <c r="I37">
        <v>6</v>
      </c>
      <c r="J37">
        <v>7</v>
      </c>
      <c r="K37">
        <v>16</v>
      </c>
      <c r="L37">
        <v>16.7</v>
      </c>
      <c r="M37">
        <v>80.900000000000006</v>
      </c>
      <c r="N37">
        <v>4</v>
      </c>
      <c r="O37" t="s">
        <v>22</v>
      </c>
      <c r="P37">
        <v>1</v>
      </c>
      <c r="Q37" t="s">
        <v>51</v>
      </c>
      <c r="R37">
        <v>2.97</v>
      </c>
      <c r="S37" t="s">
        <v>20</v>
      </c>
    </row>
    <row r="38" spans="1:19" x14ac:dyDescent="0.3">
      <c r="A38" t="s">
        <v>74</v>
      </c>
      <c r="B38">
        <v>21</v>
      </c>
      <c r="C38" t="s">
        <v>20</v>
      </c>
      <c r="D38">
        <v>4</v>
      </c>
      <c r="E38" t="s">
        <v>32</v>
      </c>
      <c r="F38">
        <v>5.7</v>
      </c>
      <c r="G38">
        <v>10.1</v>
      </c>
      <c r="H38">
        <v>4</v>
      </c>
      <c r="I38">
        <v>6</v>
      </c>
      <c r="J38">
        <v>6</v>
      </c>
      <c r="K38">
        <v>13</v>
      </c>
      <c r="L38">
        <v>18.8</v>
      </c>
      <c r="M38">
        <v>89.4</v>
      </c>
      <c r="N38">
        <v>1</v>
      </c>
      <c r="O38" t="s">
        <v>33</v>
      </c>
      <c r="P38">
        <v>4</v>
      </c>
      <c r="Q38" t="s">
        <v>51</v>
      </c>
      <c r="R38">
        <v>2.57</v>
      </c>
      <c r="S38" t="s">
        <v>20</v>
      </c>
    </row>
    <row r="39" spans="1:19" x14ac:dyDescent="0.3">
      <c r="A39" t="s">
        <v>75</v>
      </c>
      <c r="B39">
        <v>20</v>
      </c>
      <c r="C39" t="s">
        <v>25</v>
      </c>
      <c r="D39">
        <v>4</v>
      </c>
      <c r="E39" t="s">
        <v>63</v>
      </c>
      <c r="F39">
        <v>6.6</v>
      </c>
      <c r="G39">
        <v>11.2</v>
      </c>
      <c r="H39">
        <v>4</v>
      </c>
      <c r="I39">
        <v>6</v>
      </c>
      <c r="J39">
        <v>5</v>
      </c>
      <c r="K39">
        <v>12</v>
      </c>
      <c r="L39">
        <v>24.3</v>
      </c>
      <c r="M39">
        <v>74.099999999999994</v>
      </c>
      <c r="N39">
        <v>4</v>
      </c>
      <c r="O39" t="s">
        <v>22</v>
      </c>
      <c r="P39">
        <v>5</v>
      </c>
      <c r="Q39" t="s">
        <v>23</v>
      </c>
      <c r="R39">
        <v>3.11</v>
      </c>
      <c r="S39" t="s">
        <v>27</v>
      </c>
    </row>
    <row r="40" spans="1:19" x14ac:dyDescent="0.3">
      <c r="A40" t="s">
        <v>76</v>
      </c>
      <c r="B40">
        <v>20</v>
      </c>
      <c r="C40" t="s">
        <v>20</v>
      </c>
      <c r="D40">
        <v>1</v>
      </c>
      <c r="E40" t="s">
        <v>30</v>
      </c>
      <c r="F40">
        <v>6.3</v>
      </c>
      <c r="G40">
        <v>5.2</v>
      </c>
      <c r="H40">
        <v>3</v>
      </c>
      <c r="I40">
        <v>8</v>
      </c>
      <c r="J40">
        <v>7</v>
      </c>
      <c r="K40">
        <v>12</v>
      </c>
      <c r="L40">
        <v>15.6</v>
      </c>
      <c r="M40">
        <v>66.7</v>
      </c>
      <c r="N40">
        <v>2</v>
      </c>
      <c r="O40" t="s">
        <v>22</v>
      </c>
      <c r="P40">
        <v>1</v>
      </c>
      <c r="Q40" t="s">
        <v>26</v>
      </c>
      <c r="R40">
        <v>3.16</v>
      </c>
      <c r="S40" t="s">
        <v>20</v>
      </c>
    </row>
    <row r="41" spans="1:19" x14ac:dyDescent="0.3">
      <c r="A41" t="s">
        <v>77</v>
      </c>
      <c r="B41">
        <v>23</v>
      </c>
      <c r="C41" t="s">
        <v>20</v>
      </c>
      <c r="D41">
        <v>1</v>
      </c>
      <c r="E41" t="s">
        <v>30</v>
      </c>
      <c r="F41">
        <v>8</v>
      </c>
      <c r="G41">
        <v>1.9</v>
      </c>
      <c r="H41">
        <v>2</v>
      </c>
      <c r="I41">
        <v>4</v>
      </c>
      <c r="J41">
        <v>6</v>
      </c>
      <c r="K41">
        <v>12</v>
      </c>
      <c r="L41">
        <v>25.9</v>
      </c>
      <c r="M41">
        <v>83.4</v>
      </c>
      <c r="O41" t="s">
        <v>33</v>
      </c>
      <c r="P41">
        <v>2</v>
      </c>
      <c r="Q41" t="s">
        <v>26</v>
      </c>
      <c r="R41">
        <v>2.73</v>
      </c>
      <c r="S41" t="s">
        <v>20</v>
      </c>
    </row>
    <row r="42" spans="1:19" x14ac:dyDescent="0.3">
      <c r="A42" t="s">
        <v>78</v>
      </c>
      <c r="B42">
        <v>23</v>
      </c>
      <c r="C42" t="s">
        <v>20</v>
      </c>
      <c r="D42">
        <v>2</v>
      </c>
      <c r="E42" t="s">
        <v>32</v>
      </c>
      <c r="F42">
        <v>6.4</v>
      </c>
      <c r="G42">
        <v>4.8</v>
      </c>
      <c r="H42">
        <v>4</v>
      </c>
      <c r="I42">
        <v>9</v>
      </c>
      <c r="J42">
        <v>7</v>
      </c>
      <c r="K42">
        <v>14</v>
      </c>
      <c r="L42">
        <v>29</v>
      </c>
      <c r="M42">
        <v>88.2</v>
      </c>
      <c r="N42">
        <v>3</v>
      </c>
      <c r="O42" t="s">
        <v>33</v>
      </c>
      <c r="P42">
        <v>2</v>
      </c>
      <c r="Q42" t="s">
        <v>51</v>
      </c>
      <c r="R42">
        <v>3.1</v>
      </c>
      <c r="S42" t="s">
        <v>20</v>
      </c>
    </row>
    <row r="43" spans="1:19" x14ac:dyDescent="0.3">
      <c r="A43" t="s">
        <v>79</v>
      </c>
      <c r="B43">
        <v>23</v>
      </c>
      <c r="C43" t="s">
        <v>27</v>
      </c>
      <c r="D43">
        <v>4</v>
      </c>
      <c r="E43" t="s">
        <v>47</v>
      </c>
      <c r="F43">
        <v>7.7</v>
      </c>
      <c r="G43">
        <v>2.2999999999999998</v>
      </c>
      <c r="H43">
        <v>4</v>
      </c>
      <c r="I43">
        <v>5</v>
      </c>
      <c r="J43">
        <v>5</v>
      </c>
      <c r="K43">
        <v>9</v>
      </c>
      <c r="L43">
        <v>22.8</v>
      </c>
      <c r="M43">
        <v>45.7</v>
      </c>
      <c r="N43">
        <v>4</v>
      </c>
      <c r="O43" t="s">
        <v>22</v>
      </c>
      <c r="P43">
        <v>3</v>
      </c>
      <c r="Q43" t="s">
        <v>26</v>
      </c>
      <c r="R43">
        <v>2.8</v>
      </c>
      <c r="S43" t="s">
        <v>27</v>
      </c>
    </row>
    <row r="44" spans="1:19" x14ac:dyDescent="0.3">
      <c r="A44" t="s">
        <v>80</v>
      </c>
      <c r="B44">
        <v>20</v>
      </c>
      <c r="C44" t="s">
        <v>20</v>
      </c>
      <c r="D44">
        <v>4</v>
      </c>
      <c r="E44" t="s">
        <v>30</v>
      </c>
      <c r="F44">
        <v>7.7</v>
      </c>
      <c r="G44">
        <v>2.8</v>
      </c>
      <c r="H44">
        <v>4</v>
      </c>
      <c r="I44">
        <v>3</v>
      </c>
      <c r="J44">
        <v>4</v>
      </c>
      <c r="K44">
        <v>11</v>
      </c>
      <c r="L44">
        <v>23.6</v>
      </c>
      <c r="M44">
        <v>100</v>
      </c>
      <c r="N44">
        <v>1</v>
      </c>
      <c r="O44" t="s">
        <v>22</v>
      </c>
      <c r="P44">
        <v>5</v>
      </c>
      <c r="Q44" t="s">
        <v>23</v>
      </c>
      <c r="R44">
        <v>3.8</v>
      </c>
      <c r="S44" t="s">
        <v>20</v>
      </c>
    </row>
    <row r="45" spans="1:19" x14ac:dyDescent="0.3">
      <c r="A45" t="s">
        <v>81</v>
      </c>
      <c r="B45">
        <v>22</v>
      </c>
      <c r="C45" t="s">
        <v>45</v>
      </c>
      <c r="D45">
        <v>1</v>
      </c>
      <c r="E45" t="s">
        <v>21</v>
      </c>
      <c r="F45">
        <v>5.8</v>
      </c>
      <c r="G45">
        <v>2.1</v>
      </c>
      <c r="H45">
        <v>7</v>
      </c>
      <c r="I45">
        <v>0</v>
      </c>
      <c r="J45">
        <v>4</v>
      </c>
      <c r="K45">
        <v>6</v>
      </c>
      <c r="L45">
        <v>19.600000000000001</v>
      </c>
      <c r="M45">
        <v>90.9</v>
      </c>
      <c r="N45">
        <v>3</v>
      </c>
      <c r="O45" t="s">
        <v>22</v>
      </c>
      <c r="P45">
        <v>3</v>
      </c>
      <c r="Q45" t="s">
        <v>26</v>
      </c>
      <c r="R45">
        <v>3.2</v>
      </c>
      <c r="S45" t="s">
        <v>20</v>
      </c>
    </row>
    <row r="46" spans="1:19" x14ac:dyDescent="0.3">
      <c r="A46" t="s">
        <v>82</v>
      </c>
      <c r="B46">
        <v>22</v>
      </c>
      <c r="C46" t="s">
        <v>20</v>
      </c>
      <c r="D46">
        <v>4</v>
      </c>
      <c r="E46" t="s">
        <v>49</v>
      </c>
      <c r="F46">
        <v>4</v>
      </c>
      <c r="G46">
        <v>5.8</v>
      </c>
      <c r="H46">
        <v>3</v>
      </c>
      <c r="I46">
        <v>4</v>
      </c>
      <c r="J46">
        <v>4</v>
      </c>
      <c r="K46">
        <v>7</v>
      </c>
      <c r="L46">
        <v>6.9</v>
      </c>
      <c r="M46">
        <v>82</v>
      </c>
      <c r="N46">
        <v>2</v>
      </c>
      <c r="O46" t="s">
        <v>33</v>
      </c>
      <c r="P46">
        <v>3</v>
      </c>
      <c r="Q46" t="s">
        <v>26</v>
      </c>
      <c r="R46">
        <v>2.33</v>
      </c>
      <c r="S46" t="s">
        <v>20</v>
      </c>
    </row>
    <row r="47" spans="1:19" x14ac:dyDescent="0.3">
      <c r="A47" t="s">
        <v>83</v>
      </c>
      <c r="B47">
        <v>22</v>
      </c>
      <c r="C47" t="s">
        <v>27</v>
      </c>
      <c r="D47">
        <v>1</v>
      </c>
      <c r="E47" t="s">
        <v>21</v>
      </c>
      <c r="F47">
        <v>8.3000000000000007</v>
      </c>
      <c r="G47">
        <v>2.6</v>
      </c>
      <c r="H47">
        <v>4</v>
      </c>
      <c r="I47">
        <v>4</v>
      </c>
      <c r="J47">
        <v>8</v>
      </c>
      <c r="K47">
        <v>13</v>
      </c>
      <c r="L47">
        <v>19.8</v>
      </c>
      <c r="M47">
        <v>75.599999999999994</v>
      </c>
      <c r="N47">
        <v>4</v>
      </c>
      <c r="O47" t="s">
        <v>22</v>
      </c>
      <c r="P47">
        <v>4</v>
      </c>
      <c r="Q47" t="s">
        <v>23</v>
      </c>
      <c r="R47">
        <v>3</v>
      </c>
      <c r="S47" t="s">
        <v>27</v>
      </c>
    </row>
    <row r="48" spans="1:19" x14ac:dyDescent="0.3">
      <c r="A48" t="s">
        <v>84</v>
      </c>
      <c r="B48">
        <v>23</v>
      </c>
      <c r="C48" t="s">
        <v>20</v>
      </c>
      <c r="D48">
        <v>2</v>
      </c>
      <c r="E48" t="s">
        <v>30</v>
      </c>
      <c r="F48">
        <v>7.5</v>
      </c>
      <c r="G48">
        <v>1.3</v>
      </c>
      <c r="H48">
        <v>5</v>
      </c>
      <c r="I48">
        <v>1</v>
      </c>
      <c r="J48">
        <v>2</v>
      </c>
      <c r="K48">
        <v>6</v>
      </c>
      <c r="L48">
        <v>16.100000000000001</v>
      </c>
      <c r="M48">
        <v>53.2</v>
      </c>
      <c r="N48">
        <v>2</v>
      </c>
      <c r="O48" t="s">
        <v>33</v>
      </c>
      <c r="P48">
        <v>4</v>
      </c>
      <c r="Q48" t="s">
        <v>51</v>
      </c>
      <c r="R48">
        <v>3.28</v>
      </c>
      <c r="S48" t="s">
        <v>20</v>
      </c>
    </row>
    <row r="49" spans="1:19" x14ac:dyDescent="0.3">
      <c r="A49" t="s">
        <v>85</v>
      </c>
      <c r="B49">
        <v>22</v>
      </c>
      <c r="C49" t="s">
        <v>27</v>
      </c>
      <c r="D49">
        <v>5</v>
      </c>
      <c r="E49" t="s">
        <v>30</v>
      </c>
      <c r="F49">
        <v>3.9</v>
      </c>
      <c r="G49">
        <v>4.7</v>
      </c>
      <c r="H49">
        <v>1</v>
      </c>
      <c r="I49">
        <v>3</v>
      </c>
      <c r="J49">
        <v>3</v>
      </c>
      <c r="K49">
        <v>10</v>
      </c>
      <c r="L49">
        <v>14</v>
      </c>
      <c r="M49">
        <v>91.8</v>
      </c>
      <c r="N49">
        <v>1</v>
      </c>
      <c r="O49" t="s">
        <v>33</v>
      </c>
      <c r="P49">
        <v>2</v>
      </c>
      <c r="Q49" t="s">
        <v>23</v>
      </c>
      <c r="R49">
        <v>3.08</v>
      </c>
      <c r="S49" t="s">
        <v>27</v>
      </c>
    </row>
    <row r="50" spans="1:19" x14ac:dyDescent="0.3">
      <c r="A50" t="s">
        <v>86</v>
      </c>
      <c r="B50">
        <v>23</v>
      </c>
      <c r="C50" t="s">
        <v>27</v>
      </c>
      <c r="D50">
        <v>1</v>
      </c>
      <c r="E50" t="s">
        <v>21</v>
      </c>
      <c r="F50">
        <v>5.5</v>
      </c>
      <c r="G50">
        <v>3.6</v>
      </c>
      <c r="H50">
        <v>0</v>
      </c>
      <c r="I50">
        <v>3</v>
      </c>
      <c r="J50">
        <v>4</v>
      </c>
      <c r="K50">
        <v>7</v>
      </c>
      <c r="L50">
        <v>31.5</v>
      </c>
      <c r="M50">
        <v>79.400000000000006</v>
      </c>
      <c r="N50">
        <v>4</v>
      </c>
      <c r="O50" t="s">
        <v>22</v>
      </c>
      <c r="P50">
        <v>2</v>
      </c>
      <c r="Q50" t="s">
        <v>23</v>
      </c>
      <c r="R50">
        <v>2.86</v>
      </c>
      <c r="S50" t="s">
        <v>27</v>
      </c>
    </row>
    <row r="51" spans="1:19" x14ac:dyDescent="0.3">
      <c r="A51" t="s">
        <v>87</v>
      </c>
      <c r="B51">
        <v>22</v>
      </c>
      <c r="C51" t="s">
        <v>45</v>
      </c>
      <c r="D51">
        <v>1</v>
      </c>
      <c r="E51" t="s">
        <v>21</v>
      </c>
      <c r="F51">
        <v>7.4</v>
      </c>
      <c r="G51">
        <v>2.7</v>
      </c>
      <c r="H51">
        <v>2</v>
      </c>
      <c r="I51">
        <v>6</v>
      </c>
      <c r="J51">
        <v>3</v>
      </c>
      <c r="K51">
        <v>7</v>
      </c>
      <c r="L51">
        <v>13.5</v>
      </c>
      <c r="M51">
        <v>89.8</v>
      </c>
      <c r="N51">
        <v>1</v>
      </c>
      <c r="O51" t="s">
        <v>22</v>
      </c>
      <c r="P51">
        <v>3</v>
      </c>
      <c r="Q51" t="s">
        <v>23</v>
      </c>
      <c r="R51">
        <v>3.08</v>
      </c>
      <c r="S51" t="s">
        <v>20</v>
      </c>
    </row>
    <row r="52" spans="1:19" x14ac:dyDescent="0.3">
      <c r="A52" t="s">
        <v>88</v>
      </c>
      <c r="B52">
        <v>22</v>
      </c>
      <c r="C52" t="s">
        <v>20</v>
      </c>
      <c r="D52">
        <v>2</v>
      </c>
      <c r="E52" t="s">
        <v>47</v>
      </c>
      <c r="F52">
        <v>5.4</v>
      </c>
      <c r="G52">
        <v>10.1</v>
      </c>
      <c r="H52">
        <v>5</v>
      </c>
      <c r="I52">
        <v>4</v>
      </c>
      <c r="J52">
        <v>3</v>
      </c>
      <c r="K52">
        <v>14</v>
      </c>
      <c r="L52">
        <v>18.100000000000001</v>
      </c>
      <c r="M52">
        <v>76.900000000000006</v>
      </c>
      <c r="N52">
        <v>2</v>
      </c>
      <c r="O52" t="s">
        <v>22</v>
      </c>
      <c r="P52">
        <v>4</v>
      </c>
      <c r="Q52" t="s">
        <v>51</v>
      </c>
      <c r="R52">
        <v>2.86</v>
      </c>
      <c r="S52" t="s">
        <v>20</v>
      </c>
    </row>
    <row r="53" spans="1:19" x14ac:dyDescent="0.3">
      <c r="A53" t="s">
        <v>89</v>
      </c>
      <c r="B53">
        <v>23</v>
      </c>
      <c r="C53" t="s">
        <v>27</v>
      </c>
      <c r="D53">
        <v>3</v>
      </c>
      <c r="E53" t="s">
        <v>49</v>
      </c>
      <c r="F53">
        <v>5.3</v>
      </c>
      <c r="G53">
        <v>5.9</v>
      </c>
      <c r="H53">
        <v>2</v>
      </c>
      <c r="I53">
        <v>4</v>
      </c>
      <c r="J53">
        <v>4</v>
      </c>
      <c r="K53">
        <v>14</v>
      </c>
      <c r="L53">
        <v>23.7</v>
      </c>
      <c r="M53">
        <v>77.599999999999994</v>
      </c>
      <c r="O53" t="s">
        <v>22</v>
      </c>
      <c r="P53">
        <v>4</v>
      </c>
      <c r="Q53" t="s">
        <v>23</v>
      </c>
      <c r="R53">
        <v>2.85</v>
      </c>
      <c r="S53" t="s">
        <v>27</v>
      </c>
    </row>
    <row r="54" spans="1:19" x14ac:dyDescent="0.3">
      <c r="A54" t="s">
        <v>90</v>
      </c>
      <c r="B54">
        <v>18</v>
      </c>
      <c r="C54" t="s">
        <v>20</v>
      </c>
      <c r="D54">
        <v>5</v>
      </c>
      <c r="E54" t="s">
        <v>49</v>
      </c>
      <c r="F54">
        <v>7.9</v>
      </c>
      <c r="G54">
        <v>5.5</v>
      </c>
      <c r="H54">
        <v>4</v>
      </c>
      <c r="I54">
        <v>4</v>
      </c>
      <c r="J54">
        <v>7</v>
      </c>
      <c r="K54">
        <v>13</v>
      </c>
      <c r="L54">
        <v>11.9</v>
      </c>
      <c r="M54">
        <v>69.5</v>
      </c>
      <c r="N54">
        <v>4</v>
      </c>
      <c r="O54" t="s">
        <v>22</v>
      </c>
      <c r="P54">
        <v>4</v>
      </c>
      <c r="Q54" t="s">
        <v>23</v>
      </c>
      <c r="R54">
        <v>2.52</v>
      </c>
      <c r="S54" t="s">
        <v>20</v>
      </c>
    </row>
    <row r="55" spans="1:19" x14ac:dyDescent="0.3">
      <c r="A55" t="s">
        <v>91</v>
      </c>
      <c r="B55">
        <v>21</v>
      </c>
      <c r="C55" t="s">
        <v>27</v>
      </c>
      <c r="D55">
        <v>5</v>
      </c>
      <c r="E55" t="s">
        <v>63</v>
      </c>
      <c r="F55">
        <v>4.8</v>
      </c>
      <c r="G55">
        <v>6</v>
      </c>
      <c r="H55">
        <v>0</v>
      </c>
      <c r="I55">
        <v>3</v>
      </c>
      <c r="J55">
        <v>4</v>
      </c>
      <c r="K55">
        <v>8</v>
      </c>
      <c r="L55">
        <v>16.399999999999999</v>
      </c>
      <c r="M55">
        <v>96.9</v>
      </c>
      <c r="N55">
        <v>5</v>
      </c>
      <c r="O55" t="s">
        <v>33</v>
      </c>
      <c r="P55">
        <v>4</v>
      </c>
      <c r="Q55" t="s">
        <v>23</v>
      </c>
      <c r="R55">
        <v>2.81</v>
      </c>
      <c r="S55" t="s">
        <v>27</v>
      </c>
    </row>
    <row r="56" spans="1:19" x14ac:dyDescent="0.3">
      <c r="A56" t="s">
        <v>92</v>
      </c>
      <c r="B56">
        <v>21</v>
      </c>
      <c r="C56" t="s">
        <v>27</v>
      </c>
      <c r="D56">
        <v>1</v>
      </c>
      <c r="E56" t="s">
        <v>21</v>
      </c>
      <c r="F56">
        <v>4.7</v>
      </c>
      <c r="G56">
        <v>5.8</v>
      </c>
      <c r="H56">
        <v>2</v>
      </c>
      <c r="I56">
        <v>6</v>
      </c>
      <c r="J56">
        <v>5</v>
      </c>
      <c r="K56">
        <v>10</v>
      </c>
      <c r="L56">
        <v>25.6</v>
      </c>
      <c r="M56">
        <v>68.400000000000006</v>
      </c>
      <c r="N56">
        <v>3</v>
      </c>
      <c r="O56" t="s">
        <v>33</v>
      </c>
      <c r="P56">
        <v>2</v>
      </c>
      <c r="Q56" t="s">
        <v>26</v>
      </c>
      <c r="R56">
        <v>3.17</v>
      </c>
      <c r="S56" t="s">
        <v>27</v>
      </c>
    </row>
    <row r="57" spans="1:19" x14ac:dyDescent="0.3">
      <c r="A57" t="s">
        <v>93</v>
      </c>
      <c r="B57">
        <v>20</v>
      </c>
      <c r="C57" t="s">
        <v>61</v>
      </c>
      <c r="D57">
        <v>1</v>
      </c>
      <c r="E57" t="s">
        <v>21</v>
      </c>
      <c r="F57">
        <v>6.6</v>
      </c>
      <c r="G57">
        <v>3.7</v>
      </c>
      <c r="H57">
        <v>3</v>
      </c>
      <c r="I57">
        <v>12</v>
      </c>
      <c r="J57">
        <v>12</v>
      </c>
      <c r="K57">
        <v>22</v>
      </c>
      <c r="L57">
        <v>13.7</v>
      </c>
      <c r="M57">
        <v>100</v>
      </c>
      <c r="N57">
        <v>3</v>
      </c>
      <c r="O57" t="s">
        <v>22</v>
      </c>
      <c r="P57">
        <v>3</v>
      </c>
      <c r="Q57" t="s">
        <v>26</v>
      </c>
      <c r="R57">
        <v>3</v>
      </c>
      <c r="S57" t="s">
        <v>61</v>
      </c>
    </row>
    <row r="58" spans="1:19" x14ac:dyDescent="0.3">
      <c r="A58" t="s">
        <v>94</v>
      </c>
      <c r="B58">
        <v>21</v>
      </c>
      <c r="C58" t="s">
        <v>20</v>
      </c>
      <c r="D58">
        <v>4</v>
      </c>
      <c r="E58" t="s">
        <v>35</v>
      </c>
      <c r="F58">
        <v>6.6</v>
      </c>
      <c r="G58">
        <v>2.6</v>
      </c>
      <c r="H58">
        <v>1</v>
      </c>
      <c r="I58">
        <v>20</v>
      </c>
      <c r="J58">
        <v>18</v>
      </c>
      <c r="K58">
        <v>25</v>
      </c>
      <c r="L58">
        <v>1.3</v>
      </c>
      <c r="M58">
        <v>100</v>
      </c>
      <c r="N58">
        <v>4</v>
      </c>
      <c r="O58" t="s">
        <v>22</v>
      </c>
      <c r="P58">
        <v>1</v>
      </c>
      <c r="Q58" t="s">
        <v>51</v>
      </c>
      <c r="R58">
        <v>2.4</v>
      </c>
      <c r="S58" t="s">
        <v>20</v>
      </c>
    </row>
    <row r="59" spans="1:19" x14ac:dyDescent="0.3">
      <c r="A59" t="s">
        <v>95</v>
      </c>
      <c r="B59">
        <v>25</v>
      </c>
      <c r="C59" t="s">
        <v>29</v>
      </c>
      <c r="D59">
        <v>2</v>
      </c>
      <c r="E59" t="s">
        <v>30</v>
      </c>
      <c r="F59">
        <v>6.3</v>
      </c>
      <c r="G59">
        <v>4.8</v>
      </c>
      <c r="H59">
        <v>5</v>
      </c>
      <c r="I59">
        <v>10</v>
      </c>
      <c r="J59">
        <v>11</v>
      </c>
      <c r="K59">
        <v>15</v>
      </c>
      <c r="L59">
        <v>25</v>
      </c>
      <c r="M59">
        <v>100</v>
      </c>
      <c r="N59">
        <v>2</v>
      </c>
      <c r="O59" t="s">
        <v>33</v>
      </c>
      <c r="P59">
        <v>5</v>
      </c>
      <c r="Q59" t="s">
        <v>23</v>
      </c>
      <c r="R59">
        <v>3.24</v>
      </c>
      <c r="S59" t="s">
        <v>29</v>
      </c>
    </row>
    <row r="60" spans="1:19" x14ac:dyDescent="0.3">
      <c r="A60" t="s">
        <v>96</v>
      </c>
      <c r="B60">
        <v>20</v>
      </c>
      <c r="C60" t="s">
        <v>20</v>
      </c>
      <c r="D60">
        <v>4</v>
      </c>
      <c r="E60" t="s">
        <v>49</v>
      </c>
      <c r="F60">
        <v>7.5</v>
      </c>
      <c r="G60">
        <v>3.7</v>
      </c>
      <c r="H60">
        <v>1</v>
      </c>
      <c r="I60">
        <v>2</v>
      </c>
      <c r="J60">
        <v>2</v>
      </c>
      <c r="K60">
        <v>13</v>
      </c>
      <c r="L60">
        <v>12.4</v>
      </c>
      <c r="M60">
        <v>100</v>
      </c>
      <c r="N60">
        <v>4</v>
      </c>
      <c r="O60" t="s">
        <v>33</v>
      </c>
      <c r="P60">
        <v>3</v>
      </c>
      <c r="Q60" t="s">
        <v>26</v>
      </c>
      <c r="R60">
        <v>3.74</v>
      </c>
      <c r="S60" t="s">
        <v>20</v>
      </c>
    </row>
    <row r="61" spans="1:19" x14ac:dyDescent="0.3">
      <c r="A61" t="s">
        <v>97</v>
      </c>
      <c r="B61">
        <v>24</v>
      </c>
      <c r="C61" t="s">
        <v>20</v>
      </c>
      <c r="D61">
        <v>3</v>
      </c>
      <c r="E61" t="s">
        <v>49</v>
      </c>
      <c r="F61">
        <v>7.1</v>
      </c>
      <c r="G61">
        <v>1</v>
      </c>
      <c r="H61">
        <v>5</v>
      </c>
      <c r="I61">
        <v>8</v>
      </c>
      <c r="J61">
        <v>6</v>
      </c>
      <c r="K61">
        <v>13</v>
      </c>
      <c r="L61">
        <v>28.4</v>
      </c>
      <c r="M61">
        <v>75.8</v>
      </c>
      <c r="N61">
        <v>2</v>
      </c>
      <c r="O61" t="s">
        <v>33</v>
      </c>
      <c r="P61">
        <v>2</v>
      </c>
      <c r="Q61" t="s">
        <v>26</v>
      </c>
      <c r="R61">
        <v>3.11</v>
      </c>
      <c r="S61" t="s">
        <v>20</v>
      </c>
    </row>
    <row r="62" spans="1:19" x14ac:dyDescent="0.3">
      <c r="A62" t="s">
        <v>98</v>
      </c>
      <c r="B62">
        <v>18</v>
      </c>
      <c r="C62" t="s">
        <v>39</v>
      </c>
      <c r="D62">
        <v>1</v>
      </c>
      <c r="E62" t="s">
        <v>30</v>
      </c>
      <c r="F62">
        <v>7.3</v>
      </c>
      <c r="G62">
        <v>1.9</v>
      </c>
      <c r="H62">
        <v>1</v>
      </c>
      <c r="I62">
        <v>27</v>
      </c>
      <c r="J62">
        <v>21</v>
      </c>
      <c r="K62">
        <v>38</v>
      </c>
      <c r="L62">
        <v>12.9</v>
      </c>
      <c r="M62">
        <v>85.4</v>
      </c>
      <c r="N62">
        <v>5</v>
      </c>
      <c r="O62" t="s">
        <v>33</v>
      </c>
      <c r="P62">
        <v>1</v>
      </c>
      <c r="Q62" t="s">
        <v>51</v>
      </c>
      <c r="R62">
        <v>2.9</v>
      </c>
      <c r="S62" t="s">
        <v>27</v>
      </c>
    </row>
    <row r="63" spans="1:19" x14ac:dyDescent="0.3">
      <c r="A63" t="s">
        <v>99</v>
      </c>
      <c r="B63">
        <v>21</v>
      </c>
      <c r="C63" t="s">
        <v>45</v>
      </c>
      <c r="D63">
        <v>4</v>
      </c>
      <c r="E63" t="s">
        <v>21</v>
      </c>
      <c r="F63">
        <v>6.3</v>
      </c>
      <c r="G63">
        <v>3.3</v>
      </c>
      <c r="H63">
        <v>7</v>
      </c>
      <c r="I63">
        <v>2</v>
      </c>
      <c r="J63">
        <v>4</v>
      </c>
      <c r="K63">
        <v>4</v>
      </c>
      <c r="L63">
        <v>25.8</v>
      </c>
      <c r="M63">
        <v>84</v>
      </c>
      <c r="N63">
        <v>4</v>
      </c>
      <c r="O63" t="s">
        <v>22</v>
      </c>
      <c r="P63">
        <v>4</v>
      </c>
      <c r="Q63" t="s">
        <v>23</v>
      </c>
      <c r="R63">
        <v>3.17</v>
      </c>
      <c r="S63" t="s">
        <v>20</v>
      </c>
    </row>
    <row r="64" spans="1:19" x14ac:dyDescent="0.3">
      <c r="A64" t="s">
        <v>100</v>
      </c>
      <c r="B64">
        <v>22</v>
      </c>
      <c r="C64" t="s">
        <v>39</v>
      </c>
      <c r="D64">
        <v>1</v>
      </c>
      <c r="E64" t="s">
        <v>30</v>
      </c>
      <c r="F64">
        <v>5.4</v>
      </c>
      <c r="G64">
        <v>7.8</v>
      </c>
      <c r="H64">
        <v>3</v>
      </c>
      <c r="I64">
        <v>17</v>
      </c>
      <c r="J64">
        <v>13</v>
      </c>
      <c r="K64">
        <v>24</v>
      </c>
      <c r="L64">
        <v>31.8</v>
      </c>
      <c r="M64">
        <v>56.2</v>
      </c>
      <c r="N64">
        <v>3</v>
      </c>
      <c r="O64" t="s">
        <v>33</v>
      </c>
      <c r="P64">
        <v>4</v>
      </c>
      <c r="Q64" t="s">
        <v>23</v>
      </c>
      <c r="R64">
        <v>2.52</v>
      </c>
      <c r="S64" t="s">
        <v>27</v>
      </c>
    </row>
    <row r="65" spans="1:19" x14ac:dyDescent="0.3">
      <c r="A65" t="s">
        <v>101</v>
      </c>
      <c r="B65">
        <v>23</v>
      </c>
      <c r="C65" t="s">
        <v>102</v>
      </c>
      <c r="D65">
        <v>2</v>
      </c>
      <c r="E65" t="s">
        <v>30</v>
      </c>
      <c r="F65">
        <v>5.9</v>
      </c>
      <c r="G65">
        <v>4.8</v>
      </c>
      <c r="H65">
        <v>0</v>
      </c>
      <c r="I65">
        <v>4</v>
      </c>
      <c r="J65">
        <v>6</v>
      </c>
      <c r="K65">
        <v>16</v>
      </c>
      <c r="L65">
        <v>12.6</v>
      </c>
      <c r="M65">
        <v>96.8</v>
      </c>
      <c r="N65">
        <v>3</v>
      </c>
      <c r="O65" t="s">
        <v>22</v>
      </c>
      <c r="P65">
        <v>4</v>
      </c>
      <c r="Q65" t="s">
        <v>26</v>
      </c>
      <c r="R65">
        <v>2.96</v>
      </c>
      <c r="S65" t="s">
        <v>20</v>
      </c>
    </row>
    <row r="66" spans="1:19" x14ac:dyDescent="0.3">
      <c r="A66" t="s">
        <v>103</v>
      </c>
      <c r="B66">
        <v>23</v>
      </c>
      <c r="C66" t="s">
        <v>39</v>
      </c>
      <c r="D66">
        <v>3</v>
      </c>
      <c r="E66" t="s">
        <v>21</v>
      </c>
      <c r="F66">
        <v>7.4</v>
      </c>
      <c r="G66">
        <v>2.2999999999999998</v>
      </c>
      <c r="H66">
        <v>0</v>
      </c>
      <c r="I66">
        <v>2</v>
      </c>
      <c r="J66">
        <v>5</v>
      </c>
      <c r="K66">
        <v>8</v>
      </c>
      <c r="L66">
        <v>14.4</v>
      </c>
      <c r="M66">
        <v>100</v>
      </c>
      <c r="N66">
        <v>2</v>
      </c>
      <c r="O66" t="s">
        <v>22</v>
      </c>
      <c r="P66">
        <v>2</v>
      </c>
      <c r="Q66" t="s">
        <v>51</v>
      </c>
      <c r="R66">
        <v>3.09</v>
      </c>
      <c r="S66" t="s">
        <v>27</v>
      </c>
    </row>
    <row r="67" spans="1:19" x14ac:dyDescent="0.3">
      <c r="A67" t="s">
        <v>104</v>
      </c>
      <c r="B67">
        <v>23</v>
      </c>
      <c r="C67" t="s">
        <v>45</v>
      </c>
      <c r="D67">
        <v>3</v>
      </c>
      <c r="E67" t="s">
        <v>30</v>
      </c>
      <c r="F67">
        <v>7.2</v>
      </c>
      <c r="G67">
        <v>1.8</v>
      </c>
      <c r="H67">
        <v>0</v>
      </c>
      <c r="I67">
        <v>2</v>
      </c>
      <c r="J67">
        <v>2</v>
      </c>
      <c r="K67">
        <v>6</v>
      </c>
      <c r="L67">
        <v>24.9</v>
      </c>
      <c r="M67">
        <v>83.3</v>
      </c>
      <c r="N67">
        <v>3</v>
      </c>
      <c r="O67" t="s">
        <v>22</v>
      </c>
      <c r="P67">
        <v>5</v>
      </c>
      <c r="Q67" t="s">
        <v>51</v>
      </c>
      <c r="R67">
        <v>3.27</v>
      </c>
      <c r="S67" t="s">
        <v>20</v>
      </c>
    </row>
    <row r="68" spans="1:19" x14ac:dyDescent="0.3">
      <c r="A68" t="s">
        <v>105</v>
      </c>
      <c r="B68">
        <v>21</v>
      </c>
      <c r="C68" t="s">
        <v>27</v>
      </c>
      <c r="D68">
        <v>3</v>
      </c>
      <c r="E68" t="s">
        <v>47</v>
      </c>
      <c r="F68">
        <v>6.6</v>
      </c>
      <c r="G68">
        <v>8.8000000000000007</v>
      </c>
      <c r="H68">
        <v>3</v>
      </c>
      <c r="I68">
        <v>2</v>
      </c>
      <c r="J68">
        <v>4</v>
      </c>
      <c r="K68">
        <v>4</v>
      </c>
      <c r="L68">
        <v>13.4</v>
      </c>
      <c r="M68">
        <v>61.8</v>
      </c>
      <c r="N68">
        <v>4</v>
      </c>
      <c r="O68" t="s">
        <v>22</v>
      </c>
      <c r="P68">
        <v>4</v>
      </c>
      <c r="Q68" t="s">
        <v>23</v>
      </c>
      <c r="R68">
        <v>3.19</v>
      </c>
      <c r="S68" t="s">
        <v>27</v>
      </c>
    </row>
    <row r="69" spans="1:19" x14ac:dyDescent="0.3">
      <c r="A69" t="s">
        <v>106</v>
      </c>
      <c r="B69">
        <v>21</v>
      </c>
      <c r="C69" t="s">
        <v>39</v>
      </c>
      <c r="D69">
        <v>3</v>
      </c>
      <c r="E69" t="s">
        <v>35</v>
      </c>
      <c r="F69">
        <v>6.2</v>
      </c>
      <c r="G69">
        <v>3.8</v>
      </c>
      <c r="H69">
        <v>4</v>
      </c>
      <c r="I69">
        <v>6</v>
      </c>
      <c r="J69">
        <v>8</v>
      </c>
      <c r="K69">
        <v>16</v>
      </c>
      <c r="L69">
        <v>13.5</v>
      </c>
      <c r="M69">
        <v>67.3</v>
      </c>
      <c r="N69">
        <v>3</v>
      </c>
      <c r="O69" t="s">
        <v>33</v>
      </c>
      <c r="P69">
        <v>4</v>
      </c>
      <c r="Q69" t="s">
        <v>26</v>
      </c>
      <c r="R69">
        <v>2.65</v>
      </c>
      <c r="S69" t="s">
        <v>27</v>
      </c>
    </row>
    <row r="70" spans="1:19" x14ac:dyDescent="0.3">
      <c r="A70" t="s">
        <v>107</v>
      </c>
      <c r="B70">
        <v>23</v>
      </c>
      <c r="C70" t="s">
        <v>20</v>
      </c>
      <c r="D70">
        <v>5</v>
      </c>
      <c r="E70" t="s">
        <v>47</v>
      </c>
      <c r="F70">
        <v>5.7</v>
      </c>
      <c r="G70">
        <v>1</v>
      </c>
      <c r="H70">
        <v>2</v>
      </c>
      <c r="I70">
        <v>9</v>
      </c>
      <c r="J70">
        <v>6</v>
      </c>
      <c r="K70">
        <v>11</v>
      </c>
      <c r="L70">
        <v>19.399999999999999</v>
      </c>
      <c r="M70">
        <v>59.8</v>
      </c>
      <c r="N70">
        <v>3</v>
      </c>
      <c r="O70" t="s">
        <v>33</v>
      </c>
      <c r="P70">
        <v>4</v>
      </c>
      <c r="Q70" t="s">
        <v>23</v>
      </c>
      <c r="R70">
        <v>2.64</v>
      </c>
      <c r="S70" t="s">
        <v>20</v>
      </c>
    </row>
    <row r="71" spans="1:19" x14ac:dyDescent="0.3">
      <c r="A71" t="s">
        <v>108</v>
      </c>
      <c r="B71">
        <v>21</v>
      </c>
      <c r="C71" t="s">
        <v>20</v>
      </c>
      <c r="D71">
        <v>5</v>
      </c>
      <c r="E71" t="s">
        <v>30</v>
      </c>
      <c r="F71">
        <v>6.2</v>
      </c>
      <c r="G71">
        <v>4</v>
      </c>
      <c r="H71">
        <v>2</v>
      </c>
      <c r="I71">
        <v>9</v>
      </c>
      <c r="J71">
        <v>8</v>
      </c>
      <c r="K71">
        <v>14</v>
      </c>
      <c r="L71">
        <v>15.9</v>
      </c>
      <c r="M71">
        <v>91.6</v>
      </c>
      <c r="N71">
        <v>2</v>
      </c>
      <c r="O71" t="s">
        <v>33</v>
      </c>
      <c r="P71">
        <v>5</v>
      </c>
      <c r="Q71" t="s">
        <v>51</v>
      </c>
      <c r="R71">
        <v>3.23</v>
      </c>
      <c r="S71" t="s">
        <v>20</v>
      </c>
    </row>
    <row r="72" spans="1:19" x14ac:dyDescent="0.3">
      <c r="A72" t="s">
        <v>109</v>
      </c>
      <c r="B72">
        <v>19</v>
      </c>
      <c r="C72" t="s">
        <v>20</v>
      </c>
      <c r="D72">
        <v>3</v>
      </c>
      <c r="E72" t="s">
        <v>30</v>
      </c>
      <c r="F72">
        <v>6.1</v>
      </c>
      <c r="G72">
        <v>6.8</v>
      </c>
      <c r="H72">
        <v>3</v>
      </c>
      <c r="I72">
        <v>3</v>
      </c>
      <c r="J72">
        <v>2</v>
      </c>
      <c r="K72">
        <v>4</v>
      </c>
      <c r="L72">
        <v>21.8</v>
      </c>
      <c r="M72">
        <v>63.2</v>
      </c>
      <c r="N72">
        <v>4</v>
      </c>
      <c r="O72" t="s">
        <v>33</v>
      </c>
      <c r="P72">
        <v>5</v>
      </c>
      <c r="Q72" t="s">
        <v>23</v>
      </c>
      <c r="R72">
        <v>2.82</v>
      </c>
      <c r="S72" t="s">
        <v>20</v>
      </c>
    </row>
    <row r="73" spans="1:19" x14ac:dyDescent="0.3">
      <c r="A73" t="s">
        <v>110</v>
      </c>
      <c r="B73">
        <v>19</v>
      </c>
      <c r="C73" t="s">
        <v>102</v>
      </c>
      <c r="D73">
        <v>1</v>
      </c>
      <c r="E73" t="s">
        <v>30</v>
      </c>
      <c r="F73">
        <v>6.9</v>
      </c>
      <c r="G73">
        <v>1.8</v>
      </c>
      <c r="H73">
        <v>3</v>
      </c>
      <c r="I73">
        <v>7</v>
      </c>
      <c r="J73">
        <v>5</v>
      </c>
      <c r="K73">
        <v>17</v>
      </c>
      <c r="L73">
        <v>23.2</v>
      </c>
      <c r="M73">
        <v>87.2</v>
      </c>
      <c r="O73" t="s">
        <v>33</v>
      </c>
      <c r="P73">
        <v>3</v>
      </c>
      <c r="Q73" t="s">
        <v>51</v>
      </c>
      <c r="R73">
        <v>3.44</v>
      </c>
      <c r="S73" t="s">
        <v>20</v>
      </c>
    </row>
    <row r="74" spans="1:19" x14ac:dyDescent="0.3">
      <c r="A74" t="s">
        <v>111</v>
      </c>
      <c r="B74">
        <v>20</v>
      </c>
      <c r="C74" t="s">
        <v>29</v>
      </c>
      <c r="D74">
        <v>4</v>
      </c>
      <c r="E74" t="s">
        <v>30</v>
      </c>
      <c r="F74">
        <v>8.8000000000000007</v>
      </c>
      <c r="G74">
        <v>4.5</v>
      </c>
      <c r="H74">
        <v>4</v>
      </c>
      <c r="I74">
        <v>9</v>
      </c>
      <c r="J74">
        <v>7</v>
      </c>
      <c r="K74">
        <v>18</v>
      </c>
      <c r="L74">
        <v>20.8</v>
      </c>
      <c r="M74">
        <v>66.099999999999994</v>
      </c>
      <c r="N74">
        <v>2</v>
      </c>
      <c r="O74" t="s">
        <v>33</v>
      </c>
      <c r="P74">
        <v>3</v>
      </c>
      <c r="Q74" t="s">
        <v>23</v>
      </c>
      <c r="R74">
        <v>2.95</v>
      </c>
      <c r="S74" t="s">
        <v>29</v>
      </c>
    </row>
    <row r="75" spans="1:19" x14ac:dyDescent="0.3">
      <c r="A75" t="s">
        <v>112</v>
      </c>
      <c r="B75">
        <v>23</v>
      </c>
      <c r="C75" t="s">
        <v>27</v>
      </c>
      <c r="D75">
        <v>5</v>
      </c>
      <c r="E75" t="s">
        <v>35</v>
      </c>
      <c r="F75">
        <v>5.3</v>
      </c>
      <c r="G75">
        <v>4.8</v>
      </c>
      <c r="H75">
        <v>3</v>
      </c>
      <c r="I75">
        <v>7</v>
      </c>
      <c r="J75">
        <v>8</v>
      </c>
      <c r="K75">
        <v>13</v>
      </c>
      <c r="L75">
        <v>14.7</v>
      </c>
      <c r="M75">
        <v>57.3</v>
      </c>
      <c r="N75">
        <v>5</v>
      </c>
      <c r="O75" t="s">
        <v>33</v>
      </c>
      <c r="P75">
        <v>3</v>
      </c>
      <c r="Q75" t="s">
        <v>26</v>
      </c>
      <c r="R75">
        <v>2.5099999999999998</v>
      </c>
      <c r="S75" t="s">
        <v>27</v>
      </c>
    </row>
    <row r="76" spans="1:19" x14ac:dyDescent="0.3">
      <c r="A76" t="s">
        <v>113</v>
      </c>
      <c r="B76">
        <v>22</v>
      </c>
      <c r="C76" t="s">
        <v>39</v>
      </c>
      <c r="D76">
        <v>2</v>
      </c>
      <c r="E76" t="s">
        <v>21</v>
      </c>
      <c r="F76">
        <v>7.2</v>
      </c>
      <c r="G76">
        <v>1.9</v>
      </c>
      <c r="H76">
        <v>4</v>
      </c>
      <c r="K76">
        <v>7</v>
      </c>
      <c r="L76">
        <v>13.7</v>
      </c>
      <c r="M76">
        <v>86.9</v>
      </c>
      <c r="N76">
        <v>3</v>
      </c>
      <c r="O76" t="s">
        <v>33</v>
      </c>
      <c r="P76">
        <v>4</v>
      </c>
      <c r="Q76" t="s">
        <v>23</v>
      </c>
      <c r="R76">
        <v>2.5499999999999998</v>
      </c>
      <c r="S76" t="s">
        <v>27</v>
      </c>
    </row>
    <row r="77" spans="1:19" x14ac:dyDescent="0.3">
      <c r="A77" t="s">
        <v>114</v>
      </c>
      <c r="B77">
        <v>23</v>
      </c>
      <c r="C77" t="s">
        <v>39</v>
      </c>
      <c r="D77">
        <v>2</v>
      </c>
      <c r="E77" t="s">
        <v>30</v>
      </c>
      <c r="F77">
        <v>6.6</v>
      </c>
      <c r="G77">
        <v>9.3000000000000007</v>
      </c>
      <c r="H77">
        <v>7</v>
      </c>
      <c r="I77">
        <v>4</v>
      </c>
      <c r="J77">
        <v>3</v>
      </c>
      <c r="K77">
        <v>14</v>
      </c>
      <c r="L77">
        <v>22.7</v>
      </c>
      <c r="M77">
        <v>81.099999999999994</v>
      </c>
      <c r="N77">
        <v>3</v>
      </c>
      <c r="O77" t="s">
        <v>22</v>
      </c>
      <c r="P77">
        <v>4</v>
      </c>
      <c r="Q77" t="s">
        <v>23</v>
      </c>
      <c r="R77">
        <v>3.15</v>
      </c>
      <c r="S77" t="s">
        <v>27</v>
      </c>
    </row>
    <row r="78" spans="1:19" x14ac:dyDescent="0.3">
      <c r="A78" t="s">
        <v>115</v>
      </c>
      <c r="B78">
        <v>21</v>
      </c>
      <c r="C78" t="s">
        <v>20</v>
      </c>
      <c r="D78">
        <v>2</v>
      </c>
      <c r="E78" t="s">
        <v>47</v>
      </c>
      <c r="F78">
        <v>6.5</v>
      </c>
      <c r="G78">
        <v>4.9000000000000004</v>
      </c>
      <c r="H78">
        <v>2</v>
      </c>
      <c r="I78">
        <v>4</v>
      </c>
      <c r="J78">
        <v>5</v>
      </c>
      <c r="K78">
        <v>9</v>
      </c>
      <c r="L78">
        <v>18</v>
      </c>
      <c r="M78">
        <v>86.5</v>
      </c>
      <c r="N78">
        <v>5</v>
      </c>
      <c r="O78" t="s">
        <v>33</v>
      </c>
      <c r="P78">
        <v>1</v>
      </c>
      <c r="Q78" t="s">
        <v>26</v>
      </c>
      <c r="R78">
        <v>3.22</v>
      </c>
      <c r="S78" t="s">
        <v>20</v>
      </c>
    </row>
    <row r="79" spans="1:19" x14ac:dyDescent="0.3">
      <c r="A79" t="s">
        <v>116</v>
      </c>
      <c r="B79">
        <v>22</v>
      </c>
      <c r="C79" t="s">
        <v>27</v>
      </c>
      <c r="D79">
        <v>1</v>
      </c>
      <c r="E79" t="s">
        <v>21</v>
      </c>
      <c r="F79">
        <v>10</v>
      </c>
      <c r="G79">
        <v>3.3</v>
      </c>
      <c r="H79">
        <v>0</v>
      </c>
      <c r="I79">
        <v>10</v>
      </c>
      <c r="J79">
        <v>6</v>
      </c>
      <c r="K79">
        <v>11</v>
      </c>
      <c r="L79">
        <v>13.4</v>
      </c>
      <c r="M79">
        <v>61.6</v>
      </c>
      <c r="N79">
        <v>3</v>
      </c>
      <c r="O79" t="s">
        <v>22</v>
      </c>
      <c r="P79">
        <v>2</v>
      </c>
      <c r="Q79" t="s">
        <v>26</v>
      </c>
      <c r="R79">
        <v>3.16</v>
      </c>
      <c r="S79" t="s">
        <v>27</v>
      </c>
    </row>
    <row r="80" spans="1:19" x14ac:dyDescent="0.3">
      <c r="A80" t="s">
        <v>117</v>
      </c>
      <c r="B80">
        <v>23</v>
      </c>
      <c r="C80" t="s">
        <v>27</v>
      </c>
      <c r="D80">
        <v>3</v>
      </c>
      <c r="E80" t="s">
        <v>30</v>
      </c>
      <c r="F80">
        <v>6.3</v>
      </c>
      <c r="G80">
        <v>3.9</v>
      </c>
      <c r="H80">
        <v>1</v>
      </c>
      <c r="I80">
        <v>5</v>
      </c>
      <c r="J80">
        <v>6</v>
      </c>
      <c r="K80">
        <v>6</v>
      </c>
      <c r="L80">
        <v>23.9</v>
      </c>
      <c r="M80">
        <v>70.3</v>
      </c>
      <c r="N80">
        <v>5</v>
      </c>
      <c r="O80" t="s">
        <v>22</v>
      </c>
      <c r="P80">
        <v>5</v>
      </c>
      <c r="Q80" t="s">
        <v>23</v>
      </c>
      <c r="R80">
        <v>3.28</v>
      </c>
      <c r="S80" t="s">
        <v>27</v>
      </c>
    </row>
    <row r="81" spans="1:19" x14ac:dyDescent="0.3">
      <c r="A81" t="s">
        <v>118</v>
      </c>
      <c r="B81">
        <v>21</v>
      </c>
      <c r="C81" t="s">
        <v>39</v>
      </c>
      <c r="D81">
        <v>2</v>
      </c>
      <c r="E81" t="s">
        <v>30</v>
      </c>
      <c r="F81">
        <v>7.2</v>
      </c>
      <c r="G81">
        <v>1.6</v>
      </c>
      <c r="H81">
        <v>3</v>
      </c>
      <c r="I81">
        <v>2</v>
      </c>
      <c r="J81">
        <v>6</v>
      </c>
      <c r="K81">
        <v>7</v>
      </c>
      <c r="L81">
        <v>7.6</v>
      </c>
      <c r="M81">
        <v>42.4</v>
      </c>
      <c r="N81">
        <v>4</v>
      </c>
      <c r="O81" t="s">
        <v>33</v>
      </c>
      <c r="P81">
        <v>5</v>
      </c>
      <c r="Q81" t="s">
        <v>23</v>
      </c>
      <c r="R81">
        <v>2.85</v>
      </c>
      <c r="S81" t="s">
        <v>27</v>
      </c>
    </row>
    <row r="82" spans="1:19" x14ac:dyDescent="0.3">
      <c r="A82" t="s">
        <v>119</v>
      </c>
      <c r="B82">
        <v>22</v>
      </c>
      <c r="C82" t="s">
        <v>20</v>
      </c>
      <c r="D82">
        <v>4</v>
      </c>
      <c r="E82" t="s">
        <v>49</v>
      </c>
      <c r="F82">
        <v>5.6</v>
      </c>
      <c r="G82">
        <v>1.5</v>
      </c>
      <c r="H82">
        <v>2</v>
      </c>
      <c r="I82">
        <v>3</v>
      </c>
      <c r="J82">
        <v>4</v>
      </c>
      <c r="K82">
        <v>4</v>
      </c>
      <c r="L82">
        <v>14.7</v>
      </c>
      <c r="M82">
        <v>50.2</v>
      </c>
      <c r="N82">
        <v>4</v>
      </c>
      <c r="O82" t="s">
        <v>22</v>
      </c>
      <c r="P82">
        <v>5</v>
      </c>
      <c r="Q82" t="s">
        <v>23</v>
      </c>
      <c r="R82">
        <v>2.35</v>
      </c>
      <c r="S82" t="s">
        <v>20</v>
      </c>
    </row>
    <row r="83" spans="1:19" x14ac:dyDescent="0.3">
      <c r="A83" t="s">
        <v>120</v>
      </c>
      <c r="B83">
        <v>20</v>
      </c>
      <c r="C83" t="s">
        <v>29</v>
      </c>
      <c r="D83">
        <v>4</v>
      </c>
      <c r="E83" t="s">
        <v>47</v>
      </c>
      <c r="F83">
        <v>5.4</v>
      </c>
      <c r="G83">
        <v>3.1</v>
      </c>
      <c r="H83">
        <v>5</v>
      </c>
      <c r="I83">
        <v>10</v>
      </c>
      <c r="J83">
        <v>8</v>
      </c>
      <c r="K83">
        <v>13</v>
      </c>
      <c r="L83">
        <v>16.7</v>
      </c>
      <c r="M83">
        <v>99.5</v>
      </c>
      <c r="O83" t="s">
        <v>22</v>
      </c>
      <c r="P83">
        <v>3</v>
      </c>
      <c r="Q83" t="s">
        <v>26</v>
      </c>
      <c r="R83">
        <v>2.93</v>
      </c>
      <c r="S83" t="s">
        <v>29</v>
      </c>
    </row>
    <row r="84" spans="1:19" x14ac:dyDescent="0.3">
      <c r="A84" t="s">
        <v>121</v>
      </c>
      <c r="B84">
        <v>21</v>
      </c>
      <c r="C84" t="s">
        <v>20</v>
      </c>
      <c r="D84">
        <v>4</v>
      </c>
      <c r="E84" t="s">
        <v>30</v>
      </c>
      <c r="F84">
        <v>6.3</v>
      </c>
      <c r="G84">
        <v>3.3</v>
      </c>
      <c r="H84">
        <v>3</v>
      </c>
      <c r="I84">
        <v>15</v>
      </c>
      <c r="J84">
        <v>12</v>
      </c>
      <c r="K84">
        <v>23</v>
      </c>
      <c r="L84">
        <v>16.899999999999999</v>
      </c>
      <c r="M84">
        <v>100</v>
      </c>
      <c r="N84">
        <v>1</v>
      </c>
      <c r="O84" t="s">
        <v>22</v>
      </c>
      <c r="P84">
        <v>4</v>
      </c>
      <c r="Q84" t="s">
        <v>26</v>
      </c>
      <c r="R84">
        <v>3.42</v>
      </c>
      <c r="S84" t="s">
        <v>20</v>
      </c>
    </row>
    <row r="85" spans="1:19" x14ac:dyDescent="0.3">
      <c r="A85" t="s">
        <v>122</v>
      </c>
      <c r="B85">
        <v>21</v>
      </c>
      <c r="C85" t="s">
        <v>102</v>
      </c>
      <c r="D85">
        <v>2</v>
      </c>
      <c r="E85" t="s">
        <v>35</v>
      </c>
      <c r="F85">
        <v>7.8</v>
      </c>
      <c r="G85">
        <v>3.7</v>
      </c>
      <c r="H85">
        <v>3</v>
      </c>
      <c r="I85">
        <v>4</v>
      </c>
      <c r="J85">
        <v>1</v>
      </c>
      <c r="K85">
        <v>7</v>
      </c>
      <c r="L85">
        <v>33</v>
      </c>
      <c r="M85">
        <v>82.3</v>
      </c>
      <c r="N85">
        <v>3</v>
      </c>
      <c r="O85" t="s">
        <v>33</v>
      </c>
      <c r="P85">
        <v>4</v>
      </c>
      <c r="Q85" t="s">
        <v>26</v>
      </c>
      <c r="R85">
        <v>3.07</v>
      </c>
      <c r="S85" t="s">
        <v>20</v>
      </c>
    </row>
    <row r="86" spans="1:19" x14ac:dyDescent="0.3">
      <c r="A86" t="s">
        <v>123</v>
      </c>
      <c r="B86">
        <v>19</v>
      </c>
      <c r="C86" t="s">
        <v>20</v>
      </c>
      <c r="D86">
        <v>2</v>
      </c>
      <c r="E86" t="s">
        <v>47</v>
      </c>
      <c r="F86">
        <v>5.8</v>
      </c>
      <c r="G86">
        <v>9.9</v>
      </c>
      <c r="H86">
        <v>4</v>
      </c>
      <c r="I86">
        <v>5</v>
      </c>
      <c r="J86">
        <v>6</v>
      </c>
      <c r="K86">
        <v>12</v>
      </c>
      <c r="L86">
        <v>20.9</v>
      </c>
      <c r="M86">
        <v>67.599999999999994</v>
      </c>
      <c r="N86">
        <v>1</v>
      </c>
      <c r="O86" t="s">
        <v>22</v>
      </c>
      <c r="P86">
        <v>2</v>
      </c>
      <c r="Q86" t="s">
        <v>23</v>
      </c>
      <c r="R86">
        <v>3.09</v>
      </c>
      <c r="S86" t="s">
        <v>20</v>
      </c>
    </row>
    <row r="87" spans="1:19" x14ac:dyDescent="0.3">
      <c r="A87" t="s">
        <v>124</v>
      </c>
      <c r="B87">
        <v>23</v>
      </c>
      <c r="C87" t="s">
        <v>39</v>
      </c>
      <c r="D87">
        <v>4</v>
      </c>
      <c r="E87" t="s">
        <v>47</v>
      </c>
      <c r="F87">
        <v>7.3</v>
      </c>
      <c r="G87">
        <v>6.5</v>
      </c>
      <c r="H87">
        <v>1</v>
      </c>
      <c r="I87">
        <v>2</v>
      </c>
      <c r="J87">
        <v>10</v>
      </c>
      <c r="K87">
        <v>8</v>
      </c>
      <c r="L87">
        <v>23</v>
      </c>
      <c r="M87">
        <v>77.599999999999994</v>
      </c>
      <c r="N87">
        <v>1</v>
      </c>
      <c r="O87" t="s">
        <v>22</v>
      </c>
      <c r="P87">
        <v>2</v>
      </c>
      <c r="Q87" t="s">
        <v>23</v>
      </c>
      <c r="R87">
        <v>3.37</v>
      </c>
      <c r="S87" t="s">
        <v>27</v>
      </c>
    </row>
    <row r="88" spans="1:19" x14ac:dyDescent="0.3">
      <c r="A88" t="s">
        <v>125</v>
      </c>
      <c r="B88">
        <v>21</v>
      </c>
      <c r="C88" t="s">
        <v>27</v>
      </c>
      <c r="D88">
        <v>4</v>
      </c>
      <c r="E88" t="s">
        <v>30</v>
      </c>
      <c r="F88">
        <v>6.5</v>
      </c>
      <c r="G88">
        <v>1</v>
      </c>
      <c r="H88">
        <v>4</v>
      </c>
      <c r="I88">
        <v>2</v>
      </c>
      <c r="J88">
        <v>3</v>
      </c>
      <c r="K88">
        <v>8</v>
      </c>
      <c r="L88">
        <v>19.7</v>
      </c>
      <c r="M88">
        <v>90.5</v>
      </c>
      <c r="N88">
        <v>4</v>
      </c>
      <c r="O88" t="s">
        <v>33</v>
      </c>
      <c r="P88">
        <v>5</v>
      </c>
      <c r="Q88" t="s">
        <v>23</v>
      </c>
      <c r="R88">
        <v>3.29</v>
      </c>
      <c r="S88" t="s">
        <v>27</v>
      </c>
    </row>
    <row r="89" spans="1:19" x14ac:dyDescent="0.3">
      <c r="A89" t="s">
        <v>126</v>
      </c>
      <c r="B89">
        <v>22</v>
      </c>
      <c r="C89" t="s">
        <v>20</v>
      </c>
      <c r="D89">
        <v>3</v>
      </c>
      <c r="E89" t="s">
        <v>30</v>
      </c>
      <c r="F89">
        <v>5</v>
      </c>
      <c r="G89">
        <v>8.6999999999999993</v>
      </c>
      <c r="H89">
        <v>0</v>
      </c>
      <c r="I89">
        <v>7</v>
      </c>
      <c r="J89">
        <v>6</v>
      </c>
      <c r="K89">
        <v>18</v>
      </c>
      <c r="L89">
        <v>17.5</v>
      </c>
      <c r="M89">
        <v>76.900000000000006</v>
      </c>
      <c r="N89">
        <v>4</v>
      </c>
      <c r="O89" t="s">
        <v>33</v>
      </c>
      <c r="P89">
        <v>1</v>
      </c>
      <c r="Q89" t="s">
        <v>23</v>
      </c>
      <c r="R89">
        <v>2.69</v>
      </c>
      <c r="S89" t="s">
        <v>20</v>
      </c>
    </row>
    <row r="90" spans="1:19" x14ac:dyDescent="0.3">
      <c r="A90" t="s">
        <v>127</v>
      </c>
      <c r="B90">
        <v>23</v>
      </c>
      <c r="C90" t="s">
        <v>25</v>
      </c>
      <c r="D90">
        <v>4</v>
      </c>
      <c r="E90" t="s">
        <v>47</v>
      </c>
      <c r="F90">
        <v>9.3000000000000007</v>
      </c>
      <c r="G90">
        <v>3.1</v>
      </c>
      <c r="H90">
        <v>3</v>
      </c>
      <c r="I90">
        <v>22</v>
      </c>
      <c r="J90">
        <v>18</v>
      </c>
      <c r="K90">
        <v>27</v>
      </c>
      <c r="L90">
        <v>6.6</v>
      </c>
      <c r="M90">
        <v>77.5</v>
      </c>
      <c r="N90">
        <v>2</v>
      </c>
      <c r="O90" t="s">
        <v>33</v>
      </c>
      <c r="P90">
        <v>3</v>
      </c>
      <c r="Q90" t="s">
        <v>26</v>
      </c>
      <c r="R90">
        <v>2.1</v>
      </c>
      <c r="S90" t="s">
        <v>27</v>
      </c>
    </row>
    <row r="91" spans="1:19" x14ac:dyDescent="0.3">
      <c r="A91" t="s">
        <v>128</v>
      </c>
      <c r="B91">
        <v>22</v>
      </c>
      <c r="C91" t="s">
        <v>45</v>
      </c>
      <c r="D91">
        <v>1</v>
      </c>
      <c r="E91" t="s">
        <v>30</v>
      </c>
      <c r="F91">
        <v>6.4</v>
      </c>
      <c r="G91">
        <v>6.9</v>
      </c>
      <c r="H91">
        <v>5</v>
      </c>
      <c r="I91">
        <v>6</v>
      </c>
      <c r="J91">
        <v>9</v>
      </c>
      <c r="K91">
        <v>14</v>
      </c>
      <c r="L91">
        <v>21.4</v>
      </c>
      <c r="M91">
        <v>85.7</v>
      </c>
      <c r="N91">
        <v>4</v>
      </c>
      <c r="O91" t="s">
        <v>22</v>
      </c>
      <c r="P91">
        <v>4</v>
      </c>
      <c r="Q91" t="s">
        <v>23</v>
      </c>
      <c r="S91" t="s">
        <v>20</v>
      </c>
    </row>
    <row r="92" spans="1:19" x14ac:dyDescent="0.3">
      <c r="A92" t="s">
        <v>129</v>
      </c>
      <c r="B92">
        <v>23</v>
      </c>
      <c r="C92" t="s">
        <v>25</v>
      </c>
      <c r="D92">
        <v>4</v>
      </c>
      <c r="E92" t="s">
        <v>32</v>
      </c>
      <c r="F92">
        <v>5.3</v>
      </c>
      <c r="G92">
        <v>3.3</v>
      </c>
      <c r="H92">
        <v>4</v>
      </c>
      <c r="I92">
        <v>6</v>
      </c>
      <c r="J92">
        <v>8</v>
      </c>
      <c r="K92">
        <v>8</v>
      </c>
      <c r="L92">
        <v>11.1</v>
      </c>
      <c r="M92">
        <v>70</v>
      </c>
      <c r="N92">
        <v>5</v>
      </c>
      <c r="O92" t="s">
        <v>33</v>
      </c>
      <c r="P92">
        <v>4</v>
      </c>
      <c r="Q92" t="s">
        <v>51</v>
      </c>
      <c r="R92">
        <v>2.75</v>
      </c>
      <c r="S92" t="s">
        <v>27</v>
      </c>
    </row>
    <row r="93" spans="1:19" x14ac:dyDescent="0.3">
      <c r="A93" t="s">
        <v>130</v>
      </c>
      <c r="B93">
        <v>21</v>
      </c>
      <c r="C93" t="s">
        <v>27</v>
      </c>
      <c r="D93">
        <v>1</v>
      </c>
      <c r="E93" t="s">
        <v>49</v>
      </c>
      <c r="F93">
        <v>5.2</v>
      </c>
      <c r="G93">
        <v>4.7</v>
      </c>
      <c r="H93">
        <v>5</v>
      </c>
      <c r="I93">
        <v>6</v>
      </c>
      <c r="J93">
        <v>2</v>
      </c>
      <c r="K93">
        <v>15</v>
      </c>
      <c r="L93">
        <v>14.7</v>
      </c>
      <c r="M93">
        <v>70.099999999999994</v>
      </c>
      <c r="N93">
        <v>4</v>
      </c>
      <c r="O93" t="s">
        <v>33</v>
      </c>
      <c r="P93">
        <v>2</v>
      </c>
      <c r="Q93" t="s">
        <v>23</v>
      </c>
      <c r="R93">
        <v>2.8</v>
      </c>
      <c r="S93" t="s">
        <v>27</v>
      </c>
    </row>
    <row r="94" spans="1:19" x14ac:dyDescent="0.3">
      <c r="A94" t="s">
        <v>131</v>
      </c>
      <c r="B94">
        <v>21</v>
      </c>
      <c r="C94" t="s">
        <v>20</v>
      </c>
      <c r="D94">
        <v>1</v>
      </c>
      <c r="E94" t="s">
        <v>30</v>
      </c>
      <c r="F94">
        <v>5.2</v>
      </c>
      <c r="G94">
        <v>1.7</v>
      </c>
      <c r="H94">
        <v>2</v>
      </c>
      <c r="I94">
        <v>6</v>
      </c>
      <c r="J94">
        <v>7</v>
      </c>
      <c r="K94">
        <v>11</v>
      </c>
      <c r="L94">
        <v>2.2000000000000002</v>
      </c>
      <c r="M94">
        <v>86</v>
      </c>
      <c r="N94">
        <v>4</v>
      </c>
      <c r="O94" t="s">
        <v>22</v>
      </c>
      <c r="P94">
        <v>4</v>
      </c>
      <c r="Q94" t="s">
        <v>26</v>
      </c>
      <c r="R94">
        <v>2.33</v>
      </c>
      <c r="S94" t="s">
        <v>20</v>
      </c>
    </row>
    <row r="95" spans="1:19" x14ac:dyDescent="0.3">
      <c r="A95" t="s">
        <v>132</v>
      </c>
      <c r="B95">
        <v>21</v>
      </c>
      <c r="C95" t="s">
        <v>27</v>
      </c>
      <c r="D95">
        <v>3</v>
      </c>
      <c r="E95" t="s">
        <v>47</v>
      </c>
      <c r="F95">
        <v>7.4</v>
      </c>
      <c r="G95">
        <v>5.4</v>
      </c>
      <c r="H95">
        <v>4</v>
      </c>
      <c r="I95">
        <v>6</v>
      </c>
      <c r="J95">
        <v>11</v>
      </c>
      <c r="K95">
        <v>17</v>
      </c>
      <c r="L95">
        <v>7.4</v>
      </c>
      <c r="M95">
        <v>62.3</v>
      </c>
      <c r="N95">
        <v>4</v>
      </c>
      <c r="O95" t="s">
        <v>22</v>
      </c>
      <c r="P95">
        <v>2</v>
      </c>
      <c r="Q95" t="s">
        <v>23</v>
      </c>
      <c r="R95">
        <v>2.72</v>
      </c>
      <c r="S95" t="s">
        <v>27</v>
      </c>
    </row>
    <row r="96" spans="1:19" x14ac:dyDescent="0.3">
      <c r="A96" t="s">
        <v>133</v>
      </c>
      <c r="B96">
        <v>18</v>
      </c>
      <c r="C96" t="s">
        <v>27</v>
      </c>
      <c r="D96">
        <v>1</v>
      </c>
      <c r="E96" t="s">
        <v>35</v>
      </c>
      <c r="F96">
        <v>5.4</v>
      </c>
      <c r="G96">
        <v>7.4</v>
      </c>
      <c r="H96">
        <v>3</v>
      </c>
      <c r="I96">
        <v>4</v>
      </c>
      <c r="J96">
        <v>6</v>
      </c>
      <c r="K96">
        <v>10</v>
      </c>
      <c r="L96">
        <v>27.3</v>
      </c>
      <c r="M96">
        <v>88</v>
      </c>
      <c r="N96">
        <v>2</v>
      </c>
      <c r="O96" t="s">
        <v>33</v>
      </c>
      <c r="P96">
        <v>4</v>
      </c>
      <c r="Q96" t="s">
        <v>26</v>
      </c>
      <c r="R96">
        <v>3.06</v>
      </c>
      <c r="S96" t="s">
        <v>27</v>
      </c>
    </row>
    <row r="97" spans="1:19" x14ac:dyDescent="0.3">
      <c r="A97" t="s">
        <v>134</v>
      </c>
      <c r="B97">
        <v>18</v>
      </c>
      <c r="C97" t="s">
        <v>61</v>
      </c>
      <c r="D97">
        <v>1</v>
      </c>
      <c r="E97" t="s">
        <v>49</v>
      </c>
      <c r="F97">
        <v>6.8</v>
      </c>
      <c r="G97">
        <v>1.1000000000000001</v>
      </c>
      <c r="H97">
        <v>3</v>
      </c>
      <c r="I97">
        <v>5</v>
      </c>
      <c r="J97">
        <v>3</v>
      </c>
      <c r="K97">
        <v>12</v>
      </c>
      <c r="L97">
        <v>21.6</v>
      </c>
      <c r="M97">
        <v>76.400000000000006</v>
      </c>
      <c r="N97">
        <v>3</v>
      </c>
      <c r="O97" t="s">
        <v>33</v>
      </c>
      <c r="P97">
        <v>2</v>
      </c>
      <c r="Q97" t="s">
        <v>26</v>
      </c>
      <c r="S97" t="s">
        <v>61</v>
      </c>
    </row>
    <row r="98" spans="1:19" x14ac:dyDescent="0.3">
      <c r="A98" t="s">
        <v>135</v>
      </c>
      <c r="B98">
        <v>19</v>
      </c>
      <c r="C98" t="s">
        <v>39</v>
      </c>
      <c r="D98">
        <v>1</v>
      </c>
      <c r="E98" t="s">
        <v>21</v>
      </c>
      <c r="F98">
        <v>6</v>
      </c>
      <c r="G98">
        <v>7.5</v>
      </c>
      <c r="H98">
        <v>0</v>
      </c>
      <c r="I98">
        <v>2</v>
      </c>
      <c r="J98">
        <v>4</v>
      </c>
      <c r="K98">
        <v>10</v>
      </c>
      <c r="L98">
        <v>28.8</v>
      </c>
      <c r="M98">
        <v>81.2</v>
      </c>
      <c r="N98">
        <v>5</v>
      </c>
      <c r="O98" t="s">
        <v>22</v>
      </c>
      <c r="P98">
        <v>4</v>
      </c>
      <c r="Q98" t="s">
        <v>26</v>
      </c>
      <c r="R98">
        <v>3.51</v>
      </c>
      <c r="S98" t="s">
        <v>27</v>
      </c>
    </row>
    <row r="99" spans="1:19" x14ac:dyDescent="0.3">
      <c r="A99" t="s">
        <v>136</v>
      </c>
      <c r="B99">
        <v>19</v>
      </c>
      <c r="C99" t="s">
        <v>39</v>
      </c>
      <c r="D99">
        <v>2</v>
      </c>
      <c r="E99" t="s">
        <v>47</v>
      </c>
      <c r="F99">
        <v>7.3</v>
      </c>
      <c r="G99">
        <v>2.6</v>
      </c>
      <c r="H99">
        <v>1</v>
      </c>
      <c r="I99">
        <v>5</v>
      </c>
      <c r="J99">
        <v>3</v>
      </c>
      <c r="K99">
        <v>8</v>
      </c>
      <c r="L99">
        <v>32</v>
      </c>
      <c r="M99">
        <v>100</v>
      </c>
      <c r="N99">
        <v>4</v>
      </c>
      <c r="O99" t="s">
        <v>22</v>
      </c>
      <c r="P99">
        <v>4</v>
      </c>
      <c r="Q99" t="s">
        <v>26</v>
      </c>
      <c r="R99">
        <v>3.28</v>
      </c>
      <c r="S99" t="s">
        <v>27</v>
      </c>
    </row>
    <row r="100" spans="1:19" x14ac:dyDescent="0.3">
      <c r="A100" t="s">
        <v>137</v>
      </c>
      <c r="B100">
        <v>22</v>
      </c>
      <c r="C100" t="s">
        <v>45</v>
      </c>
      <c r="D100">
        <v>4</v>
      </c>
      <c r="E100" t="s">
        <v>32</v>
      </c>
      <c r="F100">
        <v>4.3</v>
      </c>
      <c r="G100">
        <v>11.8</v>
      </c>
      <c r="H100">
        <v>3</v>
      </c>
      <c r="I100">
        <v>4</v>
      </c>
      <c r="J100">
        <v>7</v>
      </c>
      <c r="K100">
        <v>14</v>
      </c>
      <c r="L100">
        <v>23.3</v>
      </c>
      <c r="M100">
        <v>80.900000000000006</v>
      </c>
      <c r="N100">
        <v>4</v>
      </c>
      <c r="O100" t="s">
        <v>22</v>
      </c>
      <c r="P100">
        <v>2</v>
      </c>
      <c r="Q100" t="s">
        <v>26</v>
      </c>
      <c r="R100">
        <v>2.62</v>
      </c>
      <c r="S100" t="s">
        <v>20</v>
      </c>
    </row>
    <row r="101" spans="1:19" x14ac:dyDescent="0.3">
      <c r="A101" t="s">
        <v>138</v>
      </c>
      <c r="B101">
        <v>20</v>
      </c>
      <c r="C101" t="s">
        <v>39</v>
      </c>
      <c r="D101">
        <v>1</v>
      </c>
      <c r="E101" t="s">
        <v>49</v>
      </c>
      <c r="F101">
        <v>4.8</v>
      </c>
      <c r="G101">
        <v>7</v>
      </c>
      <c r="H101">
        <v>0</v>
      </c>
      <c r="I101">
        <v>13</v>
      </c>
      <c r="J101">
        <v>9</v>
      </c>
      <c r="K101">
        <v>15</v>
      </c>
      <c r="L101">
        <v>13.7</v>
      </c>
      <c r="M101">
        <v>93.5</v>
      </c>
      <c r="N101">
        <v>5</v>
      </c>
      <c r="O101" t="s">
        <v>22</v>
      </c>
      <c r="P101">
        <v>2</v>
      </c>
      <c r="Q101" t="s">
        <v>23</v>
      </c>
      <c r="R101">
        <v>2.84</v>
      </c>
      <c r="S101" t="s">
        <v>27</v>
      </c>
    </row>
    <row r="102" spans="1:19" x14ac:dyDescent="0.3">
      <c r="A102" t="s">
        <v>139</v>
      </c>
      <c r="B102">
        <v>21</v>
      </c>
      <c r="C102" t="s">
        <v>25</v>
      </c>
      <c r="D102">
        <v>3</v>
      </c>
      <c r="E102" t="s">
        <v>47</v>
      </c>
      <c r="F102">
        <v>6.5</v>
      </c>
      <c r="G102">
        <v>6.3</v>
      </c>
      <c r="H102">
        <v>4</v>
      </c>
      <c r="I102">
        <v>18</v>
      </c>
      <c r="J102">
        <v>14</v>
      </c>
      <c r="K102">
        <v>26</v>
      </c>
      <c r="L102">
        <v>8</v>
      </c>
      <c r="M102">
        <v>51.8</v>
      </c>
      <c r="N102">
        <v>2</v>
      </c>
      <c r="O102" t="s">
        <v>33</v>
      </c>
      <c r="P102">
        <v>4</v>
      </c>
      <c r="Q102" t="s">
        <v>26</v>
      </c>
      <c r="R102">
        <v>1.96</v>
      </c>
      <c r="S102" t="s">
        <v>27</v>
      </c>
    </row>
    <row r="103" spans="1:19" x14ac:dyDescent="0.3">
      <c r="A103" t="s">
        <v>140</v>
      </c>
      <c r="B103">
        <v>24</v>
      </c>
      <c r="C103" t="s">
        <v>27</v>
      </c>
      <c r="D103">
        <v>4</v>
      </c>
      <c r="E103" t="s">
        <v>49</v>
      </c>
      <c r="F103">
        <v>7</v>
      </c>
      <c r="G103">
        <v>3.9</v>
      </c>
      <c r="H103">
        <v>4</v>
      </c>
      <c r="I103">
        <v>1</v>
      </c>
      <c r="J103">
        <v>1</v>
      </c>
      <c r="K103">
        <v>5</v>
      </c>
      <c r="L103">
        <v>27.1</v>
      </c>
      <c r="M103">
        <v>80.400000000000006</v>
      </c>
      <c r="N103">
        <v>3</v>
      </c>
      <c r="O103" t="s">
        <v>33</v>
      </c>
      <c r="P103">
        <v>1</v>
      </c>
      <c r="Q103" t="s">
        <v>23</v>
      </c>
      <c r="R103">
        <v>3.18</v>
      </c>
      <c r="S103" t="s">
        <v>27</v>
      </c>
    </row>
    <row r="104" spans="1:19" x14ac:dyDescent="0.3">
      <c r="A104" t="s">
        <v>141</v>
      </c>
      <c r="B104">
        <v>21</v>
      </c>
      <c r="C104" t="s">
        <v>27</v>
      </c>
      <c r="D104">
        <v>1</v>
      </c>
      <c r="E104" t="s">
        <v>30</v>
      </c>
      <c r="F104">
        <v>5.3</v>
      </c>
      <c r="G104">
        <v>16</v>
      </c>
      <c r="H104">
        <v>5</v>
      </c>
      <c r="K104">
        <v>9</v>
      </c>
      <c r="L104">
        <v>22.3</v>
      </c>
      <c r="M104">
        <v>81.599999999999994</v>
      </c>
      <c r="N104">
        <v>4</v>
      </c>
      <c r="O104" t="s">
        <v>33</v>
      </c>
      <c r="P104">
        <v>2</v>
      </c>
      <c r="Q104" t="s">
        <v>51</v>
      </c>
      <c r="R104">
        <v>2.82</v>
      </c>
      <c r="S104" t="s">
        <v>27</v>
      </c>
    </row>
    <row r="105" spans="1:19" x14ac:dyDescent="0.3">
      <c r="A105" t="s">
        <v>142</v>
      </c>
      <c r="B105">
        <v>23</v>
      </c>
      <c r="C105" t="s">
        <v>20</v>
      </c>
      <c r="D105">
        <v>1</v>
      </c>
      <c r="E105" t="s">
        <v>30</v>
      </c>
      <c r="F105">
        <v>5.2</v>
      </c>
      <c r="G105">
        <v>3.1</v>
      </c>
      <c r="H105">
        <v>0</v>
      </c>
      <c r="I105">
        <v>12</v>
      </c>
      <c r="J105">
        <v>13</v>
      </c>
      <c r="K105">
        <v>17</v>
      </c>
      <c r="L105">
        <v>39.1</v>
      </c>
      <c r="M105">
        <v>100</v>
      </c>
      <c r="O105" t="s">
        <v>33</v>
      </c>
      <c r="P105">
        <v>3</v>
      </c>
      <c r="Q105" t="s">
        <v>23</v>
      </c>
      <c r="R105">
        <v>3.18</v>
      </c>
      <c r="S105" t="s">
        <v>20</v>
      </c>
    </row>
    <row r="106" spans="1:19" x14ac:dyDescent="0.3">
      <c r="A106" t="s">
        <v>143</v>
      </c>
      <c r="B106">
        <v>20</v>
      </c>
      <c r="C106" t="s">
        <v>25</v>
      </c>
      <c r="D106">
        <v>4</v>
      </c>
      <c r="E106" t="s">
        <v>30</v>
      </c>
      <c r="F106">
        <v>7.1</v>
      </c>
      <c r="G106">
        <v>2</v>
      </c>
      <c r="H106">
        <v>5</v>
      </c>
      <c r="I106">
        <v>6</v>
      </c>
      <c r="J106">
        <v>6</v>
      </c>
      <c r="K106">
        <v>12</v>
      </c>
      <c r="L106">
        <v>21.8</v>
      </c>
      <c r="M106">
        <v>59.5</v>
      </c>
      <c r="N106">
        <v>4</v>
      </c>
      <c r="O106" t="s">
        <v>22</v>
      </c>
      <c r="P106">
        <v>5</v>
      </c>
      <c r="Q106" t="s">
        <v>23</v>
      </c>
      <c r="R106">
        <v>3.51</v>
      </c>
      <c r="S106" t="s">
        <v>27</v>
      </c>
    </row>
    <row r="107" spans="1:19" x14ac:dyDescent="0.3">
      <c r="A107" t="s">
        <v>144</v>
      </c>
      <c r="B107">
        <v>21</v>
      </c>
      <c r="C107" t="s">
        <v>27</v>
      </c>
      <c r="D107">
        <v>4</v>
      </c>
      <c r="E107" t="s">
        <v>21</v>
      </c>
      <c r="F107">
        <v>5.8</v>
      </c>
      <c r="G107">
        <v>2.7</v>
      </c>
      <c r="H107">
        <v>0</v>
      </c>
      <c r="I107">
        <v>10</v>
      </c>
      <c r="J107">
        <v>7</v>
      </c>
      <c r="K107">
        <v>12</v>
      </c>
      <c r="L107">
        <v>26.9</v>
      </c>
      <c r="M107">
        <v>74.5</v>
      </c>
      <c r="O107" t="s">
        <v>22</v>
      </c>
      <c r="P107">
        <v>3</v>
      </c>
      <c r="Q107" t="s">
        <v>23</v>
      </c>
      <c r="R107">
        <v>2.42</v>
      </c>
      <c r="S107" t="s">
        <v>27</v>
      </c>
    </row>
    <row r="108" spans="1:19" x14ac:dyDescent="0.3">
      <c r="A108" t="s">
        <v>145</v>
      </c>
      <c r="B108">
        <v>20</v>
      </c>
      <c r="C108" t="s">
        <v>20</v>
      </c>
      <c r="D108">
        <v>3</v>
      </c>
      <c r="E108" t="s">
        <v>21</v>
      </c>
      <c r="F108">
        <v>5.3</v>
      </c>
      <c r="G108">
        <v>8.3000000000000007</v>
      </c>
      <c r="H108">
        <v>3</v>
      </c>
      <c r="I108">
        <v>4</v>
      </c>
      <c r="J108">
        <v>2</v>
      </c>
      <c r="K108">
        <v>9</v>
      </c>
      <c r="L108">
        <v>15.5</v>
      </c>
      <c r="M108">
        <v>96</v>
      </c>
      <c r="N108">
        <v>4</v>
      </c>
      <c r="O108" t="s">
        <v>33</v>
      </c>
      <c r="P108">
        <v>3</v>
      </c>
      <c r="Q108" t="s">
        <v>26</v>
      </c>
      <c r="R108">
        <v>3.53</v>
      </c>
      <c r="S108" t="s">
        <v>20</v>
      </c>
    </row>
    <row r="109" spans="1:19" x14ac:dyDescent="0.3">
      <c r="A109" t="s">
        <v>146</v>
      </c>
      <c r="B109">
        <v>21</v>
      </c>
      <c r="C109" t="s">
        <v>61</v>
      </c>
      <c r="D109">
        <v>4</v>
      </c>
      <c r="E109" t="s">
        <v>32</v>
      </c>
      <c r="F109">
        <v>5.3</v>
      </c>
      <c r="G109">
        <v>4.5999999999999996</v>
      </c>
      <c r="H109">
        <v>4</v>
      </c>
      <c r="I109">
        <v>3</v>
      </c>
      <c r="J109">
        <v>0</v>
      </c>
      <c r="K109">
        <v>7</v>
      </c>
      <c r="L109">
        <v>25.4</v>
      </c>
      <c r="M109">
        <v>72.900000000000006</v>
      </c>
      <c r="N109">
        <v>3</v>
      </c>
      <c r="O109" t="s">
        <v>22</v>
      </c>
      <c r="P109">
        <v>5</v>
      </c>
      <c r="Q109" t="s">
        <v>23</v>
      </c>
      <c r="R109">
        <v>2.96</v>
      </c>
      <c r="S109" t="s">
        <v>61</v>
      </c>
    </row>
    <row r="110" spans="1:19" x14ac:dyDescent="0.3">
      <c r="A110" t="s">
        <v>147</v>
      </c>
      <c r="B110">
        <v>23</v>
      </c>
      <c r="C110" t="s">
        <v>27</v>
      </c>
      <c r="D110">
        <v>1</v>
      </c>
      <c r="E110" t="s">
        <v>21</v>
      </c>
      <c r="F110">
        <v>7.9</v>
      </c>
      <c r="G110">
        <v>4.2</v>
      </c>
      <c r="H110">
        <v>0</v>
      </c>
      <c r="I110">
        <v>6</v>
      </c>
      <c r="J110">
        <v>3</v>
      </c>
      <c r="K110">
        <v>9</v>
      </c>
      <c r="L110">
        <v>29.3</v>
      </c>
      <c r="M110">
        <v>84</v>
      </c>
      <c r="N110">
        <v>4</v>
      </c>
      <c r="O110" t="s">
        <v>33</v>
      </c>
      <c r="P110">
        <v>3</v>
      </c>
      <c r="Q110" t="s">
        <v>23</v>
      </c>
      <c r="R110">
        <v>3.32</v>
      </c>
      <c r="S110" t="s">
        <v>27</v>
      </c>
    </row>
    <row r="111" spans="1:19" x14ac:dyDescent="0.3">
      <c r="A111" t="s">
        <v>148</v>
      </c>
      <c r="B111">
        <v>18</v>
      </c>
      <c r="C111" t="s">
        <v>20</v>
      </c>
      <c r="D111">
        <v>2</v>
      </c>
      <c r="E111" t="s">
        <v>47</v>
      </c>
      <c r="F111">
        <v>7.2</v>
      </c>
      <c r="G111">
        <v>3.1</v>
      </c>
      <c r="H111">
        <v>0</v>
      </c>
      <c r="I111">
        <v>5</v>
      </c>
      <c r="J111">
        <v>5</v>
      </c>
      <c r="K111">
        <v>10</v>
      </c>
      <c r="L111">
        <v>13.1</v>
      </c>
      <c r="M111">
        <v>84.3</v>
      </c>
      <c r="N111">
        <v>2</v>
      </c>
      <c r="O111" t="s">
        <v>22</v>
      </c>
      <c r="P111">
        <v>3</v>
      </c>
      <c r="Q111" t="s">
        <v>51</v>
      </c>
      <c r="R111">
        <v>2.74</v>
      </c>
      <c r="S111" t="s">
        <v>20</v>
      </c>
    </row>
    <row r="112" spans="1:19" x14ac:dyDescent="0.3">
      <c r="A112" t="s">
        <v>149</v>
      </c>
      <c r="B112">
        <v>22</v>
      </c>
      <c r="C112" t="s">
        <v>45</v>
      </c>
      <c r="D112">
        <v>4</v>
      </c>
      <c r="E112" t="s">
        <v>35</v>
      </c>
      <c r="F112">
        <v>7.3</v>
      </c>
      <c r="G112">
        <v>4</v>
      </c>
      <c r="H112">
        <v>0</v>
      </c>
      <c r="I112">
        <v>6</v>
      </c>
      <c r="J112">
        <v>8</v>
      </c>
      <c r="K112">
        <v>13</v>
      </c>
      <c r="L112">
        <v>13.2</v>
      </c>
      <c r="M112">
        <v>84.4</v>
      </c>
      <c r="N112">
        <v>5</v>
      </c>
      <c r="O112" t="s">
        <v>33</v>
      </c>
      <c r="P112">
        <v>3</v>
      </c>
      <c r="Q112" t="s">
        <v>23</v>
      </c>
      <c r="R112">
        <v>3.23</v>
      </c>
      <c r="S112" t="s">
        <v>20</v>
      </c>
    </row>
    <row r="113" spans="1:19" x14ac:dyDescent="0.3">
      <c r="A113" t="s">
        <v>150</v>
      </c>
      <c r="B113">
        <v>22</v>
      </c>
      <c r="C113" t="s">
        <v>61</v>
      </c>
      <c r="D113">
        <v>2</v>
      </c>
      <c r="E113" t="s">
        <v>30</v>
      </c>
      <c r="F113">
        <v>8.1999999999999993</v>
      </c>
      <c r="G113">
        <v>3</v>
      </c>
      <c r="H113">
        <v>3</v>
      </c>
      <c r="I113">
        <v>13</v>
      </c>
      <c r="J113">
        <v>9</v>
      </c>
      <c r="K113">
        <v>16</v>
      </c>
      <c r="L113">
        <v>13.9</v>
      </c>
      <c r="M113">
        <v>92.8</v>
      </c>
      <c r="N113">
        <v>2</v>
      </c>
      <c r="O113" t="s">
        <v>22</v>
      </c>
      <c r="P113">
        <v>2</v>
      </c>
      <c r="Q113" t="s">
        <v>51</v>
      </c>
      <c r="R113">
        <v>3.06</v>
      </c>
      <c r="S113" t="s">
        <v>61</v>
      </c>
    </row>
    <row r="114" spans="1:19" x14ac:dyDescent="0.3">
      <c r="A114" t="s">
        <v>151</v>
      </c>
      <c r="B114">
        <v>20</v>
      </c>
      <c r="C114" t="s">
        <v>27</v>
      </c>
      <c r="D114">
        <v>4</v>
      </c>
      <c r="E114" t="s">
        <v>49</v>
      </c>
      <c r="F114">
        <v>9.6999999999999993</v>
      </c>
      <c r="G114">
        <v>6.6</v>
      </c>
      <c r="H114">
        <v>4</v>
      </c>
      <c r="I114">
        <v>8</v>
      </c>
      <c r="J114">
        <v>10</v>
      </c>
      <c r="K114">
        <v>14</v>
      </c>
      <c r="L114">
        <v>6</v>
      </c>
      <c r="M114">
        <v>81.599999999999994</v>
      </c>
      <c r="N114">
        <v>5</v>
      </c>
      <c r="O114" t="s">
        <v>33</v>
      </c>
      <c r="P114">
        <v>3</v>
      </c>
      <c r="Q114" t="s">
        <v>23</v>
      </c>
      <c r="R114">
        <v>2.58</v>
      </c>
      <c r="S114" t="s">
        <v>27</v>
      </c>
    </row>
    <row r="115" spans="1:19" x14ac:dyDescent="0.3">
      <c r="A115" t="s">
        <v>152</v>
      </c>
      <c r="B115">
        <v>18</v>
      </c>
      <c r="C115" t="s">
        <v>25</v>
      </c>
      <c r="D115">
        <v>3</v>
      </c>
      <c r="E115" t="s">
        <v>49</v>
      </c>
      <c r="F115">
        <v>4.3</v>
      </c>
      <c r="G115">
        <v>3.6</v>
      </c>
      <c r="H115">
        <v>1</v>
      </c>
      <c r="I115">
        <v>3</v>
      </c>
      <c r="J115">
        <v>3</v>
      </c>
      <c r="K115">
        <v>5</v>
      </c>
      <c r="L115">
        <v>20.100000000000001</v>
      </c>
      <c r="M115">
        <v>94.1</v>
      </c>
      <c r="N115">
        <v>3</v>
      </c>
      <c r="O115" t="s">
        <v>22</v>
      </c>
      <c r="P115">
        <v>4</v>
      </c>
      <c r="Q115" t="s">
        <v>23</v>
      </c>
      <c r="R115">
        <v>2.61</v>
      </c>
      <c r="S115" t="s">
        <v>27</v>
      </c>
    </row>
    <row r="116" spans="1:19" x14ac:dyDescent="0.3">
      <c r="A116" t="s">
        <v>153</v>
      </c>
      <c r="B116">
        <v>22</v>
      </c>
      <c r="C116" t="s">
        <v>20</v>
      </c>
      <c r="D116">
        <v>4</v>
      </c>
      <c r="E116" t="s">
        <v>32</v>
      </c>
      <c r="F116">
        <v>6</v>
      </c>
      <c r="G116">
        <v>2.7</v>
      </c>
      <c r="H116">
        <v>1</v>
      </c>
      <c r="I116">
        <v>12</v>
      </c>
      <c r="J116">
        <v>9</v>
      </c>
      <c r="K116">
        <v>24</v>
      </c>
      <c r="L116">
        <v>12.8</v>
      </c>
      <c r="M116">
        <v>74.3</v>
      </c>
      <c r="O116" t="s">
        <v>22</v>
      </c>
      <c r="P116">
        <v>1</v>
      </c>
      <c r="Q116" t="s">
        <v>23</v>
      </c>
      <c r="R116">
        <v>2.91</v>
      </c>
      <c r="S116" t="s">
        <v>20</v>
      </c>
    </row>
    <row r="117" spans="1:19" x14ac:dyDescent="0.3">
      <c r="A117" t="s">
        <v>154</v>
      </c>
      <c r="B117">
        <v>20</v>
      </c>
      <c r="C117" t="s">
        <v>25</v>
      </c>
      <c r="D117">
        <v>2</v>
      </c>
      <c r="E117" t="s">
        <v>30</v>
      </c>
      <c r="F117">
        <v>5.2</v>
      </c>
      <c r="G117">
        <v>7.9</v>
      </c>
      <c r="H117">
        <v>3</v>
      </c>
      <c r="I117">
        <v>4</v>
      </c>
      <c r="J117">
        <v>2</v>
      </c>
      <c r="K117">
        <v>12</v>
      </c>
      <c r="L117">
        <v>20</v>
      </c>
      <c r="M117">
        <v>65.8</v>
      </c>
      <c r="N117">
        <v>3</v>
      </c>
      <c r="O117" t="s">
        <v>22</v>
      </c>
      <c r="P117">
        <v>4</v>
      </c>
      <c r="Q117" t="s">
        <v>51</v>
      </c>
      <c r="R117">
        <v>3.08</v>
      </c>
      <c r="S117" t="s">
        <v>27</v>
      </c>
    </row>
    <row r="118" spans="1:19" x14ac:dyDescent="0.3">
      <c r="A118" t="s">
        <v>155</v>
      </c>
      <c r="B118">
        <v>22</v>
      </c>
      <c r="C118" t="s">
        <v>27</v>
      </c>
      <c r="D118">
        <v>2</v>
      </c>
      <c r="E118" t="s">
        <v>47</v>
      </c>
      <c r="F118">
        <v>5.7</v>
      </c>
      <c r="G118">
        <v>2</v>
      </c>
      <c r="H118">
        <v>1</v>
      </c>
      <c r="I118">
        <v>8</v>
      </c>
      <c r="J118">
        <v>9</v>
      </c>
      <c r="K118">
        <v>15</v>
      </c>
      <c r="L118">
        <v>21.2</v>
      </c>
      <c r="M118">
        <v>72.8</v>
      </c>
      <c r="N118">
        <v>2</v>
      </c>
      <c r="O118" t="s">
        <v>22</v>
      </c>
      <c r="P118">
        <v>2</v>
      </c>
      <c r="Q118" t="s">
        <v>23</v>
      </c>
      <c r="R118">
        <v>2.77</v>
      </c>
      <c r="S118" t="s">
        <v>27</v>
      </c>
    </row>
    <row r="119" spans="1:19" x14ac:dyDescent="0.3">
      <c r="A119" t="s">
        <v>156</v>
      </c>
      <c r="B119">
        <v>22</v>
      </c>
      <c r="C119" t="s">
        <v>20</v>
      </c>
      <c r="D119">
        <v>1</v>
      </c>
      <c r="E119" t="s">
        <v>63</v>
      </c>
      <c r="F119">
        <v>5</v>
      </c>
      <c r="G119">
        <v>4.7</v>
      </c>
      <c r="H119">
        <v>4</v>
      </c>
      <c r="I119">
        <v>10</v>
      </c>
      <c r="J119">
        <v>13</v>
      </c>
      <c r="K119">
        <v>21</v>
      </c>
      <c r="L119">
        <v>3.4</v>
      </c>
      <c r="M119">
        <v>61</v>
      </c>
      <c r="N119">
        <v>3</v>
      </c>
      <c r="O119" t="s">
        <v>33</v>
      </c>
      <c r="P119">
        <v>3</v>
      </c>
      <c r="Q119" t="s">
        <v>51</v>
      </c>
      <c r="R119">
        <v>2.44</v>
      </c>
      <c r="S119" t="s">
        <v>20</v>
      </c>
    </row>
    <row r="120" spans="1:19" x14ac:dyDescent="0.3">
      <c r="A120" t="s">
        <v>157</v>
      </c>
      <c r="B120">
        <v>25</v>
      </c>
      <c r="C120" t="s">
        <v>20</v>
      </c>
      <c r="D120">
        <v>1</v>
      </c>
      <c r="E120" t="s">
        <v>49</v>
      </c>
      <c r="F120">
        <v>6.4</v>
      </c>
      <c r="G120">
        <v>1</v>
      </c>
      <c r="H120">
        <v>6</v>
      </c>
      <c r="I120">
        <v>4</v>
      </c>
      <c r="J120">
        <v>1</v>
      </c>
      <c r="K120">
        <v>2</v>
      </c>
      <c r="L120">
        <v>80.8</v>
      </c>
      <c r="M120">
        <v>100</v>
      </c>
      <c r="N120">
        <v>4</v>
      </c>
      <c r="O120" t="s">
        <v>22</v>
      </c>
      <c r="P120">
        <v>2</v>
      </c>
      <c r="Q120" t="s">
        <v>51</v>
      </c>
      <c r="R120">
        <v>4</v>
      </c>
      <c r="S120" t="s">
        <v>20</v>
      </c>
    </row>
    <row r="121" spans="1:19" x14ac:dyDescent="0.3">
      <c r="A121" t="s">
        <v>158</v>
      </c>
      <c r="B121">
        <v>21</v>
      </c>
      <c r="C121" t="s">
        <v>27</v>
      </c>
      <c r="D121">
        <v>4</v>
      </c>
      <c r="E121" t="s">
        <v>35</v>
      </c>
      <c r="F121">
        <v>5</v>
      </c>
      <c r="G121">
        <v>1.4</v>
      </c>
      <c r="H121">
        <v>4</v>
      </c>
      <c r="I121">
        <v>6</v>
      </c>
      <c r="J121">
        <v>5</v>
      </c>
      <c r="K121">
        <v>4</v>
      </c>
      <c r="L121">
        <v>13.1</v>
      </c>
      <c r="M121">
        <v>72.900000000000006</v>
      </c>
      <c r="N121">
        <v>4</v>
      </c>
      <c r="O121" t="s">
        <v>33</v>
      </c>
      <c r="P121">
        <v>3</v>
      </c>
      <c r="Q121" t="s">
        <v>23</v>
      </c>
      <c r="R121">
        <v>2.52</v>
      </c>
      <c r="S121" t="s">
        <v>27</v>
      </c>
    </row>
    <row r="122" spans="1:19" x14ac:dyDescent="0.3">
      <c r="A122" t="s">
        <v>159</v>
      </c>
      <c r="B122">
        <v>19</v>
      </c>
      <c r="C122" t="s">
        <v>45</v>
      </c>
      <c r="D122">
        <v>1</v>
      </c>
      <c r="E122" t="s">
        <v>63</v>
      </c>
      <c r="F122">
        <v>7</v>
      </c>
      <c r="G122">
        <v>3.3</v>
      </c>
      <c r="H122">
        <v>5</v>
      </c>
      <c r="I122">
        <v>15</v>
      </c>
      <c r="J122">
        <v>14</v>
      </c>
      <c r="K122">
        <v>20</v>
      </c>
      <c r="L122">
        <v>21.2</v>
      </c>
      <c r="M122">
        <v>70</v>
      </c>
      <c r="N122">
        <v>2</v>
      </c>
      <c r="O122" t="s">
        <v>22</v>
      </c>
      <c r="P122">
        <v>4</v>
      </c>
      <c r="Q122" t="s">
        <v>26</v>
      </c>
      <c r="R122">
        <v>3.31</v>
      </c>
      <c r="S122" t="s">
        <v>20</v>
      </c>
    </row>
    <row r="123" spans="1:19" x14ac:dyDescent="0.3">
      <c r="A123" t="s">
        <v>160</v>
      </c>
      <c r="B123">
        <v>22</v>
      </c>
      <c r="C123" t="s">
        <v>27</v>
      </c>
      <c r="D123">
        <v>1</v>
      </c>
      <c r="E123" t="s">
        <v>21</v>
      </c>
      <c r="F123">
        <v>7.4</v>
      </c>
      <c r="G123">
        <v>2.9</v>
      </c>
      <c r="H123">
        <v>3</v>
      </c>
      <c r="I123">
        <v>15</v>
      </c>
      <c r="J123">
        <v>9</v>
      </c>
      <c r="K123">
        <v>15</v>
      </c>
      <c r="L123">
        <v>20</v>
      </c>
      <c r="M123">
        <v>86.1</v>
      </c>
      <c r="N123">
        <v>4</v>
      </c>
      <c r="O123" t="s">
        <v>33</v>
      </c>
      <c r="P123">
        <v>3</v>
      </c>
      <c r="Q123" t="s">
        <v>26</v>
      </c>
      <c r="R123">
        <v>3</v>
      </c>
      <c r="S123" t="s">
        <v>27</v>
      </c>
    </row>
    <row r="124" spans="1:19" x14ac:dyDescent="0.3">
      <c r="A124" t="s">
        <v>161</v>
      </c>
      <c r="B124">
        <v>22</v>
      </c>
      <c r="C124" t="s">
        <v>27</v>
      </c>
      <c r="D124">
        <v>1</v>
      </c>
      <c r="E124" t="s">
        <v>49</v>
      </c>
      <c r="F124">
        <v>6.9</v>
      </c>
      <c r="G124">
        <v>2.9</v>
      </c>
      <c r="H124">
        <v>4</v>
      </c>
      <c r="I124">
        <v>7</v>
      </c>
      <c r="J124">
        <v>8</v>
      </c>
      <c r="K124">
        <v>12</v>
      </c>
      <c r="L124">
        <v>28.7</v>
      </c>
      <c r="M124">
        <v>65</v>
      </c>
      <c r="N124">
        <v>5</v>
      </c>
      <c r="O124" t="s">
        <v>33</v>
      </c>
      <c r="P124">
        <v>2</v>
      </c>
      <c r="Q124" t="s">
        <v>23</v>
      </c>
      <c r="R124">
        <v>3.03</v>
      </c>
      <c r="S124" t="s">
        <v>27</v>
      </c>
    </row>
    <row r="125" spans="1:19" x14ac:dyDescent="0.3">
      <c r="A125" t="s">
        <v>162</v>
      </c>
      <c r="B125">
        <v>24</v>
      </c>
      <c r="C125" t="s">
        <v>20</v>
      </c>
      <c r="D125">
        <v>1</v>
      </c>
      <c r="E125" t="s">
        <v>21</v>
      </c>
      <c r="F125">
        <v>6.6</v>
      </c>
      <c r="G125">
        <v>7.1</v>
      </c>
      <c r="H125">
        <v>1</v>
      </c>
      <c r="I125">
        <v>2</v>
      </c>
      <c r="J125">
        <v>6</v>
      </c>
      <c r="K125">
        <v>9</v>
      </c>
      <c r="L125">
        <v>16.600000000000001</v>
      </c>
      <c r="M125">
        <v>88.2</v>
      </c>
      <c r="N125">
        <v>4</v>
      </c>
      <c r="O125" t="s">
        <v>22</v>
      </c>
      <c r="P125">
        <v>2</v>
      </c>
      <c r="Q125" t="s">
        <v>26</v>
      </c>
      <c r="R125">
        <v>3.24</v>
      </c>
      <c r="S125" t="s">
        <v>20</v>
      </c>
    </row>
    <row r="126" spans="1:19" x14ac:dyDescent="0.3">
      <c r="A126" t="s">
        <v>163</v>
      </c>
      <c r="B126">
        <v>23</v>
      </c>
      <c r="C126" t="s">
        <v>39</v>
      </c>
      <c r="D126">
        <v>4</v>
      </c>
      <c r="E126" t="s">
        <v>63</v>
      </c>
      <c r="F126">
        <v>6.5</v>
      </c>
      <c r="G126">
        <v>7.3</v>
      </c>
      <c r="H126">
        <v>0</v>
      </c>
      <c r="I126">
        <v>3</v>
      </c>
      <c r="J126">
        <v>4</v>
      </c>
      <c r="K126">
        <v>11</v>
      </c>
      <c r="L126">
        <v>2.6</v>
      </c>
      <c r="M126">
        <v>72.599999999999994</v>
      </c>
      <c r="N126">
        <v>3</v>
      </c>
      <c r="O126" t="s">
        <v>33</v>
      </c>
      <c r="P126">
        <v>4</v>
      </c>
      <c r="Q126" t="s">
        <v>23</v>
      </c>
      <c r="R126">
        <v>2.59</v>
      </c>
      <c r="S126" t="s">
        <v>27</v>
      </c>
    </row>
    <row r="127" spans="1:19" x14ac:dyDescent="0.3">
      <c r="A127" t="s">
        <v>164</v>
      </c>
      <c r="B127">
        <v>22</v>
      </c>
      <c r="C127" t="s">
        <v>25</v>
      </c>
      <c r="D127">
        <v>2</v>
      </c>
      <c r="E127" t="s">
        <v>30</v>
      </c>
      <c r="F127">
        <v>5.6</v>
      </c>
      <c r="G127">
        <v>5.3</v>
      </c>
      <c r="H127">
        <v>3</v>
      </c>
      <c r="I127">
        <v>10</v>
      </c>
      <c r="J127">
        <v>10</v>
      </c>
      <c r="K127">
        <v>13</v>
      </c>
      <c r="L127">
        <v>18.8</v>
      </c>
      <c r="M127">
        <v>96.8</v>
      </c>
      <c r="N127">
        <v>1</v>
      </c>
      <c r="O127" t="s">
        <v>22</v>
      </c>
      <c r="P127">
        <v>2</v>
      </c>
      <c r="Q127" t="s">
        <v>23</v>
      </c>
      <c r="R127">
        <v>2.2999999999999998</v>
      </c>
      <c r="S127" t="s">
        <v>27</v>
      </c>
    </row>
    <row r="128" spans="1:19" x14ac:dyDescent="0.3">
      <c r="A128" t="s">
        <v>165</v>
      </c>
      <c r="B128">
        <v>25</v>
      </c>
      <c r="C128" t="s">
        <v>29</v>
      </c>
      <c r="D128">
        <v>5</v>
      </c>
      <c r="E128" t="s">
        <v>21</v>
      </c>
      <c r="F128">
        <v>9.6</v>
      </c>
      <c r="G128">
        <v>2</v>
      </c>
      <c r="H128">
        <v>0</v>
      </c>
      <c r="I128">
        <v>5</v>
      </c>
      <c r="J128">
        <v>9</v>
      </c>
      <c r="K128">
        <v>13</v>
      </c>
      <c r="L128">
        <v>18.600000000000001</v>
      </c>
      <c r="M128">
        <v>77.400000000000006</v>
      </c>
      <c r="N128">
        <v>5</v>
      </c>
      <c r="O128" t="s">
        <v>33</v>
      </c>
      <c r="P128">
        <v>4</v>
      </c>
      <c r="Q128" t="s">
        <v>51</v>
      </c>
      <c r="R128">
        <v>2.84</v>
      </c>
      <c r="S128" t="s">
        <v>29</v>
      </c>
    </row>
    <row r="129" spans="1:19" x14ac:dyDescent="0.3">
      <c r="A129" t="s">
        <v>166</v>
      </c>
      <c r="B129">
        <v>19</v>
      </c>
      <c r="C129" t="s">
        <v>27</v>
      </c>
      <c r="D129">
        <v>1</v>
      </c>
      <c r="E129" t="s">
        <v>47</v>
      </c>
      <c r="F129">
        <v>6.4</v>
      </c>
      <c r="G129">
        <v>4</v>
      </c>
      <c r="H129">
        <v>5</v>
      </c>
      <c r="I129">
        <v>6</v>
      </c>
      <c r="J129">
        <v>10</v>
      </c>
      <c r="K129">
        <v>13</v>
      </c>
      <c r="L129">
        <v>14.3</v>
      </c>
      <c r="M129">
        <v>88.8</v>
      </c>
      <c r="N129">
        <v>3</v>
      </c>
      <c r="O129" t="s">
        <v>22</v>
      </c>
      <c r="P129">
        <v>3</v>
      </c>
      <c r="Q129" t="s">
        <v>51</v>
      </c>
      <c r="R129">
        <v>2.76</v>
      </c>
      <c r="S129" t="s">
        <v>27</v>
      </c>
    </row>
    <row r="130" spans="1:19" x14ac:dyDescent="0.3">
      <c r="A130" t="s">
        <v>167</v>
      </c>
      <c r="B130">
        <v>20</v>
      </c>
      <c r="C130" t="s">
        <v>20</v>
      </c>
      <c r="D130">
        <v>3</v>
      </c>
      <c r="E130" t="s">
        <v>30</v>
      </c>
      <c r="F130">
        <v>3</v>
      </c>
      <c r="G130">
        <v>12.8</v>
      </c>
      <c r="H130">
        <v>4</v>
      </c>
      <c r="I130">
        <v>3</v>
      </c>
      <c r="J130">
        <v>4</v>
      </c>
      <c r="K130">
        <v>10</v>
      </c>
      <c r="L130">
        <v>20.8</v>
      </c>
      <c r="M130">
        <v>80.3</v>
      </c>
      <c r="N130">
        <v>3</v>
      </c>
      <c r="O130" t="s">
        <v>22</v>
      </c>
      <c r="P130">
        <v>2</v>
      </c>
      <c r="Q130" t="s">
        <v>23</v>
      </c>
      <c r="R130">
        <v>3.39</v>
      </c>
      <c r="S130" t="s">
        <v>20</v>
      </c>
    </row>
    <row r="131" spans="1:19" x14ac:dyDescent="0.3">
      <c r="A131" t="s">
        <v>168</v>
      </c>
      <c r="B131">
        <v>20</v>
      </c>
      <c r="C131" t="s">
        <v>27</v>
      </c>
      <c r="D131">
        <v>2</v>
      </c>
      <c r="E131" t="s">
        <v>47</v>
      </c>
      <c r="F131">
        <v>3.2</v>
      </c>
      <c r="G131">
        <v>16</v>
      </c>
      <c r="H131">
        <v>6</v>
      </c>
      <c r="I131">
        <v>3</v>
      </c>
      <c r="J131">
        <v>3</v>
      </c>
      <c r="K131">
        <v>7</v>
      </c>
      <c r="L131">
        <v>19.100000000000001</v>
      </c>
      <c r="M131">
        <v>93.4</v>
      </c>
      <c r="N131">
        <v>4</v>
      </c>
      <c r="O131" t="s">
        <v>22</v>
      </c>
      <c r="P131">
        <v>4</v>
      </c>
      <c r="Q131" t="s">
        <v>26</v>
      </c>
      <c r="R131">
        <v>3.47</v>
      </c>
      <c r="S131" t="s">
        <v>27</v>
      </c>
    </row>
    <row r="132" spans="1:19" x14ac:dyDescent="0.3">
      <c r="A132" t="s">
        <v>169</v>
      </c>
      <c r="B132">
        <v>21</v>
      </c>
      <c r="C132" t="s">
        <v>20</v>
      </c>
      <c r="D132">
        <v>2</v>
      </c>
      <c r="E132" t="s">
        <v>21</v>
      </c>
      <c r="F132">
        <v>3.5</v>
      </c>
      <c r="G132">
        <v>7.9</v>
      </c>
      <c r="H132">
        <v>2</v>
      </c>
      <c r="I132">
        <v>7</v>
      </c>
      <c r="J132">
        <v>5</v>
      </c>
      <c r="K132">
        <v>16</v>
      </c>
      <c r="L132">
        <v>5.9</v>
      </c>
      <c r="M132">
        <v>78.599999999999994</v>
      </c>
      <c r="N132">
        <v>3</v>
      </c>
      <c r="O132" t="s">
        <v>33</v>
      </c>
      <c r="P132">
        <v>3</v>
      </c>
      <c r="Q132" t="s">
        <v>26</v>
      </c>
      <c r="R132">
        <v>2.73</v>
      </c>
      <c r="S132" t="s">
        <v>20</v>
      </c>
    </row>
    <row r="133" spans="1:19" x14ac:dyDescent="0.3">
      <c r="A133" t="s">
        <v>170</v>
      </c>
      <c r="B133">
        <v>19</v>
      </c>
      <c r="C133" t="s">
        <v>29</v>
      </c>
      <c r="D133">
        <v>4</v>
      </c>
      <c r="E133" t="s">
        <v>63</v>
      </c>
      <c r="F133">
        <v>6.1</v>
      </c>
      <c r="G133">
        <v>2</v>
      </c>
      <c r="H133">
        <v>3</v>
      </c>
      <c r="I133">
        <v>2</v>
      </c>
      <c r="J133">
        <v>5</v>
      </c>
      <c r="K133">
        <v>8</v>
      </c>
      <c r="L133">
        <v>23.9</v>
      </c>
      <c r="M133">
        <v>57.4</v>
      </c>
      <c r="N133">
        <v>4</v>
      </c>
      <c r="O133" t="s">
        <v>33</v>
      </c>
      <c r="P133">
        <v>1</v>
      </c>
      <c r="Q133" t="s">
        <v>23</v>
      </c>
      <c r="R133">
        <v>2.94</v>
      </c>
      <c r="S133" t="s">
        <v>29</v>
      </c>
    </row>
    <row r="134" spans="1:19" x14ac:dyDescent="0.3">
      <c r="A134" t="s">
        <v>171</v>
      </c>
      <c r="B134">
        <v>23</v>
      </c>
      <c r="C134" t="s">
        <v>61</v>
      </c>
      <c r="D134">
        <v>5</v>
      </c>
      <c r="E134" t="s">
        <v>47</v>
      </c>
      <c r="F134">
        <v>6.4</v>
      </c>
      <c r="G134">
        <v>4</v>
      </c>
      <c r="H134">
        <v>4</v>
      </c>
      <c r="I134">
        <v>2</v>
      </c>
      <c r="J134">
        <v>1</v>
      </c>
      <c r="K134">
        <v>12</v>
      </c>
      <c r="L134">
        <v>15.6</v>
      </c>
      <c r="M134">
        <v>93.8</v>
      </c>
      <c r="N134">
        <v>1</v>
      </c>
      <c r="O134" t="s">
        <v>33</v>
      </c>
      <c r="P134">
        <v>5</v>
      </c>
      <c r="Q134" t="s">
        <v>26</v>
      </c>
      <c r="R134">
        <v>2.95</v>
      </c>
      <c r="S134" t="s">
        <v>61</v>
      </c>
    </row>
    <row r="135" spans="1:19" x14ac:dyDescent="0.3">
      <c r="A135" t="s">
        <v>172</v>
      </c>
      <c r="B135">
        <v>21</v>
      </c>
      <c r="C135" t="s">
        <v>20</v>
      </c>
      <c r="D135">
        <v>4</v>
      </c>
      <c r="E135" t="s">
        <v>30</v>
      </c>
      <c r="F135">
        <v>6.5</v>
      </c>
      <c r="G135">
        <v>5</v>
      </c>
      <c r="H135">
        <v>1</v>
      </c>
      <c r="I135">
        <v>2</v>
      </c>
      <c r="J135">
        <v>3</v>
      </c>
      <c r="K135">
        <v>5</v>
      </c>
      <c r="L135">
        <v>19.600000000000001</v>
      </c>
      <c r="M135">
        <v>78</v>
      </c>
      <c r="N135">
        <v>4</v>
      </c>
      <c r="O135" t="s">
        <v>33</v>
      </c>
      <c r="P135">
        <v>2</v>
      </c>
      <c r="Q135" t="s">
        <v>23</v>
      </c>
      <c r="R135">
        <v>2.96</v>
      </c>
      <c r="S135" t="s">
        <v>20</v>
      </c>
    </row>
    <row r="136" spans="1:19" x14ac:dyDescent="0.3">
      <c r="A136" t="s">
        <v>173</v>
      </c>
      <c r="B136">
        <v>18</v>
      </c>
      <c r="C136" t="s">
        <v>20</v>
      </c>
      <c r="D136">
        <v>1</v>
      </c>
      <c r="E136" t="s">
        <v>49</v>
      </c>
      <c r="F136">
        <v>8.6</v>
      </c>
      <c r="G136">
        <v>4.5999999999999996</v>
      </c>
      <c r="H136">
        <v>3</v>
      </c>
      <c r="I136">
        <v>8</v>
      </c>
      <c r="J136">
        <v>7</v>
      </c>
      <c r="K136">
        <v>16</v>
      </c>
      <c r="L136">
        <v>13.7</v>
      </c>
      <c r="M136">
        <v>92.1</v>
      </c>
      <c r="N136">
        <v>5</v>
      </c>
      <c r="O136" t="s">
        <v>22</v>
      </c>
      <c r="P136">
        <v>3</v>
      </c>
      <c r="Q136" t="s">
        <v>51</v>
      </c>
      <c r="R136">
        <v>3.6</v>
      </c>
      <c r="S136" t="s">
        <v>20</v>
      </c>
    </row>
    <row r="137" spans="1:19" x14ac:dyDescent="0.3">
      <c r="A137" t="s">
        <v>174</v>
      </c>
      <c r="B137">
        <v>19</v>
      </c>
      <c r="C137" t="s">
        <v>45</v>
      </c>
      <c r="D137">
        <v>2</v>
      </c>
      <c r="E137" t="s">
        <v>21</v>
      </c>
      <c r="F137">
        <v>6</v>
      </c>
      <c r="G137">
        <v>8.4</v>
      </c>
      <c r="H137">
        <v>3</v>
      </c>
      <c r="I137">
        <v>9</v>
      </c>
      <c r="J137">
        <v>7</v>
      </c>
      <c r="K137">
        <v>14</v>
      </c>
      <c r="L137">
        <v>28.3</v>
      </c>
      <c r="M137">
        <v>86.4</v>
      </c>
      <c r="N137">
        <v>5</v>
      </c>
      <c r="O137" t="s">
        <v>33</v>
      </c>
      <c r="P137">
        <v>3</v>
      </c>
      <c r="Q137" t="s">
        <v>23</v>
      </c>
      <c r="R137">
        <v>3</v>
      </c>
      <c r="S137" t="s">
        <v>20</v>
      </c>
    </row>
    <row r="138" spans="1:19" x14ac:dyDescent="0.3">
      <c r="A138" t="s">
        <v>175</v>
      </c>
      <c r="B138">
        <v>22</v>
      </c>
      <c r="C138" t="s">
        <v>20</v>
      </c>
      <c r="D138">
        <v>3</v>
      </c>
      <c r="E138" t="s">
        <v>32</v>
      </c>
      <c r="F138">
        <v>7.1</v>
      </c>
      <c r="G138">
        <v>6.9</v>
      </c>
      <c r="H138">
        <v>6</v>
      </c>
      <c r="I138">
        <v>5</v>
      </c>
      <c r="J138">
        <v>6</v>
      </c>
      <c r="K138">
        <v>10</v>
      </c>
      <c r="L138">
        <v>14.7</v>
      </c>
      <c r="M138">
        <v>65.599999999999994</v>
      </c>
      <c r="N138">
        <v>5</v>
      </c>
      <c r="O138" t="s">
        <v>33</v>
      </c>
      <c r="P138">
        <v>3</v>
      </c>
      <c r="Q138" t="s">
        <v>23</v>
      </c>
      <c r="R138">
        <v>2.2999999999999998</v>
      </c>
      <c r="S138" t="s">
        <v>20</v>
      </c>
    </row>
    <row r="139" spans="1:19" x14ac:dyDescent="0.3">
      <c r="A139" t="s">
        <v>176</v>
      </c>
      <c r="B139">
        <v>23</v>
      </c>
      <c r="C139" t="s">
        <v>27</v>
      </c>
      <c r="D139">
        <v>2</v>
      </c>
      <c r="E139" t="s">
        <v>49</v>
      </c>
      <c r="F139">
        <v>5.2</v>
      </c>
      <c r="G139">
        <v>1.9</v>
      </c>
      <c r="H139">
        <v>4</v>
      </c>
      <c r="I139">
        <v>5</v>
      </c>
      <c r="J139">
        <v>10</v>
      </c>
      <c r="K139">
        <v>14</v>
      </c>
      <c r="L139">
        <v>14.9</v>
      </c>
      <c r="M139">
        <v>65.7</v>
      </c>
      <c r="N139">
        <v>5</v>
      </c>
      <c r="O139" t="s">
        <v>33</v>
      </c>
      <c r="P139">
        <v>4</v>
      </c>
      <c r="Q139" t="s">
        <v>23</v>
      </c>
      <c r="R139">
        <v>2.89</v>
      </c>
      <c r="S139" t="s">
        <v>27</v>
      </c>
    </row>
    <row r="140" spans="1:19" x14ac:dyDescent="0.3">
      <c r="A140" t="s">
        <v>177</v>
      </c>
      <c r="B140">
        <v>26</v>
      </c>
      <c r="C140" t="s">
        <v>20</v>
      </c>
      <c r="D140">
        <v>4</v>
      </c>
      <c r="E140" t="s">
        <v>47</v>
      </c>
      <c r="F140">
        <v>5.7</v>
      </c>
      <c r="G140">
        <v>2.8</v>
      </c>
      <c r="H140">
        <v>0</v>
      </c>
      <c r="I140">
        <v>11</v>
      </c>
      <c r="J140">
        <v>9</v>
      </c>
      <c r="K140">
        <v>15</v>
      </c>
      <c r="L140">
        <v>15</v>
      </c>
      <c r="M140">
        <v>91.7</v>
      </c>
      <c r="N140">
        <v>3</v>
      </c>
      <c r="O140" t="s">
        <v>22</v>
      </c>
      <c r="P140">
        <v>1</v>
      </c>
      <c r="Q140" t="s">
        <v>51</v>
      </c>
      <c r="R140">
        <v>3.23</v>
      </c>
      <c r="S140" t="s">
        <v>20</v>
      </c>
    </row>
    <row r="141" spans="1:19" x14ac:dyDescent="0.3">
      <c r="A141" t="s">
        <v>178</v>
      </c>
      <c r="B141">
        <v>28</v>
      </c>
      <c r="C141" t="s">
        <v>27</v>
      </c>
      <c r="D141">
        <v>3</v>
      </c>
      <c r="E141" t="s">
        <v>30</v>
      </c>
      <c r="F141">
        <v>5.8</v>
      </c>
      <c r="G141">
        <v>7.9</v>
      </c>
      <c r="H141">
        <v>3</v>
      </c>
      <c r="I141">
        <v>12</v>
      </c>
      <c r="J141">
        <v>9</v>
      </c>
      <c r="K141">
        <v>9</v>
      </c>
      <c r="L141">
        <v>19.7</v>
      </c>
      <c r="M141">
        <v>77.3</v>
      </c>
      <c r="N141">
        <v>5</v>
      </c>
      <c r="O141" t="s">
        <v>33</v>
      </c>
      <c r="P141">
        <v>5</v>
      </c>
      <c r="Q141" t="s">
        <v>23</v>
      </c>
      <c r="R141">
        <v>3.14</v>
      </c>
      <c r="S141" t="s">
        <v>27</v>
      </c>
    </row>
    <row r="142" spans="1:19" x14ac:dyDescent="0.3">
      <c r="A142" t="s">
        <v>179</v>
      </c>
      <c r="B142">
        <v>22</v>
      </c>
      <c r="C142" t="s">
        <v>27</v>
      </c>
      <c r="D142">
        <v>3</v>
      </c>
      <c r="E142" t="s">
        <v>30</v>
      </c>
      <c r="F142">
        <v>5.6</v>
      </c>
      <c r="G142">
        <v>10.1</v>
      </c>
      <c r="H142">
        <v>3</v>
      </c>
      <c r="I142">
        <v>4</v>
      </c>
      <c r="J142">
        <v>7</v>
      </c>
      <c r="K142">
        <v>1</v>
      </c>
      <c r="L142">
        <v>27.1</v>
      </c>
      <c r="M142">
        <v>90.4</v>
      </c>
      <c r="N142">
        <v>5</v>
      </c>
      <c r="O142" t="s">
        <v>33</v>
      </c>
      <c r="P142">
        <v>4</v>
      </c>
      <c r="Q142" t="s">
        <v>23</v>
      </c>
      <c r="R142">
        <v>3.28</v>
      </c>
      <c r="S142" t="s">
        <v>27</v>
      </c>
    </row>
    <row r="143" spans="1:19" x14ac:dyDescent="0.3">
      <c r="A143" t="s">
        <v>180</v>
      </c>
      <c r="B143">
        <v>19</v>
      </c>
      <c r="C143" t="s">
        <v>27</v>
      </c>
      <c r="D143">
        <v>4</v>
      </c>
      <c r="E143" t="s">
        <v>49</v>
      </c>
      <c r="F143">
        <v>3.9</v>
      </c>
      <c r="G143">
        <v>5.0999999999999996</v>
      </c>
      <c r="H143">
        <v>1</v>
      </c>
      <c r="I143">
        <v>13</v>
      </c>
      <c r="J143">
        <v>11</v>
      </c>
      <c r="K143">
        <v>22</v>
      </c>
      <c r="L143">
        <v>21.8</v>
      </c>
      <c r="M143">
        <v>80</v>
      </c>
      <c r="N143">
        <v>3</v>
      </c>
      <c r="O143" t="s">
        <v>22</v>
      </c>
      <c r="P143">
        <v>5</v>
      </c>
      <c r="Q143" t="s">
        <v>26</v>
      </c>
      <c r="R143">
        <v>3.12</v>
      </c>
      <c r="S143" t="s">
        <v>27</v>
      </c>
    </row>
    <row r="144" spans="1:19" x14ac:dyDescent="0.3">
      <c r="A144" t="s">
        <v>181</v>
      </c>
      <c r="B144">
        <v>17</v>
      </c>
      <c r="C144" t="s">
        <v>20</v>
      </c>
      <c r="D144">
        <v>4</v>
      </c>
      <c r="E144" t="s">
        <v>32</v>
      </c>
      <c r="F144">
        <v>5.5</v>
      </c>
      <c r="G144">
        <v>10.8</v>
      </c>
      <c r="H144">
        <v>2</v>
      </c>
      <c r="I144">
        <v>17</v>
      </c>
      <c r="J144">
        <v>16</v>
      </c>
      <c r="K144">
        <v>27</v>
      </c>
      <c r="L144">
        <v>20.2</v>
      </c>
      <c r="M144">
        <v>95.3</v>
      </c>
      <c r="N144">
        <v>3</v>
      </c>
      <c r="O144" t="s">
        <v>33</v>
      </c>
      <c r="P144">
        <v>4</v>
      </c>
      <c r="Q144" t="s">
        <v>23</v>
      </c>
      <c r="R144">
        <v>2.77</v>
      </c>
      <c r="S144" t="s">
        <v>20</v>
      </c>
    </row>
    <row r="145" spans="1:19" x14ac:dyDescent="0.3">
      <c r="A145" t="s">
        <v>182</v>
      </c>
      <c r="B145">
        <v>22</v>
      </c>
      <c r="C145" t="s">
        <v>20</v>
      </c>
      <c r="D145">
        <v>1</v>
      </c>
      <c r="E145" t="s">
        <v>21</v>
      </c>
      <c r="F145">
        <v>6.2</v>
      </c>
      <c r="G145">
        <v>4.7</v>
      </c>
      <c r="H145">
        <v>2</v>
      </c>
      <c r="I145">
        <v>8</v>
      </c>
      <c r="J145">
        <v>8</v>
      </c>
      <c r="K145">
        <v>19</v>
      </c>
      <c r="L145">
        <v>20.100000000000001</v>
      </c>
      <c r="M145">
        <v>82</v>
      </c>
      <c r="N145">
        <v>2</v>
      </c>
      <c r="O145" t="s">
        <v>22</v>
      </c>
      <c r="P145">
        <v>5</v>
      </c>
      <c r="Q145" t="s">
        <v>26</v>
      </c>
      <c r="R145">
        <v>2.61</v>
      </c>
      <c r="S145" t="s">
        <v>20</v>
      </c>
    </row>
    <row r="146" spans="1:19" x14ac:dyDescent="0.3">
      <c r="A146" t="s">
        <v>183</v>
      </c>
      <c r="B146">
        <v>20</v>
      </c>
      <c r="C146" t="s">
        <v>20</v>
      </c>
      <c r="D146">
        <v>1</v>
      </c>
      <c r="E146" t="s">
        <v>30</v>
      </c>
      <c r="F146">
        <v>6.1</v>
      </c>
      <c r="G146">
        <v>2.2000000000000002</v>
      </c>
      <c r="H146">
        <v>0</v>
      </c>
      <c r="I146">
        <v>5</v>
      </c>
      <c r="J146">
        <v>5</v>
      </c>
      <c r="K146">
        <v>10</v>
      </c>
      <c r="L146">
        <v>9.8000000000000007</v>
      </c>
      <c r="M146">
        <v>74.900000000000006</v>
      </c>
      <c r="N146">
        <v>4</v>
      </c>
      <c r="O146" t="s">
        <v>33</v>
      </c>
      <c r="P146">
        <v>3</v>
      </c>
      <c r="Q146" t="s">
        <v>23</v>
      </c>
      <c r="R146">
        <v>2.87</v>
      </c>
      <c r="S146" t="s">
        <v>20</v>
      </c>
    </row>
    <row r="147" spans="1:19" x14ac:dyDescent="0.3">
      <c r="A147" t="s">
        <v>184</v>
      </c>
      <c r="B147">
        <v>21</v>
      </c>
      <c r="C147" t="s">
        <v>20</v>
      </c>
      <c r="D147">
        <v>3</v>
      </c>
      <c r="E147" t="s">
        <v>21</v>
      </c>
      <c r="F147">
        <v>5</v>
      </c>
      <c r="G147">
        <v>6.5</v>
      </c>
      <c r="H147">
        <v>3</v>
      </c>
      <c r="I147">
        <v>6</v>
      </c>
      <c r="J147">
        <v>2</v>
      </c>
      <c r="K147">
        <v>6</v>
      </c>
      <c r="L147">
        <v>9.8000000000000007</v>
      </c>
      <c r="M147">
        <v>72.7</v>
      </c>
      <c r="O147" t="s">
        <v>22</v>
      </c>
      <c r="P147">
        <v>3</v>
      </c>
      <c r="Q147" t="s">
        <v>23</v>
      </c>
      <c r="R147">
        <v>2.87</v>
      </c>
      <c r="S147" t="s">
        <v>20</v>
      </c>
    </row>
    <row r="148" spans="1:19" x14ac:dyDescent="0.3">
      <c r="A148" t="s">
        <v>185</v>
      </c>
      <c r="B148">
        <v>20</v>
      </c>
      <c r="C148" t="s">
        <v>102</v>
      </c>
      <c r="D148">
        <v>3</v>
      </c>
      <c r="E148" t="s">
        <v>47</v>
      </c>
      <c r="F148">
        <v>3.9</v>
      </c>
      <c r="G148">
        <v>16</v>
      </c>
      <c r="H148">
        <v>1</v>
      </c>
      <c r="I148">
        <v>4</v>
      </c>
      <c r="J148">
        <v>1</v>
      </c>
      <c r="K148">
        <v>7</v>
      </c>
      <c r="L148">
        <v>22.3</v>
      </c>
      <c r="M148">
        <v>87.9</v>
      </c>
      <c r="N148">
        <v>3</v>
      </c>
      <c r="O148" t="s">
        <v>22</v>
      </c>
      <c r="P148">
        <v>3</v>
      </c>
      <c r="Q148" t="s">
        <v>26</v>
      </c>
      <c r="R148">
        <v>4.2</v>
      </c>
      <c r="S148" t="s">
        <v>20</v>
      </c>
    </row>
    <row r="149" spans="1:19" x14ac:dyDescent="0.3">
      <c r="A149" t="s">
        <v>186</v>
      </c>
      <c r="B149">
        <v>21</v>
      </c>
      <c r="C149" t="s">
        <v>39</v>
      </c>
      <c r="D149">
        <v>2</v>
      </c>
      <c r="E149" t="s">
        <v>30</v>
      </c>
      <c r="F149">
        <v>6.5</v>
      </c>
      <c r="G149">
        <v>1.6</v>
      </c>
      <c r="H149">
        <v>3</v>
      </c>
      <c r="I149">
        <v>11</v>
      </c>
      <c r="J149">
        <v>5</v>
      </c>
      <c r="K149">
        <v>15</v>
      </c>
      <c r="L149">
        <v>12.8</v>
      </c>
      <c r="M149">
        <v>98.7</v>
      </c>
      <c r="N149">
        <v>3</v>
      </c>
      <c r="O149" t="s">
        <v>22</v>
      </c>
      <c r="P149">
        <v>4</v>
      </c>
      <c r="Q149" t="s">
        <v>23</v>
      </c>
      <c r="R149">
        <v>3.09</v>
      </c>
      <c r="S149" t="s">
        <v>27</v>
      </c>
    </row>
    <row r="150" spans="1:19" x14ac:dyDescent="0.3">
      <c r="A150" t="s">
        <v>187</v>
      </c>
      <c r="B150">
        <v>24</v>
      </c>
      <c r="C150" t="s">
        <v>20</v>
      </c>
      <c r="D150">
        <v>2</v>
      </c>
      <c r="E150" t="s">
        <v>21</v>
      </c>
      <c r="F150">
        <v>5.0999999999999996</v>
      </c>
      <c r="G150">
        <v>10.6</v>
      </c>
      <c r="H150">
        <v>1</v>
      </c>
      <c r="I150">
        <v>5</v>
      </c>
      <c r="J150">
        <v>6</v>
      </c>
      <c r="K150">
        <v>8</v>
      </c>
      <c r="L150">
        <v>7.2</v>
      </c>
      <c r="M150">
        <v>74.599999999999994</v>
      </c>
      <c r="N150">
        <v>4</v>
      </c>
      <c r="O150" t="s">
        <v>22</v>
      </c>
      <c r="P150">
        <v>3</v>
      </c>
      <c r="Q150" t="s">
        <v>26</v>
      </c>
      <c r="R150">
        <v>2.39</v>
      </c>
      <c r="S150" t="s">
        <v>20</v>
      </c>
    </row>
    <row r="151" spans="1:19" x14ac:dyDescent="0.3">
      <c r="A151" t="s">
        <v>188</v>
      </c>
      <c r="B151">
        <v>22</v>
      </c>
      <c r="C151" t="s">
        <v>27</v>
      </c>
      <c r="D151">
        <v>4</v>
      </c>
      <c r="E151" t="s">
        <v>35</v>
      </c>
      <c r="F151">
        <v>6.6</v>
      </c>
      <c r="G151">
        <v>6.2</v>
      </c>
      <c r="H151">
        <v>4</v>
      </c>
      <c r="I151">
        <v>9</v>
      </c>
      <c r="J151">
        <v>5</v>
      </c>
      <c r="K151">
        <v>18</v>
      </c>
      <c r="L151">
        <v>5.0999999999999996</v>
      </c>
      <c r="M151">
        <v>89</v>
      </c>
      <c r="N151">
        <v>1</v>
      </c>
      <c r="O151" t="s">
        <v>22</v>
      </c>
      <c r="P151">
        <v>4</v>
      </c>
      <c r="Q151" t="s">
        <v>26</v>
      </c>
      <c r="R151">
        <v>2.6</v>
      </c>
      <c r="S151" t="s">
        <v>27</v>
      </c>
    </row>
    <row r="152" spans="1:19" x14ac:dyDescent="0.3">
      <c r="A152" t="s">
        <v>189</v>
      </c>
      <c r="B152">
        <v>21</v>
      </c>
      <c r="C152" t="s">
        <v>45</v>
      </c>
      <c r="D152">
        <v>4</v>
      </c>
      <c r="E152" t="s">
        <v>30</v>
      </c>
      <c r="F152">
        <v>8</v>
      </c>
      <c r="G152">
        <v>2.6</v>
      </c>
      <c r="H152">
        <v>1</v>
      </c>
      <c r="I152">
        <v>9</v>
      </c>
      <c r="J152">
        <v>10</v>
      </c>
      <c r="K152">
        <v>22</v>
      </c>
      <c r="L152">
        <v>9.8000000000000007</v>
      </c>
      <c r="M152">
        <v>71.2</v>
      </c>
      <c r="N152">
        <v>5</v>
      </c>
      <c r="O152" t="s">
        <v>22</v>
      </c>
      <c r="P152">
        <v>1</v>
      </c>
      <c r="Q152" t="s">
        <v>26</v>
      </c>
      <c r="R152">
        <v>3.29</v>
      </c>
      <c r="S152" t="s">
        <v>20</v>
      </c>
    </row>
    <row r="153" spans="1:19" x14ac:dyDescent="0.3">
      <c r="A153" t="s">
        <v>190</v>
      </c>
      <c r="B153">
        <v>19</v>
      </c>
      <c r="C153" t="s">
        <v>27</v>
      </c>
      <c r="D153">
        <v>3</v>
      </c>
      <c r="E153" t="s">
        <v>49</v>
      </c>
      <c r="F153">
        <v>6.4</v>
      </c>
      <c r="G153">
        <v>1</v>
      </c>
      <c r="H153">
        <v>5</v>
      </c>
      <c r="I153">
        <v>2</v>
      </c>
      <c r="J153">
        <v>3</v>
      </c>
      <c r="K153">
        <v>9</v>
      </c>
      <c r="L153">
        <v>20</v>
      </c>
      <c r="M153">
        <v>82</v>
      </c>
      <c r="N153">
        <v>3</v>
      </c>
      <c r="O153" t="s">
        <v>22</v>
      </c>
      <c r="P153">
        <v>4</v>
      </c>
      <c r="Q153" t="s">
        <v>26</v>
      </c>
      <c r="R153">
        <v>3.71</v>
      </c>
      <c r="S153" t="s">
        <v>27</v>
      </c>
    </row>
    <row r="154" spans="1:19" x14ac:dyDescent="0.3">
      <c r="A154" t="s">
        <v>191</v>
      </c>
      <c r="B154">
        <v>18</v>
      </c>
      <c r="C154" t="s">
        <v>20</v>
      </c>
      <c r="D154">
        <v>2</v>
      </c>
      <c r="E154" t="s">
        <v>30</v>
      </c>
      <c r="F154">
        <v>6.3</v>
      </c>
      <c r="G154">
        <v>1</v>
      </c>
      <c r="H154">
        <v>0</v>
      </c>
      <c r="I154">
        <v>11</v>
      </c>
      <c r="J154">
        <v>9</v>
      </c>
      <c r="K154">
        <v>16</v>
      </c>
      <c r="L154">
        <v>17.8</v>
      </c>
      <c r="M154">
        <v>100</v>
      </c>
      <c r="N154">
        <v>2</v>
      </c>
      <c r="O154" t="s">
        <v>22</v>
      </c>
      <c r="P154">
        <v>2</v>
      </c>
      <c r="Q154" t="s">
        <v>51</v>
      </c>
      <c r="R154">
        <v>3.2</v>
      </c>
      <c r="S154" t="s">
        <v>20</v>
      </c>
    </row>
    <row r="155" spans="1:19" x14ac:dyDescent="0.3">
      <c r="A155" t="s">
        <v>192</v>
      </c>
      <c r="B155">
        <v>20</v>
      </c>
      <c r="C155" t="s">
        <v>45</v>
      </c>
      <c r="D155">
        <v>2</v>
      </c>
      <c r="E155" t="s">
        <v>47</v>
      </c>
      <c r="F155">
        <v>7</v>
      </c>
      <c r="G155">
        <v>2.9</v>
      </c>
      <c r="H155">
        <v>3</v>
      </c>
      <c r="I155">
        <v>2</v>
      </c>
      <c r="J155">
        <v>2</v>
      </c>
      <c r="K155">
        <v>3</v>
      </c>
      <c r="L155">
        <v>16.8</v>
      </c>
      <c r="M155">
        <v>100</v>
      </c>
      <c r="N155">
        <v>1</v>
      </c>
      <c r="O155" t="s">
        <v>22</v>
      </c>
      <c r="P155">
        <v>5</v>
      </c>
      <c r="Q155" t="s">
        <v>51</v>
      </c>
      <c r="R155">
        <v>3.42</v>
      </c>
      <c r="S155" t="s">
        <v>20</v>
      </c>
    </row>
    <row r="156" spans="1:19" x14ac:dyDescent="0.3">
      <c r="A156" t="s">
        <v>193</v>
      </c>
      <c r="B156">
        <v>21</v>
      </c>
      <c r="C156" t="s">
        <v>20</v>
      </c>
      <c r="D156">
        <v>3</v>
      </c>
      <c r="E156" t="s">
        <v>49</v>
      </c>
      <c r="F156">
        <v>7.2</v>
      </c>
      <c r="G156">
        <v>5.6</v>
      </c>
      <c r="H156">
        <v>2</v>
      </c>
      <c r="I156">
        <v>3</v>
      </c>
      <c r="J156">
        <v>5</v>
      </c>
      <c r="K156">
        <v>14</v>
      </c>
      <c r="L156">
        <v>20.3</v>
      </c>
      <c r="M156">
        <v>86.2</v>
      </c>
      <c r="N156">
        <v>5</v>
      </c>
      <c r="O156" t="s">
        <v>22</v>
      </c>
      <c r="P156">
        <v>2</v>
      </c>
      <c r="Q156" t="s">
        <v>23</v>
      </c>
      <c r="R156">
        <v>3</v>
      </c>
      <c r="S156" t="s">
        <v>20</v>
      </c>
    </row>
    <row r="157" spans="1:19" x14ac:dyDescent="0.3">
      <c r="A157" t="s">
        <v>194</v>
      </c>
      <c r="B157">
        <v>25</v>
      </c>
      <c r="C157" t="s">
        <v>39</v>
      </c>
      <c r="D157">
        <v>2</v>
      </c>
      <c r="E157" t="s">
        <v>47</v>
      </c>
      <c r="F157">
        <v>5.7</v>
      </c>
      <c r="G157">
        <v>7.5</v>
      </c>
      <c r="H157">
        <v>1</v>
      </c>
      <c r="I157">
        <v>5</v>
      </c>
      <c r="J157">
        <v>4</v>
      </c>
      <c r="K157">
        <v>10</v>
      </c>
      <c r="L157">
        <v>16.2</v>
      </c>
      <c r="M157">
        <v>85.6</v>
      </c>
      <c r="N157">
        <v>5</v>
      </c>
      <c r="O157" t="s">
        <v>33</v>
      </c>
      <c r="P157">
        <v>2</v>
      </c>
      <c r="Q157" t="s">
        <v>23</v>
      </c>
      <c r="R157">
        <v>3.02</v>
      </c>
      <c r="S157" t="s">
        <v>27</v>
      </c>
    </row>
    <row r="158" spans="1:19" x14ac:dyDescent="0.3">
      <c r="A158" t="s">
        <v>195</v>
      </c>
      <c r="B158">
        <v>22</v>
      </c>
      <c r="C158" t="s">
        <v>20</v>
      </c>
      <c r="D158">
        <v>3</v>
      </c>
      <c r="E158" t="s">
        <v>30</v>
      </c>
      <c r="F158">
        <v>6.9</v>
      </c>
      <c r="G158">
        <v>8.6</v>
      </c>
      <c r="H158">
        <v>3</v>
      </c>
      <c r="I158">
        <v>4</v>
      </c>
      <c r="J158">
        <v>3</v>
      </c>
      <c r="K158">
        <v>8</v>
      </c>
      <c r="L158">
        <v>26.5</v>
      </c>
      <c r="M158">
        <v>68.2</v>
      </c>
      <c r="N158">
        <v>2</v>
      </c>
      <c r="O158" t="s">
        <v>33</v>
      </c>
      <c r="P158">
        <v>4</v>
      </c>
      <c r="Q158" t="s">
        <v>23</v>
      </c>
      <c r="R158">
        <v>3.54</v>
      </c>
      <c r="S158" t="s">
        <v>20</v>
      </c>
    </row>
    <row r="159" spans="1:19" x14ac:dyDescent="0.3">
      <c r="A159" t="s">
        <v>196</v>
      </c>
      <c r="B159">
        <v>24</v>
      </c>
      <c r="C159" t="s">
        <v>20</v>
      </c>
      <c r="D159">
        <v>3</v>
      </c>
      <c r="E159" t="s">
        <v>32</v>
      </c>
      <c r="F159">
        <v>7.6</v>
      </c>
      <c r="G159">
        <v>5.3</v>
      </c>
      <c r="H159">
        <v>4</v>
      </c>
      <c r="I159">
        <v>5</v>
      </c>
      <c r="J159">
        <v>8</v>
      </c>
      <c r="K159">
        <v>13</v>
      </c>
      <c r="L159">
        <v>17.600000000000001</v>
      </c>
      <c r="M159">
        <v>80.2</v>
      </c>
      <c r="N159">
        <v>2</v>
      </c>
      <c r="O159" t="s">
        <v>33</v>
      </c>
      <c r="P159">
        <v>4</v>
      </c>
      <c r="Q159" t="s">
        <v>51</v>
      </c>
      <c r="R159">
        <v>2.65</v>
      </c>
      <c r="S159" t="s">
        <v>20</v>
      </c>
    </row>
    <row r="160" spans="1:19" x14ac:dyDescent="0.3">
      <c r="A160" t="s">
        <v>197</v>
      </c>
      <c r="B160">
        <v>20</v>
      </c>
      <c r="C160" t="s">
        <v>27</v>
      </c>
      <c r="D160">
        <v>1</v>
      </c>
      <c r="E160" t="s">
        <v>49</v>
      </c>
      <c r="F160">
        <v>8</v>
      </c>
      <c r="G160">
        <v>4.8</v>
      </c>
      <c r="H160">
        <v>5</v>
      </c>
      <c r="I160">
        <v>5</v>
      </c>
      <c r="J160">
        <v>6</v>
      </c>
      <c r="K160">
        <v>9</v>
      </c>
      <c r="L160">
        <v>23.3</v>
      </c>
      <c r="M160">
        <v>87</v>
      </c>
      <c r="N160">
        <v>3</v>
      </c>
      <c r="O160" t="s">
        <v>33</v>
      </c>
      <c r="P160">
        <v>4</v>
      </c>
      <c r="Q160" t="s">
        <v>23</v>
      </c>
      <c r="R160">
        <v>3.3</v>
      </c>
      <c r="S160" t="s">
        <v>27</v>
      </c>
    </row>
    <row r="161" spans="1:19" x14ac:dyDescent="0.3">
      <c r="A161" t="s">
        <v>198</v>
      </c>
      <c r="B161">
        <v>19</v>
      </c>
      <c r="C161" t="s">
        <v>27</v>
      </c>
      <c r="D161">
        <v>1</v>
      </c>
      <c r="E161" t="s">
        <v>30</v>
      </c>
      <c r="F161">
        <v>8.4</v>
      </c>
      <c r="G161">
        <v>3.4</v>
      </c>
      <c r="H161">
        <v>2</v>
      </c>
      <c r="I161">
        <v>12</v>
      </c>
      <c r="J161">
        <v>9</v>
      </c>
      <c r="K161">
        <v>17</v>
      </c>
      <c r="L161">
        <v>17.8</v>
      </c>
      <c r="M161">
        <v>84.9</v>
      </c>
      <c r="N161">
        <v>2</v>
      </c>
      <c r="O161" t="s">
        <v>22</v>
      </c>
      <c r="P161">
        <v>5</v>
      </c>
      <c r="Q161" t="s">
        <v>26</v>
      </c>
      <c r="R161">
        <v>3.2</v>
      </c>
      <c r="S161" t="s">
        <v>27</v>
      </c>
    </row>
    <row r="162" spans="1:19" x14ac:dyDescent="0.3">
      <c r="A162" t="s">
        <v>199</v>
      </c>
      <c r="B162">
        <v>19</v>
      </c>
      <c r="C162" t="s">
        <v>20</v>
      </c>
      <c r="D162">
        <v>1</v>
      </c>
      <c r="E162" t="s">
        <v>30</v>
      </c>
      <c r="F162">
        <v>4.7</v>
      </c>
      <c r="G162">
        <v>5.7</v>
      </c>
      <c r="H162">
        <v>1</v>
      </c>
      <c r="I162">
        <v>4</v>
      </c>
      <c r="J162">
        <v>6</v>
      </c>
      <c r="K162">
        <v>6</v>
      </c>
      <c r="L162">
        <v>8.3000000000000007</v>
      </c>
      <c r="M162">
        <v>82.7</v>
      </c>
      <c r="N162">
        <v>4</v>
      </c>
      <c r="O162" t="s">
        <v>33</v>
      </c>
      <c r="P162">
        <v>2</v>
      </c>
      <c r="Q162" t="s">
        <v>23</v>
      </c>
      <c r="R162">
        <v>2.79</v>
      </c>
      <c r="S162" t="s">
        <v>20</v>
      </c>
    </row>
    <row r="163" spans="1:19" x14ac:dyDescent="0.3">
      <c r="A163" t="s">
        <v>200</v>
      </c>
      <c r="B163">
        <v>20</v>
      </c>
      <c r="C163" t="s">
        <v>27</v>
      </c>
      <c r="D163">
        <v>4</v>
      </c>
      <c r="E163" t="s">
        <v>30</v>
      </c>
      <c r="F163">
        <v>6.6</v>
      </c>
      <c r="G163">
        <v>2.7</v>
      </c>
      <c r="H163">
        <v>4</v>
      </c>
      <c r="I163">
        <v>8</v>
      </c>
      <c r="J163">
        <v>7</v>
      </c>
      <c r="K163">
        <v>17</v>
      </c>
      <c r="L163">
        <v>14.1</v>
      </c>
      <c r="M163">
        <v>66</v>
      </c>
      <c r="N163">
        <v>1</v>
      </c>
      <c r="O163" t="s">
        <v>22</v>
      </c>
      <c r="P163">
        <v>4</v>
      </c>
      <c r="Q163" t="s">
        <v>51</v>
      </c>
      <c r="R163">
        <v>3.33</v>
      </c>
      <c r="S163" t="s">
        <v>27</v>
      </c>
    </row>
    <row r="164" spans="1:19" x14ac:dyDescent="0.3">
      <c r="A164" t="s">
        <v>201</v>
      </c>
      <c r="B164">
        <v>26</v>
      </c>
      <c r="C164" t="s">
        <v>45</v>
      </c>
      <c r="D164">
        <v>3</v>
      </c>
      <c r="E164" t="s">
        <v>35</v>
      </c>
      <c r="F164">
        <v>6.8</v>
      </c>
      <c r="G164">
        <v>1.7</v>
      </c>
      <c r="H164">
        <v>3</v>
      </c>
      <c r="I164">
        <v>12</v>
      </c>
      <c r="J164">
        <v>11</v>
      </c>
      <c r="K164">
        <v>17</v>
      </c>
      <c r="L164">
        <v>8.6999999999999993</v>
      </c>
      <c r="M164">
        <v>89.3</v>
      </c>
      <c r="N164">
        <v>3</v>
      </c>
      <c r="O164" t="s">
        <v>22</v>
      </c>
      <c r="P164">
        <v>3</v>
      </c>
      <c r="Q164" t="s">
        <v>26</v>
      </c>
      <c r="R164">
        <v>3.41</v>
      </c>
      <c r="S164" t="s">
        <v>20</v>
      </c>
    </row>
    <row r="165" spans="1:19" x14ac:dyDescent="0.3">
      <c r="A165" t="s">
        <v>202</v>
      </c>
      <c r="B165">
        <v>20</v>
      </c>
      <c r="C165" t="s">
        <v>27</v>
      </c>
      <c r="D165">
        <v>1</v>
      </c>
      <c r="E165" t="s">
        <v>49</v>
      </c>
      <c r="F165">
        <v>6.5</v>
      </c>
      <c r="G165">
        <v>4.5999999999999996</v>
      </c>
      <c r="H165">
        <v>1</v>
      </c>
      <c r="I165">
        <v>5</v>
      </c>
      <c r="J165">
        <v>4</v>
      </c>
      <c r="K165">
        <v>14</v>
      </c>
      <c r="L165">
        <v>16</v>
      </c>
      <c r="M165">
        <v>74.599999999999994</v>
      </c>
      <c r="N165">
        <v>3</v>
      </c>
      <c r="O165" t="s">
        <v>22</v>
      </c>
      <c r="P165">
        <v>3</v>
      </c>
      <c r="Q165" t="s">
        <v>23</v>
      </c>
      <c r="R165">
        <v>3.02</v>
      </c>
      <c r="S165" t="s">
        <v>27</v>
      </c>
    </row>
    <row r="166" spans="1:19" x14ac:dyDescent="0.3">
      <c r="A166" t="s">
        <v>203</v>
      </c>
      <c r="B166">
        <v>23</v>
      </c>
      <c r="C166" t="s">
        <v>20</v>
      </c>
      <c r="D166">
        <v>4</v>
      </c>
      <c r="E166" t="s">
        <v>49</v>
      </c>
      <c r="F166">
        <v>4.9000000000000004</v>
      </c>
      <c r="G166">
        <v>7.2</v>
      </c>
      <c r="H166">
        <v>4</v>
      </c>
      <c r="I166">
        <v>5</v>
      </c>
      <c r="J166">
        <v>9</v>
      </c>
      <c r="K166">
        <v>11</v>
      </c>
      <c r="L166">
        <v>11.7</v>
      </c>
      <c r="M166">
        <v>64.400000000000006</v>
      </c>
      <c r="N166">
        <v>3</v>
      </c>
      <c r="O166" t="s">
        <v>22</v>
      </c>
      <c r="P166">
        <v>3</v>
      </c>
      <c r="Q166" t="s">
        <v>26</v>
      </c>
      <c r="R166">
        <v>2.81</v>
      </c>
      <c r="S166" t="s">
        <v>20</v>
      </c>
    </row>
    <row r="167" spans="1:19" x14ac:dyDescent="0.3">
      <c r="A167" t="s">
        <v>204</v>
      </c>
      <c r="B167">
        <v>20</v>
      </c>
      <c r="C167" t="s">
        <v>39</v>
      </c>
      <c r="D167">
        <v>2</v>
      </c>
      <c r="E167" t="s">
        <v>49</v>
      </c>
      <c r="F167">
        <v>4.5999999999999996</v>
      </c>
      <c r="G167">
        <v>1.4</v>
      </c>
      <c r="H167">
        <v>3</v>
      </c>
      <c r="I167">
        <v>2</v>
      </c>
      <c r="J167">
        <v>2</v>
      </c>
      <c r="K167">
        <v>7</v>
      </c>
      <c r="L167">
        <v>17</v>
      </c>
      <c r="M167">
        <v>100</v>
      </c>
      <c r="N167">
        <v>3</v>
      </c>
      <c r="O167" t="s">
        <v>33</v>
      </c>
      <c r="P167">
        <v>1</v>
      </c>
      <c r="Q167" t="s">
        <v>26</v>
      </c>
      <c r="R167">
        <v>3.06</v>
      </c>
      <c r="S167" t="s">
        <v>27</v>
      </c>
    </row>
    <row r="168" spans="1:19" x14ac:dyDescent="0.3">
      <c r="A168" t="s">
        <v>205</v>
      </c>
      <c r="B168">
        <v>23</v>
      </c>
      <c r="C168" t="s">
        <v>39</v>
      </c>
      <c r="D168">
        <v>3</v>
      </c>
      <c r="E168" t="s">
        <v>32</v>
      </c>
      <c r="F168">
        <v>6.7</v>
      </c>
      <c r="G168">
        <v>2.9</v>
      </c>
      <c r="H168">
        <v>3</v>
      </c>
      <c r="I168">
        <v>3</v>
      </c>
      <c r="J168">
        <v>7</v>
      </c>
      <c r="K168">
        <v>6</v>
      </c>
      <c r="L168">
        <v>6</v>
      </c>
      <c r="M168">
        <v>98.5</v>
      </c>
      <c r="N168">
        <v>2</v>
      </c>
      <c r="O168" t="s">
        <v>33</v>
      </c>
      <c r="P168">
        <v>3</v>
      </c>
      <c r="Q168" t="s">
        <v>23</v>
      </c>
      <c r="R168">
        <v>2.78</v>
      </c>
      <c r="S168" t="s">
        <v>27</v>
      </c>
    </row>
    <row r="169" spans="1:19" x14ac:dyDescent="0.3">
      <c r="A169" t="s">
        <v>206</v>
      </c>
      <c r="B169">
        <v>22</v>
      </c>
      <c r="C169" t="s">
        <v>20</v>
      </c>
      <c r="D169">
        <v>5</v>
      </c>
      <c r="E169" t="s">
        <v>21</v>
      </c>
      <c r="F169">
        <v>5.3</v>
      </c>
      <c r="G169">
        <v>4.5</v>
      </c>
      <c r="H169">
        <v>2</v>
      </c>
      <c r="I169">
        <v>10</v>
      </c>
      <c r="J169">
        <v>8</v>
      </c>
      <c r="K169">
        <v>17</v>
      </c>
      <c r="L169">
        <v>15.6</v>
      </c>
      <c r="M169">
        <v>77.2</v>
      </c>
      <c r="N169">
        <v>2</v>
      </c>
      <c r="O169" t="s">
        <v>22</v>
      </c>
      <c r="P169">
        <v>4</v>
      </c>
      <c r="Q169" t="s">
        <v>26</v>
      </c>
      <c r="R169">
        <v>2.84</v>
      </c>
      <c r="S169" t="s">
        <v>20</v>
      </c>
    </row>
    <row r="170" spans="1:19" x14ac:dyDescent="0.3">
      <c r="A170" t="s">
        <v>207</v>
      </c>
      <c r="B170">
        <v>21</v>
      </c>
      <c r="C170" t="s">
        <v>20</v>
      </c>
      <c r="D170">
        <v>1</v>
      </c>
      <c r="E170" t="s">
        <v>21</v>
      </c>
      <c r="F170">
        <v>5.8</v>
      </c>
      <c r="G170">
        <v>4.4000000000000004</v>
      </c>
      <c r="H170">
        <v>2</v>
      </c>
      <c r="I170">
        <v>2</v>
      </c>
      <c r="J170">
        <v>5</v>
      </c>
      <c r="K170">
        <v>6</v>
      </c>
      <c r="L170">
        <v>20.399999999999999</v>
      </c>
      <c r="M170">
        <v>97.1</v>
      </c>
      <c r="N170">
        <v>1</v>
      </c>
      <c r="O170" t="s">
        <v>22</v>
      </c>
      <c r="P170">
        <v>2</v>
      </c>
      <c r="Q170" t="s">
        <v>51</v>
      </c>
      <c r="R170">
        <v>3.29</v>
      </c>
      <c r="S170" t="s">
        <v>20</v>
      </c>
    </row>
    <row r="171" spans="1:19" x14ac:dyDescent="0.3">
      <c r="A171" t="s">
        <v>208</v>
      </c>
      <c r="B171">
        <v>21</v>
      </c>
      <c r="C171" t="s">
        <v>29</v>
      </c>
      <c r="D171">
        <v>1</v>
      </c>
      <c r="E171" t="s">
        <v>49</v>
      </c>
      <c r="F171">
        <v>5.2</v>
      </c>
      <c r="G171">
        <v>6.1</v>
      </c>
      <c r="H171">
        <v>1</v>
      </c>
      <c r="I171">
        <v>8</v>
      </c>
      <c r="J171">
        <v>9</v>
      </c>
      <c r="K171">
        <v>13</v>
      </c>
      <c r="L171">
        <v>23.4</v>
      </c>
      <c r="M171">
        <v>94</v>
      </c>
      <c r="N171">
        <v>2</v>
      </c>
      <c r="O171" t="s">
        <v>22</v>
      </c>
      <c r="P171">
        <v>5</v>
      </c>
      <c r="Q171" t="s">
        <v>23</v>
      </c>
      <c r="R171">
        <v>3.08</v>
      </c>
      <c r="S171" t="s">
        <v>29</v>
      </c>
    </row>
    <row r="172" spans="1:19" x14ac:dyDescent="0.3">
      <c r="A172" t="s">
        <v>209</v>
      </c>
      <c r="B172">
        <v>20</v>
      </c>
      <c r="C172" t="s">
        <v>61</v>
      </c>
      <c r="D172">
        <v>3</v>
      </c>
      <c r="E172" t="s">
        <v>30</v>
      </c>
      <c r="F172">
        <v>3.4</v>
      </c>
      <c r="G172">
        <v>12.6</v>
      </c>
      <c r="H172">
        <v>4</v>
      </c>
      <c r="K172">
        <v>11</v>
      </c>
      <c r="L172">
        <v>16.2</v>
      </c>
      <c r="M172">
        <v>98.6</v>
      </c>
      <c r="N172">
        <v>5</v>
      </c>
      <c r="O172" t="s">
        <v>22</v>
      </c>
      <c r="P172">
        <v>3</v>
      </c>
      <c r="Q172" t="s">
        <v>26</v>
      </c>
      <c r="R172">
        <v>2.81</v>
      </c>
      <c r="S172" t="s">
        <v>61</v>
      </c>
    </row>
    <row r="173" spans="1:19" x14ac:dyDescent="0.3">
      <c r="A173" t="s">
        <v>210</v>
      </c>
      <c r="B173">
        <v>22</v>
      </c>
      <c r="C173" t="s">
        <v>25</v>
      </c>
      <c r="D173">
        <v>1</v>
      </c>
      <c r="E173" t="s">
        <v>47</v>
      </c>
      <c r="F173">
        <v>6.7</v>
      </c>
      <c r="G173">
        <v>1</v>
      </c>
      <c r="H173">
        <v>1</v>
      </c>
      <c r="I173">
        <v>3</v>
      </c>
      <c r="J173">
        <v>2</v>
      </c>
      <c r="K173">
        <v>8</v>
      </c>
      <c r="L173">
        <v>25.2</v>
      </c>
      <c r="M173">
        <v>91.4</v>
      </c>
      <c r="N173">
        <v>3</v>
      </c>
      <c r="O173" t="s">
        <v>22</v>
      </c>
      <c r="P173">
        <v>2</v>
      </c>
      <c r="Q173" t="s">
        <v>23</v>
      </c>
      <c r="R173">
        <v>3.26</v>
      </c>
      <c r="S173" t="s">
        <v>27</v>
      </c>
    </row>
    <row r="174" spans="1:19" x14ac:dyDescent="0.3">
      <c r="A174" t="s">
        <v>211</v>
      </c>
      <c r="B174">
        <v>21</v>
      </c>
      <c r="C174" t="s">
        <v>45</v>
      </c>
      <c r="D174">
        <v>3</v>
      </c>
      <c r="E174" t="s">
        <v>47</v>
      </c>
      <c r="F174">
        <v>5.8</v>
      </c>
      <c r="G174">
        <v>12.9</v>
      </c>
      <c r="H174">
        <v>4</v>
      </c>
      <c r="I174">
        <v>16</v>
      </c>
      <c r="J174">
        <v>15</v>
      </c>
      <c r="K174">
        <v>17</v>
      </c>
      <c r="L174">
        <v>19.8</v>
      </c>
      <c r="M174">
        <v>59.7</v>
      </c>
      <c r="N174">
        <v>3</v>
      </c>
      <c r="O174" t="s">
        <v>22</v>
      </c>
      <c r="P174">
        <v>4</v>
      </c>
      <c r="Q174" t="s">
        <v>23</v>
      </c>
      <c r="R174">
        <v>2.4500000000000002</v>
      </c>
      <c r="S174" t="s">
        <v>20</v>
      </c>
    </row>
    <row r="175" spans="1:19" x14ac:dyDescent="0.3">
      <c r="A175" t="s">
        <v>212</v>
      </c>
      <c r="B175">
        <v>19</v>
      </c>
      <c r="C175" t="s">
        <v>39</v>
      </c>
      <c r="D175">
        <v>1</v>
      </c>
      <c r="E175" t="s">
        <v>21</v>
      </c>
      <c r="F175">
        <v>6.6</v>
      </c>
      <c r="G175">
        <v>12.3</v>
      </c>
      <c r="H175">
        <v>4</v>
      </c>
      <c r="I175">
        <v>3</v>
      </c>
      <c r="J175">
        <v>8</v>
      </c>
      <c r="K175">
        <v>10</v>
      </c>
      <c r="L175">
        <v>30.6</v>
      </c>
      <c r="M175">
        <v>100</v>
      </c>
      <c r="N175">
        <v>2</v>
      </c>
      <c r="O175" t="s">
        <v>22</v>
      </c>
      <c r="P175">
        <v>2</v>
      </c>
      <c r="Q175" t="s">
        <v>23</v>
      </c>
      <c r="R175">
        <v>3.24</v>
      </c>
      <c r="S175" t="s">
        <v>27</v>
      </c>
    </row>
    <row r="176" spans="1:19" x14ac:dyDescent="0.3">
      <c r="A176" t="s">
        <v>213</v>
      </c>
      <c r="B176">
        <v>19</v>
      </c>
      <c r="C176" t="s">
        <v>27</v>
      </c>
      <c r="D176">
        <v>1</v>
      </c>
      <c r="E176" t="s">
        <v>32</v>
      </c>
      <c r="F176">
        <v>8.1</v>
      </c>
      <c r="G176">
        <v>7.6</v>
      </c>
      <c r="H176">
        <v>4</v>
      </c>
      <c r="I176">
        <v>3</v>
      </c>
      <c r="J176">
        <v>3</v>
      </c>
      <c r="K176">
        <v>11</v>
      </c>
      <c r="L176">
        <v>5.5</v>
      </c>
      <c r="M176">
        <v>94.1</v>
      </c>
      <c r="N176">
        <v>4</v>
      </c>
      <c r="O176" t="s">
        <v>22</v>
      </c>
      <c r="P176">
        <v>1</v>
      </c>
      <c r="Q176" t="s">
        <v>23</v>
      </c>
      <c r="R176">
        <v>3.08</v>
      </c>
      <c r="S176" t="s">
        <v>27</v>
      </c>
    </row>
    <row r="177" spans="1:19" x14ac:dyDescent="0.3">
      <c r="A177" t="s">
        <v>214</v>
      </c>
      <c r="B177">
        <v>22</v>
      </c>
      <c r="C177" t="s">
        <v>20</v>
      </c>
      <c r="D177">
        <v>1</v>
      </c>
      <c r="E177" t="s">
        <v>30</v>
      </c>
      <c r="F177">
        <v>6.4</v>
      </c>
      <c r="G177">
        <v>5</v>
      </c>
      <c r="H177">
        <v>0</v>
      </c>
      <c r="I177">
        <v>4</v>
      </c>
      <c r="J177">
        <v>5</v>
      </c>
      <c r="K177">
        <v>9</v>
      </c>
      <c r="L177">
        <v>10.7</v>
      </c>
      <c r="M177">
        <v>67.8</v>
      </c>
      <c r="N177">
        <v>5</v>
      </c>
      <c r="O177" t="s">
        <v>33</v>
      </c>
      <c r="P177">
        <v>4</v>
      </c>
      <c r="Q177" t="s">
        <v>51</v>
      </c>
      <c r="R177">
        <v>2.95</v>
      </c>
      <c r="S177" t="s">
        <v>20</v>
      </c>
    </row>
    <row r="178" spans="1:19" x14ac:dyDescent="0.3">
      <c r="A178" t="s">
        <v>215</v>
      </c>
      <c r="B178">
        <v>25</v>
      </c>
      <c r="C178" t="s">
        <v>27</v>
      </c>
      <c r="D178">
        <v>2</v>
      </c>
      <c r="E178" t="s">
        <v>63</v>
      </c>
      <c r="F178">
        <v>7.1</v>
      </c>
      <c r="G178">
        <v>2.7</v>
      </c>
      <c r="H178">
        <v>2</v>
      </c>
      <c r="I178">
        <v>5</v>
      </c>
      <c r="J178">
        <v>4</v>
      </c>
      <c r="K178">
        <v>9</v>
      </c>
      <c r="L178">
        <v>36.200000000000003</v>
      </c>
      <c r="M178">
        <v>69.099999999999994</v>
      </c>
      <c r="N178">
        <v>4</v>
      </c>
      <c r="O178" t="s">
        <v>33</v>
      </c>
      <c r="P178">
        <v>1</v>
      </c>
      <c r="Q178" t="s">
        <v>23</v>
      </c>
      <c r="R178">
        <v>3.42</v>
      </c>
      <c r="S178" t="s">
        <v>27</v>
      </c>
    </row>
    <row r="179" spans="1:19" x14ac:dyDescent="0.3">
      <c r="A179" t="s">
        <v>216</v>
      </c>
      <c r="B179">
        <v>22</v>
      </c>
      <c r="C179" t="s">
        <v>20</v>
      </c>
      <c r="D179">
        <v>1</v>
      </c>
      <c r="E179" t="s">
        <v>35</v>
      </c>
      <c r="F179">
        <v>5.0999999999999996</v>
      </c>
      <c r="G179">
        <v>7.6</v>
      </c>
      <c r="H179">
        <v>3</v>
      </c>
      <c r="I179">
        <v>2</v>
      </c>
      <c r="J179">
        <v>3</v>
      </c>
      <c r="K179">
        <v>8</v>
      </c>
      <c r="L179">
        <v>12.6</v>
      </c>
      <c r="M179">
        <v>83.5</v>
      </c>
      <c r="N179">
        <v>4</v>
      </c>
      <c r="O179" t="s">
        <v>33</v>
      </c>
      <c r="P179">
        <v>1</v>
      </c>
      <c r="Q179" t="s">
        <v>26</v>
      </c>
      <c r="R179">
        <v>2.61</v>
      </c>
      <c r="S179" t="s">
        <v>20</v>
      </c>
    </row>
    <row r="180" spans="1:19" x14ac:dyDescent="0.3">
      <c r="A180" t="s">
        <v>217</v>
      </c>
      <c r="B180">
        <v>21</v>
      </c>
      <c r="C180" t="s">
        <v>102</v>
      </c>
      <c r="D180">
        <v>1</v>
      </c>
      <c r="E180" t="s">
        <v>35</v>
      </c>
      <c r="F180">
        <v>4.5</v>
      </c>
      <c r="G180">
        <v>5.2</v>
      </c>
      <c r="H180">
        <v>3</v>
      </c>
      <c r="I180">
        <v>7</v>
      </c>
      <c r="J180">
        <v>10</v>
      </c>
      <c r="K180">
        <v>14</v>
      </c>
      <c r="L180">
        <v>3.7</v>
      </c>
      <c r="M180">
        <v>69.400000000000006</v>
      </c>
      <c r="N180">
        <v>4</v>
      </c>
      <c r="O180" t="s">
        <v>22</v>
      </c>
      <c r="P180">
        <v>4</v>
      </c>
      <c r="Q180" t="s">
        <v>26</v>
      </c>
      <c r="R180">
        <v>2.23</v>
      </c>
      <c r="S180" t="s">
        <v>20</v>
      </c>
    </row>
    <row r="181" spans="1:19" x14ac:dyDescent="0.3">
      <c r="A181" t="s">
        <v>218</v>
      </c>
      <c r="B181">
        <v>22</v>
      </c>
      <c r="C181" t="s">
        <v>20</v>
      </c>
      <c r="D181">
        <v>4</v>
      </c>
      <c r="E181" t="s">
        <v>21</v>
      </c>
      <c r="F181">
        <v>8.1</v>
      </c>
      <c r="G181">
        <v>3.5</v>
      </c>
      <c r="H181">
        <v>5</v>
      </c>
      <c r="I181">
        <v>4</v>
      </c>
      <c r="J181">
        <v>3</v>
      </c>
      <c r="K181">
        <v>6</v>
      </c>
      <c r="L181">
        <v>11.8</v>
      </c>
      <c r="M181">
        <v>88.7</v>
      </c>
      <c r="N181">
        <v>3</v>
      </c>
      <c r="O181" t="s">
        <v>22</v>
      </c>
      <c r="P181">
        <v>1</v>
      </c>
      <c r="Q181" t="s">
        <v>26</v>
      </c>
      <c r="R181">
        <v>3.52</v>
      </c>
      <c r="S181" t="s">
        <v>20</v>
      </c>
    </row>
    <row r="182" spans="1:19" x14ac:dyDescent="0.3">
      <c r="A182" t="s">
        <v>219</v>
      </c>
      <c r="B182">
        <v>24</v>
      </c>
      <c r="C182" t="s">
        <v>20</v>
      </c>
      <c r="D182">
        <v>2</v>
      </c>
      <c r="E182" t="s">
        <v>30</v>
      </c>
      <c r="F182">
        <v>5.3</v>
      </c>
      <c r="G182">
        <v>7.4</v>
      </c>
      <c r="H182">
        <v>2</v>
      </c>
      <c r="I182">
        <v>5</v>
      </c>
      <c r="J182">
        <v>3</v>
      </c>
      <c r="K182">
        <v>10</v>
      </c>
      <c r="L182">
        <v>1</v>
      </c>
      <c r="M182">
        <v>87.3</v>
      </c>
      <c r="N182">
        <v>5</v>
      </c>
      <c r="O182" t="s">
        <v>33</v>
      </c>
      <c r="P182">
        <v>4</v>
      </c>
      <c r="Q182" t="s">
        <v>23</v>
      </c>
      <c r="R182">
        <v>2.2400000000000002</v>
      </c>
      <c r="S182" t="s">
        <v>20</v>
      </c>
    </row>
    <row r="183" spans="1:19" x14ac:dyDescent="0.3">
      <c r="A183" t="s">
        <v>220</v>
      </c>
      <c r="B183">
        <v>22</v>
      </c>
      <c r="C183" t="s">
        <v>27</v>
      </c>
      <c r="D183">
        <v>2</v>
      </c>
      <c r="E183" t="s">
        <v>30</v>
      </c>
      <c r="F183">
        <v>4.5</v>
      </c>
      <c r="G183">
        <v>8.1999999999999993</v>
      </c>
      <c r="H183">
        <v>5</v>
      </c>
      <c r="I183">
        <v>15</v>
      </c>
      <c r="J183">
        <v>15</v>
      </c>
      <c r="K183">
        <v>24</v>
      </c>
      <c r="L183">
        <v>23.9</v>
      </c>
      <c r="M183">
        <v>71</v>
      </c>
      <c r="N183">
        <v>4</v>
      </c>
      <c r="O183" t="s">
        <v>33</v>
      </c>
      <c r="P183">
        <v>4</v>
      </c>
      <c r="Q183" t="s">
        <v>26</v>
      </c>
      <c r="R183">
        <v>2.65</v>
      </c>
      <c r="S183" t="s">
        <v>27</v>
      </c>
    </row>
    <row r="184" spans="1:19" x14ac:dyDescent="0.3">
      <c r="A184" t="s">
        <v>221</v>
      </c>
      <c r="B184">
        <v>21</v>
      </c>
      <c r="C184" t="s">
        <v>102</v>
      </c>
      <c r="D184">
        <v>1</v>
      </c>
      <c r="E184" t="s">
        <v>30</v>
      </c>
      <c r="F184">
        <v>5.8</v>
      </c>
      <c r="G184">
        <v>10</v>
      </c>
      <c r="H184">
        <v>1</v>
      </c>
      <c r="I184">
        <v>26</v>
      </c>
      <c r="J184">
        <v>20</v>
      </c>
      <c r="K184">
        <v>28</v>
      </c>
      <c r="L184">
        <v>21.7</v>
      </c>
      <c r="M184">
        <v>52.9</v>
      </c>
      <c r="N184">
        <v>1</v>
      </c>
      <c r="O184" t="s">
        <v>22</v>
      </c>
      <c r="P184">
        <v>2</v>
      </c>
      <c r="Q184" t="s">
        <v>23</v>
      </c>
      <c r="R184">
        <v>2.33</v>
      </c>
      <c r="S184" t="s">
        <v>20</v>
      </c>
    </row>
    <row r="185" spans="1:19" x14ac:dyDescent="0.3">
      <c r="A185" t="s">
        <v>222</v>
      </c>
      <c r="B185">
        <v>24</v>
      </c>
      <c r="C185" t="s">
        <v>27</v>
      </c>
      <c r="D185">
        <v>2</v>
      </c>
      <c r="E185" t="s">
        <v>30</v>
      </c>
      <c r="F185">
        <v>5.9</v>
      </c>
      <c r="G185">
        <v>2.5</v>
      </c>
      <c r="H185">
        <v>2</v>
      </c>
      <c r="I185">
        <v>3</v>
      </c>
      <c r="J185">
        <v>8</v>
      </c>
      <c r="K185">
        <v>9</v>
      </c>
      <c r="L185">
        <v>10.9</v>
      </c>
      <c r="M185">
        <v>82.9</v>
      </c>
      <c r="N185">
        <v>3</v>
      </c>
      <c r="O185" t="s">
        <v>33</v>
      </c>
      <c r="P185">
        <v>3</v>
      </c>
      <c r="Q185" t="s">
        <v>23</v>
      </c>
      <c r="R185">
        <v>3.01</v>
      </c>
      <c r="S185" t="s">
        <v>27</v>
      </c>
    </row>
    <row r="186" spans="1:19" x14ac:dyDescent="0.3">
      <c r="A186" t="s">
        <v>223</v>
      </c>
      <c r="B186">
        <v>22</v>
      </c>
      <c r="C186" t="s">
        <v>27</v>
      </c>
      <c r="D186">
        <v>2</v>
      </c>
      <c r="E186" t="s">
        <v>30</v>
      </c>
      <c r="F186">
        <v>4.5999999999999996</v>
      </c>
      <c r="G186">
        <v>9.1999999999999993</v>
      </c>
      <c r="H186">
        <v>0</v>
      </c>
      <c r="I186">
        <v>12</v>
      </c>
      <c r="J186">
        <v>9</v>
      </c>
      <c r="K186">
        <v>13</v>
      </c>
      <c r="L186">
        <v>17.7</v>
      </c>
      <c r="M186">
        <v>71.900000000000006</v>
      </c>
      <c r="N186">
        <v>3</v>
      </c>
      <c r="O186" t="s">
        <v>22</v>
      </c>
      <c r="P186">
        <v>1</v>
      </c>
      <c r="Q186" t="s">
        <v>51</v>
      </c>
      <c r="R186">
        <v>3.02</v>
      </c>
      <c r="S186" t="s">
        <v>27</v>
      </c>
    </row>
    <row r="187" spans="1:19" x14ac:dyDescent="0.3">
      <c r="A187" t="s">
        <v>224</v>
      </c>
      <c r="B187">
        <v>25</v>
      </c>
      <c r="C187" t="s">
        <v>27</v>
      </c>
      <c r="D187">
        <v>3</v>
      </c>
      <c r="E187" t="s">
        <v>63</v>
      </c>
      <c r="F187">
        <v>5.5</v>
      </c>
      <c r="G187">
        <v>3.5</v>
      </c>
      <c r="H187">
        <v>4</v>
      </c>
      <c r="I187">
        <v>0</v>
      </c>
      <c r="J187">
        <v>2</v>
      </c>
      <c r="K187">
        <v>9</v>
      </c>
      <c r="L187">
        <v>23</v>
      </c>
      <c r="M187">
        <v>85.2</v>
      </c>
      <c r="N187">
        <v>2</v>
      </c>
      <c r="O187" t="s">
        <v>33</v>
      </c>
      <c r="P187">
        <v>4</v>
      </c>
      <c r="Q187" t="s">
        <v>23</v>
      </c>
      <c r="R187">
        <v>3.3</v>
      </c>
      <c r="S187" t="s">
        <v>27</v>
      </c>
    </row>
    <row r="188" spans="1:19" x14ac:dyDescent="0.3">
      <c r="A188" t="s">
        <v>225</v>
      </c>
      <c r="B188">
        <v>22</v>
      </c>
      <c r="C188" t="s">
        <v>27</v>
      </c>
      <c r="D188">
        <v>1</v>
      </c>
      <c r="E188" t="s">
        <v>30</v>
      </c>
      <c r="F188">
        <v>7.4</v>
      </c>
      <c r="G188">
        <v>5</v>
      </c>
      <c r="H188">
        <v>1</v>
      </c>
      <c r="I188">
        <v>4</v>
      </c>
      <c r="J188">
        <v>3</v>
      </c>
      <c r="K188">
        <v>9</v>
      </c>
      <c r="L188">
        <v>10.3</v>
      </c>
      <c r="M188">
        <v>53.6</v>
      </c>
      <c r="N188">
        <v>4</v>
      </c>
      <c r="O188" t="s">
        <v>33</v>
      </c>
      <c r="P188">
        <v>1</v>
      </c>
      <c r="Q188" t="s">
        <v>51</v>
      </c>
      <c r="S188" t="s">
        <v>27</v>
      </c>
    </row>
    <row r="189" spans="1:19" x14ac:dyDescent="0.3">
      <c r="A189" t="s">
        <v>226</v>
      </c>
      <c r="B189">
        <v>19</v>
      </c>
      <c r="C189" t="s">
        <v>20</v>
      </c>
      <c r="D189">
        <v>4</v>
      </c>
      <c r="E189" t="s">
        <v>30</v>
      </c>
      <c r="F189">
        <v>5.4</v>
      </c>
      <c r="G189">
        <v>5.7</v>
      </c>
      <c r="H189">
        <v>1</v>
      </c>
      <c r="I189">
        <v>19</v>
      </c>
      <c r="J189">
        <v>15</v>
      </c>
      <c r="K189">
        <v>22</v>
      </c>
      <c r="L189">
        <v>7.4</v>
      </c>
      <c r="M189">
        <v>70.900000000000006</v>
      </c>
      <c r="N189">
        <v>1</v>
      </c>
      <c r="O189" t="s">
        <v>22</v>
      </c>
      <c r="P189">
        <v>5</v>
      </c>
      <c r="Q189" t="s">
        <v>51</v>
      </c>
      <c r="R189">
        <v>2.15</v>
      </c>
      <c r="S189" t="s">
        <v>20</v>
      </c>
    </row>
    <row r="190" spans="1:19" x14ac:dyDescent="0.3">
      <c r="A190" t="s">
        <v>227</v>
      </c>
      <c r="B190">
        <v>19</v>
      </c>
      <c r="C190" t="s">
        <v>20</v>
      </c>
      <c r="D190">
        <v>4</v>
      </c>
      <c r="E190" t="s">
        <v>47</v>
      </c>
      <c r="F190">
        <v>4.0999999999999996</v>
      </c>
      <c r="G190">
        <v>8.8000000000000007</v>
      </c>
      <c r="H190">
        <v>4</v>
      </c>
      <c r="I190">
        <v>6</v>
      </c>
      <c r="J190">
        <v>2</v>
      </c>
      <c r="K190">
        <v>10</v>
      </c>
      <c r="L190">
        <v>17.399999999999999</v>
      </c>
      <c r="M190">
        <v>90.8</v>
      </c>
      <c r="N190">
        <v>4</v>
      </c>
      <c r="O190" t="s">
        <v>33</v>
      </c>
      <c r="P190">
        <v>2</v>
      </c>
      <c r="Q190" t="s">
        <v>26</v>
      </c>
      <c r="R190">
        <v>3.41</v>
      </c>
      <c r="S190" t="s">
        <v>20</v>
      </c>
    </row>
    <row r="191" spans="1:19" x14ac:dyDescent="0.3">
      <c r="A191" t="s">
        <v>228</v>
      </c>
      <c r="B191">
        <v>25</v>
      </c>
      <c r="C191" t="s">
        <v>27</v>
      </c>
      <c r="D191">
        <v>1</v>
      </c>
      <c r="E191" t="s">
        <v>32</v>
      </c>
      <c r="F191">
        <v>7</v>
      </c>
      <c r="G191">
        <v>7</v>
      </c>
      <c r="H191">
        <v>3</v>
      </c>
      <c r="I191">
        <v>16</v>
      </c>
      <c r="J191">
        <v>14</v>
      </c>
      <c r="K191">
        <v>18</v>
      </c>
      <c r="L191">
        <v>11</v>
      </c>
      <c r="M191">
        <v>87.7</v>
      </c>
      <c r="N191">
        <v>5</v>
      </c>
      <c r="O191" t="s">
        <v>33</v>
      </c>
      <c r="P191">
        <v>4</v>
      </c>
      <c r="Q191" t="s">
        <v>23</v>
      </c>
      <c r="R191">
        <v>3.01</v>
      </c>
      <c r="S191" t="s">
        <v>27</v>
      </c>
    </row>
    <row r="192" spans="1:19" x14ac:dyDescent="0.3">
      <c r="A192" t="s">
        <v>229</v>
      </c>
      <c r="B192">
        <v>25</v>
      </c>
      <c r="C192" t="s">
        <v>27</v>
      </c>
      <c r="D192">
        <v>1</v>
      </c>
      <c r="E192" t="s">
        <v>49</v>
      </c>
      <c r="F192">
        <v>6.8</v>
      </c>
      <c r="G192">
        <v>3.4</v>
      </c>
      <c r="H192">
        <v>0</v>
      </c>
      <c r="I192">
        <v>9</v>
      </c>
      <c r="J192">
        <v>8</v>
      </c>
      <c r="K192">
        <v>11</v>
      </c>
      <c r="L192">
        <v>15.8</v>
      </c>
      <c r="M192">
        <v>65.5</v>
      </c>
      <c r="N192">
        <v>3</v>
      </c>
      <c r="O192" t="s">
        <v>33</v>
      </c>
      <c r="P192">
        <v>2</v>
      </c>
      <c r="Q192" t="s">
        <v>26</v>
      </c>
      <c r="S192" t="s">
        <v>27</v>
      </c>
    </row>
    <row r="193" spans="1:19" x14ac:dyDescent="0.3">
      <c r="A193" t="s">
        <v>230</v>
      </c>
      <c r="B193">
        <v>21</v>
      </c>
      <c r="C193" t="s">
        <v>27</v>
      </c>
      <c r="D193">
        <v>1</v>
      </c>
      <c r="E193" t="s">
        <v>49</v>
      </c>
      <c r="F193">
        <v>5.9</v>
      </c>
      <c r="G193">
        <v>1</v>
      </c>
      <c r="H193">
        <v>0</v>
      </c>
      <c r="I193">
        <v>6</v>
      </c>
      <c r="J193">
        <v>6</v>
      </c>
      <c r="K193">
        <v>7</v>
      </c>
      <c r="L193">
        <v>9.8000000000000007</v>
      </c>
      <c r="M193">
        <v>55.1</v>
      </c>
      <c r="N193">
        <v>3</v>
      </c>
      <c r="O193" t="s">
        <v>33</v>
      </c>
      <c r="P193">
        <v>2</v>
      </c>
      <c r="Q193" t="s">
        <v>23</v>
      </c>
      <c r="R193">
        <v>2.81</v>
      </c>
      <c r="S193" t="s">
        <v>27</v>
      </c>
    </row>
    <row r="194" spans="1:19" x14ac:dyDescent="0.3">
      <c r="A194" t="s">
        <v>231</v>
      </c>
      <c r="B194">
        <v>21</v>
      </c>
      <c r="C194" t="s">
        <v>20</v>
      </c>
      <c r="D194">
        <v>3</v>
      </c>
      <c r="E194" t="s">
        <v>47</v>
      </c>
      <c r="F194">
        <v>4.3</v>
      </c>
      <c r="G194">
        <v>6.1</v>
      </c>
      <c r="H194">
        <v>3</v>
      </c>
      <c r="I194">
        <v>7</v>
      </c>
      <c r="J194">
        <v>6</v>
      </c>
      <c r="K194">
        <v>9</v>
      </c>
      <c r="L194">
        <v>21.3</v>
      </c>
      <c r="M194">
        <v>77.400000000000006</v>
      </c>
      <c r="N194">
        <v>4</v>
      </c>
      <c r="O194" t="s">
        <v>33</v>
      </c>
      <c r="P194">
        <v>3</v>
      </c>
      <c r="Q194" t="s">
        <v>23</v>
      </c>
      <c r="R194">
        <v>2.69</v>
      </c>
      <c r="S194" t="s">
        <v>20</v>
      </c>
    </row>
    <row r="195" spans="1:19" x14ac:dyDescent="0.3">
      <c r="A195" t="s">
        <v>232</v>
      </c>
      <c r="B195">
        <v>25</v>
      </c>
      <c r="C195" t="s">
        <v>27</v>
      </c>
      <c r="D195">
        <v>1</v>
      </c>
      <c r="E195" t="s">
        <v>49</v>
      </c>
      <c r="F195">
        <v>5.6</v>
      </c>
      <c r="G195">
        <v>4.9000000000000004</v>
      </c>
      <c r="H195">
        <v>2</v>
      </c>
      <c r="I195">
        <v>7</v>
      </c>
      <c r="J195">
        <v>5</v>
      </c>
      <c r="K195">
        <v>16</v>
      </c>
      <c r="L195">
        <v>17</v>
      </c>
      <c r="M195">
        <v>83.9</v>
      </c>
      <c r="N195">
        <v>4</v>
      </c>
      <c r="O195" t="s">
        <v>22</v>
      </c>
      <c r="P195">
        <v>3</v>
      </c>
      <c r="Q195" t="s">
        <v>26</v>
      </c>
      <c r="R195">
        <v>3.26</v>
      </c>
      <c r="S195" t="s">
        <v>27</v>
      </c>
    </row>
    <row r="196" spans="1:19" x14ac:dyDescent="0.3">
      <c r="A196" t="s">
        <v>233</v>
      </c>
      <c r="B196">
        <v>19</v>
      </c>
      <c r="C196" t="s">
        <v>61</v>
      </c>
      <c r="D196">
        <v>4</v>
      </c>
      <c r="E196" t="s">
        <v>32</v>
      </c>
      <c r="F196">
        <v>5.8</v>
      </c>
      <c r="G196">
        <v>1.6</v>
      </c>
      <c r="H196">
        <v>1</v>
      </c>
      <c r="I196">
        <v>8</v>
      </c>
      <c r="J196">
        <v>9</v>
      </c>
      <c r="K196">
        <v>12</v>
      </c>
      <c r="L196">
        <v>22.1</v>
      </c>
      <c r="M196">
        <v>87.9</v>
      </c>
      <c r="O196" t="s">
        <v>33</v>
      </c>
      <c r="P196">
        <v>5</v>
      </c>
      <c r="Q196" t="s">
        <v>26</v>
      </c>
      <c r="R196">
        <v>3.25</v>
      </c>
      <c r="S196" t="s">
        <v>61</v>
      </c>
    </row>
    <row r="197" spans="1:19" x14ac:dyDescent="0.3">
      <c r="A197" t="s">
        <v>234</v>
      </c>
      <c r="B197">
        <v>20</v>
      </c>
      <c r="C197" t="s">
        <v>27</v>
      </c>
      <c r="D197">
        <v>4</v>
      </c>
      <c r="E197" t="s">
        <v>49</v>
      </c>
      <c r="F197">
        <v>7.3</v>
      </c>
      <c r="G197">
        <v>5.3</v>
      </c>
      <c r="H197">
        <v>3</v>
      </c>
      <c r="I197">
        <v>4</v>
      </c>
      <c r="J197">
        <v>2</v>
      </c>
      <c r="K197">
        <v>10</v>
      </c>
      <c r="L197">
        <v>19.2</v>
      </c>
      <c r="M197">
        <v>65.3</v>
      </c>
      <c r="N197">
        <v>3</v>
      </c>
      <c r="O197" t="s">
        <v>22</v>
      </c>
      <c r="P197">
        <v>1</v>
      </c>
      <c r="Q197" t="s">
        <v>23</v>
      </c>
      <c r="R197">
        <v>2.85</v>
      </c>
      <c r="S197" t="s">
        <v>27</v>
      </c>
    </row>
    <row r="198" spans="1:19" x14ac:dyDescent="0.3">
      <c r="A198" t="s">
        <v>235</v>
      </c>
      <c r="B198">
        <v>23</v>
      </c>
      <c r="C198" t="s">
        <v>27</v>
      </c>
      <c r="D198">
        <v>4</v>
      </c>
      <c r="E198" t="s">
        <v>21</v>
      </c>
      <c r="F198">
        <v>5.0999999999999996</v>
      </c>
      <c r="G198">
        <v>4.4000000000000004</v>
      </c>
      <c r="H198">
        <v>1</v>
      </c>
      <c r="I198">
        <v>3</v>
      </c>
      <c r="J198">
        <v>5</v>
      </c>
      <c r="K198">
        <v>7</v>
      </c>
      <c r="L198">
        <v>18.7</v>
      </c>
      <c r="M198">
        <v>83.7</v>
      </c>
      <c r="N198">
        <v>4</v>
      </c>
      <c r="O198" t="s">
        <v>33</v>
      </c>
      <c r="P198">
        <v>1</v>
      </c>
      <c r="Q198" t="s">
        <v>23</v>
      </c>
      <c r="R198">
        <v>3.04</v>
      </c>
      <c r="S198" t="s">
        <v>27</v>
      </c>
    </row>
    <row r="199" spans="1:19" x14ac:dyDescent="0.3">
      <c r="A199" t="s">
        <v>236</v>
      </c>
      <c r="B199">
        <v>21</v>
      </c>
      <c r="C199" t="s">
        <v>20</v>
      </c>
      <c r="D199">
        <v>3</v>
      </c>
      <c r="E199" t="s">
        <v>21</v>
      </c>
      <c r="F199">
        <v>5.5</v>
      </c>
      <c r="G199">
        <v>10</v>
      </c>
      <c r="H199">
        <v>3</v>
      </c>
      <c r="I199">
        <v>22</v>
      </c>
      <c r="J199">
        <v>20</v>
      </c>
      <c r="K199">
        <v>31</v>
      </c>
      <c r="L199">
        <v>1.7</v>
      </c>
      <c r="M199">
        <v>97.1</v>
      </c>
      <c r="N199">
        <v>5</v>
      </c>
      <c r="O199" t="s">
        <v>22</v>
      </c>
      <c r="P199">
        <v>3</v>
      </c>
      <c r="Q199" t="s">
        <v>23</v>
      </c>
      <c r="R199">
        <v>2.38</v>
      </c>
      <c r="S199" t="s">
        <v>20</v>
      </c>
    </row>
    <row r="200" spans="1:19" x14ac:dyDescent="0.3">
      <c r="A200" t="s">
        <v>237</v>
      </c>
      <c r="B200">
        <v>21</v>
      </c>
      <c r="C200" t="s">
        <v>20</v>
      </c>
      <c r="D200">
        <v>5</v>
      </c>
      <c r="E200" t="s">
        <v>21</v>
      </c>
      <c r="F200">
        <v>6.1</v>
      </c>
      <c r="G200">
        <v>13.5</v>
      </c>
      <c r="H200">
        <v>2</v>
      </c>
      <c r="I200">
        <v>3</v>
      </c>
      <c r="J200">
        <v>7</v>
      </c>
      <c r="K200">
        <v>7</v>
      </c>
      <c r="L200">
        <v>22.2</v>
      </c>
      <c r="M200">
        <v>84.4</v>
      </c>
      <c r="N200">
        <v>3</v>
      </c>
      <c r="O200" t="s">
        <v>22</v>
      </c>
      <c r="P200">
        <v>3</v>
      </c>
      <c r="Q200" t="s">
        <v>26</v>
      </c>
      <c r="R200">
        <v>3.9</v>
      </c>
      <c r="S200" t="s">
        <v>20</v>
      </c>
    </row>
    <row r="201" spans="1:19" x14ac:dyDescent="0.3">
      <c r="A201" t="s">
        <v>238</v>
      </c>
      <c r="B201">
        <v>21</v>
      </c>
      <c r="C201" t="s">
        <v>27</v>
      </c>
      <c r="D201">
        <v>1</v>
      </c>
      <c r="E201" t="s">
        <v>30</v>
      </c>
      <c r="F201">
        <v>3.1</v>
      </c>
      <c r="G201">
        <v>8.1</v>
      </c>
      <c r="H201">
        <v>1</v>
      </c>
      <c r="I201">
        <v>5</v>
      </c>
      <c r="J201">
        <v>2</v>
      </c>
      <c r="K201">
        <v>9</v>
      </c>
      <c r="L201">
        <v>18</v>
      </c>
      <c r="M201">
        <v>59.9</v>
      </c>
      <c r="N201">
        <v>3</v>
      </c>
      <c r="O201" t="s">
        <v>22</v>
      </c>
      <c r="P201">
        <v>5</v>
      </c>
      <c r="Q201" t="s">
        <v>26</v>
      </c>
      <c r="S201" t="s">
        <v>27</v>
      </c>
    </row>
    <row r="202" spans="1:19" x14ac:dyDescent="0.3">
      <c r="A202" t="s">
        <v>239</v>
      </c>
      <c r="B202">
        <v>22</v>
      </c>
      <c r="C202" t="s">
        <v>27</v>
      </c>
      <c r="D202">
        <v>2</v>
      </c>
      <c r="E202" t="s">
        <v>47</v>
      </c>
      <c r="F202">
        <v>7.4</v>
      </c>
      <c r="G202">
        <v>4.2</v>
      </c>
      <c r="H202">
        <v>1</v>
      </c>
      <c r="I202">
        <v>5</v>
      </c>
      <c r="J202">
        <v>4</v>
      </c>
      <c r="K202">
        <v>10</v>
      </c>
      <c r="L202">
        <v>18.3</v>
      </c>
      <c r="M202">
        <v>78.099999999999994</v>
      </c>
      <c r="N202">
        <v>5</v>
      </c>
      <c r="O202" t="s">
        <v>22</v>
      </c>
      <c r="P202">
        <v>5</v>
      </c>
      <c r="Q202" t="s">
        <v>23</v>
      </c>
      <c r="R202">
        <v>3.5</v>
      </c>
      <c r="S202" t="s">
        <v>27</v>
      </c>
    </row>
    <row r="203" spans="1:19" x14ac:dyDescent="0.3">
      <c r="A203" t="s">
        <v>240</v>
      </c>
      <c r="B203">
        <v>24</v>
      </c>
      <c r="C203" t="s">
        <v>45</v>
      </c>
      <c r="D203">
        <v>2</v>
      </c>
      <c r="E203" t="s">
        <v>30</v>
      </c>
      <c r="F203">
        <v>4.7</v>
      </c>
      <c r="G203">
        <v>4.7</v>
      </c>
      <c r="H203">
        <v>1</v>
      </c>
      <c r="I203">
        <v>7</v>
      </c>
      <c r="J203">
        <v>7</v>
      </c>
      <c r="K203">
        <v>20</v>
      </c>
      <c r="L203">
        <v>29.8</v>
      </c>
      <c r="M203">
        <v>100</v>
      </c>
      <c r="N203">
        <v>2</v>
      </c>
      <c r="O203" t="s">
        <v>33</v>
      </c>
      <c r="P203">
        <v>5</v>
      </c>
      <c r="Q203" t="s">
        <v>23</v>
      </c>
      <c r="R203">
        <v>3.09</v>
      </c>
      <c r="S203" t="s">
        <v>20</v>
      </c>
    </row>
    <row r="204" spans="1:19" x14ac:dyDescent="0.3">
      <c r="A204" t="s">
        <v>241</v>
      </c>
      <c r="B204">
        <v>22</v>
      </c>
      <c r="C204" t="s">
        <v>27</v>
      </c>
      <c r="D204">
        <v>5</v>
      </c>
      <c r="E204" t="s">
        <v>30</v>
      </c>
      <c r="F204">
        <v>6.8</v>
      </c>
      <c r="G204">
        <v>2.4</v>
      </c>
      <c r="H204">
        <v>0</v>
      </c>
      <c r="I204">
        <v>2</v>
      </c>
      <c r="J204">
        <v>3</v>
      </c>
      <c r="K204">
        <v>9</v>
      </c>
      <c r="L204">
        <v>12.8</v>
      </c>
      <c r="M204">
        <v>66.2</v>
      </c>
      <c r="N204">
        <v>1</v>
      </c>
      <c r="O204" t="s">
        <v>22</v>
      </c>
      <c r="P204">
        <v>2</v>
      </c>
      <c r="Q204" t="s">
        <v>26</v>
      </c>
      <c r="R204">
        <v>2.69</v>
      </c>
      <c r="S204" t="s">
        <v>27</v>
      </c>
    </row>
    <row r="205" spans="1:19" x14ac:dyDescent="0.3">
      <c r="A205" t="s">
        <v>242</v>
      </c>
      <c r="B205">
        <v>23</v>
      </c>
      <c r="C205" t="s">
        <v>20</v>
      </c>
      <c r="D205">
        <v>3</v>
      </c>
      <c r="E205" t="s">
        <v>30</v>
      </c>
      <c r="F205">
        <v>7.1</v>
      </c>
      <c r="G205">
        <v>2.8</v>
      </c>
      <c r="H205">
        <v>2</v>
      </c>
      <c r="K205">
        <v>8</v>
      </c>
      <c r="L205">
        <v>33</v>
      </c>
      <c r="M205">
        <v>83.8</v>
      </c>
      <c r="N205">
        <v>4</v>
      </c>
      <c r="O205" t="s">
        <v>33</v>
      </c>
      <c r="P205">
        <v>3</v>
      </c>
      <c r="Q205" t="s">
        <v>26</v>
      </c>
      <c r="R205">
        <v>3.25</v>
      </c>
      <c r="S205" t="s">
        <v>20</v>
      </c>
    </row>
    <row r="206" spans="1:19" x14ac:dyDescent="0.3">
      <c r="A206" t="s">
        <v>243</v>
      </c>
      <c r="B206">
        <v>17</v>
      </c>
      <c r="C206" t="s">
        <v>20</v>
      </c>
      <c r="D206">
        <v>4</v>
      </c>
      <c r="E206" t="s">
        <v>47</v>
      </c>
      <c r="F206">
        <v>7.4</v>
      </c>
      <c r="G206">
        <v>4.0999999999999996</v>
      </c>
      <c r="H206">
        <v>5</v>
      </c>
      <c r="I206">
        <v>2</v>
      </c>
      <c r="J206">
        <v>4</v>
      </c>
      <c r="K206">
        <v>10</v>
      </c>
      <c r="L206">
        <v>30.8</v>
      </c>
      <c r="M206">
        <v>80.7</v>
      </c>
      <c r="N206">
        <v>1</v>
      </c>
      <c r="O206" t="s">
        <v>22</v>
      </c>
      <c r="P206">
        <v>4</v>
      </c>
      <c r="Q206" t="s">
        <v>51</v>
      </c>
      <c r="R206">
        <v>3.34</v>
      </c>
      <c r="S206" t="s">
        <v>20</v>
      </c>
    </row>
    <row r="207" spans="1:19" x14ac:dyDescent="0.3">
      <c r="A207" t="s">
        <v>244</v>
      </c>
      <c r="B207">
        <v>21</v>
      </c>
      <c r="C207" t="s">
        <v>20</v>
      </c>
      <c r="D207">
        <v>1</v>
      </c>
      <c r="E207" t="s">
        <v>21</v>
      </c>
      <c r="F207">
        <v>7</v>
      </c>
      <c r="G207">
        <v>3.8</v>
      </c>
      <c r="H207">
        <v>4</v>
      </c>
      <c r="I207">
        <v>2</v>
      </c>
      <c r="J207">
        <v>3</v>
      </c>
      <c r="K207">
        <v>14</v>
      </c>
      <c r="L207">
        <v>23.6</v>
      </c>
      <c r="M207">
        <v>80.099999999999994</v>
      </c>
      <c r="N207">
        <v>2</v>
      </c>
      <c r="O207" t="s">
        <v>22</v>
      </c>
      <c r="P207">
        <v>2</v>
      </c>
      <c r="Q207" t="s">
        <v>23</v>
      </c>
      <c r="R207">
        <v>3</v>
      </c>
      <c r="S207" t="s">
        <v>20</v>
      </c>
    </row>
    <row r="208" spans="1:19" x14ac:dyDescent="0.3">
      <c r="A208" t="s">
        <v>245</v>
      </c>
      <c r="B208">
        <v>20</v>
      </c>
      <c r="C208" t="s">
        <v>20</v>
      </c>
      <c r="D208">
        <v>5</v>
      </c>
      <c r="E208" t="s">
        <v>49</v>
      </c>
      <c r="F208">
        <v>3.8</v>
      </c>
      <c r="G208">
        <v>1.5</v>
      </c>
      <c r="H208">
        <v>2</v>
      </c>
      <c r="I208">
        <v>6</v>
      </c>
      <c r="J208">
        <v>10</v>
      </c>
      <c r="K208">
        <v>8</v>
      </c>
      <c r="L208">
        <v>9.4</v>
      </c>
      <c r="M208">
        <v>81.099999999999994</v>
      </c>
      <c r="N208">
        <v>4</v>
      </c>
      <c r="O208" t="s">
        <v>33</v>
      </c>
      <c r="P208">
        <v>4</v>
      </c>
      <c r="Q208" t="s">
        <v>23</v>
      </c>
      <c r="R208">
        <v>2.7</v>
      </c>
      <c r="S208" t="s">
        <v>20</v>
      </c>
    </row>
    <row r="209" spans="1:19" x14ac:dyDescent="0.3">
      <c r="A209" t="s">
        <v>246</v>
      </c>
      <c r="B209">
        <v>19</v>
      </c>
      <c r="C209" t="s">
        <v>39</v>
      </c>
      <c r="D209">
        <v>3</v>
      </c>
      <c r="E209" t="s">
        <v>47</v>
      </c>
      <c r="F209">
        <v>5.0999999999999996</v>
      </c>
      <c r="G209">
        <v>10</v>
      </c>
      <c r="H209">
        <v>3</v>
      </c>
      <c r="I209">
        <v>5</v>
      </c>
      <c r="J209">
        <v>5</v>
      </c>
      <c r="K209">
        <v>8</v>
      </c>
      <c r="L209">
        <v>1.6</v>
      </c>
      <c r="M209">
        <v>89.3</v>
      </c>
      <c r="N209">
        <v>4</v>
      </c>
      <c r="O209" t="s">
        <v>22</v>
      </c>
      <c r="P209">
        <v>2</v>
      </c>
      <c r="Q209" t="s">
        <v>23</v>
      </c>
      <c r="R209">
        <v>2.67</v>
      </c>
      <c r="S209" t="s">
        <v>27</v>
      </c>
    </row>
    <row r="210" spans="1:19" x14ac:dyDescent="0.3">
      <c r="A210" t="s">
        <v>247</v>
      </c>
      <c r="B210">
        <v>20</v>
      </c>
      <c r="C210" t="s">
        <v>25</v>
      </c>
      <c r="D210">
        <v>3</v>
      </c>
      <c r="E210" t="s">
        <v>30</v>
      </c>
      <c r="F210">
        <v>5.6</v>
      </c>
      <c r="G210">
        <v>10.9</v>
      </c>
      <c r="H210">
        <v>3</v>
      </c>
      <c r="I210">
        <v>2</v>
      </c>
      <c r="J210">
        <v>6</v>
      </c>
      <c r="K210">
        <v>8</v>
      </c>
      <c r="L210">
        <v>28</v>
      </c>
      <c r="M210">
        <v>87.7</v>
      </c>
      <c r="N210">
        <v>3</v>
      </c>
      <c r="O210" t="s">
        <v>22</v>
      </c>
      <c r="P210">
        <v>3</v>
      </c>
      <c r="Q210" t="s">
        <v>23</v>
      </c>
      <c r="R210">
        <v>3.18</v>
      </c>
      <c r="S210" t="s">
        <v>27</v>
      </c>
    </row>
    <row r="211" spans="1:19" x14ac:dyDescent="0.3">
      <c r="A211" t="s">
        <v>248</v>
      </c>
      <c r="B211">
        <v>21</v>
      </c>
      <c r="C211" t="s">
        <v>27</v>
      </c>
      <c r="D211">
        <v>5</v>
      </c>
      <c r="E211" t="s">
        <v>49</v>
      </c>
      <c r="F211">
        <v>5.7</v>
      </c>
      <c r="G211">
        <v>9.8000000000000007</v>
      </c>
      <c r="H211">
        <v>4</v>
      </c>
      <c r="I211">
        <v>1</v>
      </c>
      <c r="J211">
        <v>0</v>
      </c>
      <c r="K211">
        <v>4</v>
      </c>
      <c r="L211">
        <v>19.3</v>
      </c>
      <c r="M211">
        <v>100</v>
      </c>
      <c r="N211">
        <v>3</v>
      </c>
      <c r="O211" t="s">
        <v>22</v>
      </c>
      <c r="P211">
        <v>5</v>
      </c>
      <c r="Q211" t="s">
        <v>23</v>
      </c>
      <c r="R211">
        <v>3.05</v>
      </c>
      <c r="S211" t="s">
        <v>27</v>
      </c>
    </row>
    <row r="212" spans="1:19" x14ac:dyDescent="0.3">
      <c r="A212" t="s">
        <v>249</v>
      </c>
      <c r="B212">
        <v>23</v>
      </c>
      <c r="C212" t="s">
        <v>20</v>
      </c>
      <c r="D212">
        <v>2</v>
      </c>
      <c r="E212" t="s">
        <v>30</v>
      </c>
      <c r="F212">
        <v>6.4</v>
      </c>
      <c r="G212">
        <v>11.1</v>
      </c>
      <c r="H212">
        <v>1</v>
      </c>
      <c r="I212">
        <v>4</v>
      </c>
      <c r="J212">
        <v>3</v>
      </c>
      <c r="K212">
        <v>8</v>
      </c>
      <c r="L212">
        <v>16.5</v>
      </c>
      <c r="M212">
        <v>79.900000000000006</v>
      </c>
      <c r="N212">
        <v>4</v>
      </c>
      <c r="O212" t="s">
        <v>33</v>
      </c>
      <c r="P212">
        <v>2</v>
      </c>
      <c r="Q212" t="s">
        <v>26</v>
      </c>
      <c r="R212">
        <v>3.03</v>
      </c>
      <c r="S212" t="s">
        <v>20</v>
      </c>
    </row>
    <row r="213" spans="1:19" x14ac:dyDescent="0.3">
      <c r="A213" t="s">
        <v>250</v>
      </c>
      <c r="B213">
        <v>19</v>
      </c>
      <c r="C213" t="s">
        <v>27</v>
      </c>
      <c r="D213">
        <v>2</v>
      </c>
      <c r="E213" t="s">
        <v>30</v>
      </c>
      <c r="F213">
        <v>5.8</v>
      </c>
      <c r="G213">
        <v>15.9</v>
      </c>
      <c r="H213">
        <v>2</v>
      </c>
      <c r="I213">
        <v>4</v>
      </c>
      <c r="J213">
        <v>6</v>
      </c>
      <c r="K213">
        <v>6</v>
      </c>
      <c r="L213">
        <v>28.2</v>
      </c>
      <c r="M213">
        <v>75.599999999999994</v>
      </c>
      <c r="N213">
        <v>4</v>
      </c>
      <c r="O213" t="s">
        <v>33</v>
      </c>
      <c r="P213">
        <v>5</v>
      </c>
      <c r="Q213" t="s">
        <v>26</v>
      </c>
      <c r="R213">
        <v>2.92</v>
      </c>
      <c r="S213" t="s">
        <v>27</v>
      </c>
    </row>
    <row r="214" spans="1:19" x14ac:dyDescent="0.3">
      <c r="A214" t="s">
        <v>251</v>
      </c>
      <c r="B214">
        <v>22</v>
      </c>
      <c r="C214" t="s">
        <v>20</v>
      </c>
      <c r="D214">
        <v>3</v>
      </c>
      <c r="E214" t="s">
        <v>49</v>
      </c>
      <c r="F214">
        <v>7.2</v>
      </c>
      <c r="G214">
        <v>2.4</v>
      </c>
      <c r="H214">
        <v>2</v>
      </c>
      <c r="I214">
        <v>2</v>
      </c>
      <c r="J214">
        <v>5</v>
      </c>
      <c r="K214">
        <v>13</v>
      </c>
      <c r="L214">
        <v>7.3</v>
      </c>
      <c r="M214">
        <v>61.9</v>
      </c>
      <c r="N214">
        <v>4</v>
      </c>
      <c r="O214" t="s">
        <v>33</v>
      </c>
      <c r="P214">
        <v>2</v>
      </c>
      <c r="Q214" t="s">
        <v>51</v>
      </c>
      <c r="R214">
        <v>2.78</v>
      </c>
      <c r="S214" t="s">
        <v>20</v>
      </c>
    </row>
    <row r="215" spans="1:19" x14ac:dyDescent="0.3">
      <c r="A215" t="s">
        <v>252</v>
      </c>
      <c r="B215">
        <v>20</v>
      </c>
      <c r="C215" t="s">
        <v>61</v>
      </c>
      <c r="D215">
        <v>1</v>
      </c>
      <c r="E215" t="s">
        <v>35</v>
      </c>
      <c r="F215">
        <v>4.5999999999999996</v>
      </c>
      <c r="G215">
        <v>15.5</v>
      </c>
      <c r="H215">
        <v>0</v>
      </c>
      <c r="I215">
        <v>7</v>
      </c>
      <c r="J215">
        <v>5</v>
      </c>
      <c r="K215">
        <v>8</v>
      </c>
      <c r="L215">
        <v>10.9</v>
      </c>
      <c r="M215">
        <v>47.6</v>
      </c>
      <c r="N215">
        <v>4</v>
      </c>
      <c r="O215" t="s">
        <v>22</v>
      </c>
      <c r="P215">
        <v>1</v>
      </c>
      <c r="Q215" t="s">
        <v>51</v>
      </c>
      <c r="R215">
        <v>2.78</v>
      </c>
      <c r="S215" t="s">
        <v>61</v>
      </c>
    </row>
    <row r="216" spans="1:19" x14ac:dyDescent="0.3">
      <c r="A216" t="s">
        <v>253</v>
      </c>
      <c r="B216">
        <v>21</v>
      </c>
      <c r="C216" t="s">
        <v>27</v>
      </c>
      <c r="D216">
        <v>2</v>
      </c>
      <c r="E216" t="s">
        <v>30</v>
      </c>
      <c r="F216">
        <v>4.0999999999999996</v>
      </c>
      <c r="G216">
        <v>3.4</v>
      </c>
      <c r="H216">
        <v>2</v>
      </c>
      <c r="I216">
        <v>7</v>
      </c>
      <c r="J216">
        <v>7</v>
      </c>
      <c r="K216">
        <v>12</v>
      </c>
      <c r="L216">
        <v>27.7</v>
      </c>
      <c r="M216">
        <v>90</v>
      </c>
      <c r="N216">
        <v>4</v>
      </c>
      <c r="O216" t="s">
        <v>22</v>
      </c>
      <c r="P216">
        <v>2</v>
      </c>
      <c r="Q216" t="s">
        <v>23</v>
      </c>
      <c r="R216">
        <v>3.14</v>
      </c>
      <c r="S216" t="s">
        <v>27</v>
      </c>
    </row>
    <row r="217" spans="1:19" x14ac:dyDescent="0.3">
      <c r="A217" t="s">
        <v>254</v>
      </c>
      <c r="B217">
        <v>24</v>
      </c>
      <c r="C217" t="s">
        <v>20</v>
      </c>
      <c r="D217">
        <v>1</v>
      </c>
      <c r="E217" t="s">
        <v>32</v>
      </c>
      <c r="F217">
        <v>5.7</v>
      </c>
      <c r="G217">
        <v>6.7</v>
      </c>
      <c r="H217">
        <v>5</v>
      </c>
      <c r="I217">
        <v>2</v>
      </c>
      <c r="J217">
        <v>1</v>
      </c>
      <c r="K217">
        <v>10</v>
      </c>
      <c r="L217">
        <v>7.7</v>
      </c>
      <c r="M217">
        <v>100</v>
      </c>
      <c r="N217">
        <v>5</v>
      </c>
      <c r="O217" t="s">
        <v>33</v>
      </c>
      <c r="P217">
        <v>2</v>
      </c>
      <c r="Q217" t="s">
        <v>26</v>
      </c>
      <c r="S217" t="s">
        <v>20</v>
      </c>
    </row>
    <row r="218" spans="1:19" x14ac:dyDescent="0.3">
      <c r="A218" t="s">
        <v>255</v>
      </c>
      <c r="B218">
        <v>23</v>
      </c>
      <c r="C218" t="s">
        <v>102</v>
      </c>
      <c r="D218">
        <v>1</v>
      </c>
      <c r="E218" t="s">
        <v>30</v>
      </c>
      <c r="F218">
        <v>7.2</v>
      </c>
      <c r="G218">
        <v>1.2</v>
      </c>
      <c r="H218">
        <v>5</v>
      </c>
      <c r="K218">
        <v>9</v>
      </c>
      <c r="L218">
        <v>78.599999999999994</v>
      </c>
      <c r="M218">
        <v>98.1</v>
      </c>
      <c r="N218">
        <v>4</v>
      </c>
      <c r="O218" t="s">
        <v>22</v>
      </c>
      <c r="P218">
        <v>3</v>
      </c>
      <c r="Q218" t="s">
        <v>26</v>
      </c>
      <c r="S218" t="s">
        <v>20</v>
      </c>
    </row>
    <row r="219" spans="1:19" x14ac:dyDescent="0.3">
      <c r="A219" t="s">
        <v>256</v>
      </c>
      <c r="B219">
        <v>24</v>
      </c>
      <c r="C219" t="s">
        <v>27</v>
      </c>
      <c r="D219">
        <v>4</v>
      </c>
      <c r="E219" t="s">
        <v>32</v>
      </c>
      <c r="F219">
        <v>5.2</v>
      </c>
      <c r="G219">
        <v>3.1</v>
      </c>
      <c r="H219">
        <v>0</v>
      </c>
      <c r="I219">
        <v>8</v>
      </c>
      <c r="J219">
        <v>9</v>
      </c>
      <c r="K219">
        <v>11</v>
      </c>
      <c r="L219">
        <v>22.6</v>
      </c>
      <c r="M219">
        <v>91.7</v>
      </c>
      <c r="N219">
        <v>2</v>
      </c>
      <c r="O219" t="s">
        <v>33</v>
      </c>
      <c r="P219">
        <v>1</v>
      </c>
      <c r="Q219" t="s">
        <v>26</v>
      </c>
      <c r="R219">
        <v>2.96</v>
      </c>
      <c r="S219" t="s">
        <v>27</v>
      </c>
    </row>
    <row r="220" spans="1:19" x14ac:dyDescent="0.3">
      <c r="A220" t="s">
        <v>257</v>
      </c>
      <c r="B220">
        <v>21</v>
      </c>
      <c r="C220" t="s">
        <v>20</v>
      </c>
      <c r="D220">
        <v>3</v>
      </c>
      <c r="E220" t="s">
        <v>32</v>
      </c>
      <c r="F220">
        <v>6.2</v>
      </c>
      <c r="G220">
        <v>8.3000000000000007</v>
      </c>
      <c r="H220">
        <v>2</v>
      </c>
      <c r="I220">
        <v>5</v>
      </c>
      <c r="J220">
        <v>4</v>
      </c>
      <c r="K220">
        <v>6</v>
      </c>
      <c r="L220">
        <v>18.399999999999999</v>
      </c>
      <c r="M220">
        <v>78.8</v>
      </c>
      <c r="N220">
        <v>5</v>
      </c>
      <c r="O220" t="s">
        <v>22</v>
      </c>
      <c r="P220">
        <v>4</v>
      </c>
      <c r="Q220" t="s">
        <v>51</v>
      </c>
      <c r="R220">
        <v>3.43</v>
      </c>
      <c r="S220" t="s">
        <v>20</v>
      </c>
    </row>
    <row r="221" spans="1:19" x14ac:dyDescent="0.3">
      <c r="A221" t="s">
        <v>258</v>
      </c>
      <c r="B221">
        <v>20</v>
      </c>
      <c r="C221" t="s">
        <v>39</v>
      </c>
      <c r="D221">
        <v>2</v>
      </c>
      <c r="E221" t="s">
        <v>32</v>
      </c>
      <c r="F221">
        <v>6.8</v>
      </c>
      <c r="G221">
        <v>6.9</v>
      </c>
      <c r="H221">
        <v>2</v>
      </c>
      <c r="I221">
        <v>7</v>
      </c>
      <c r="J221">
        <v>6</v>
      </c>
      <c r="K221">
        <v>12</v>
      </c>
      <c r="L221">
        <v>26.9</v>
      </c>
      <c r="M221">
        <v>77.3</v>
      </c>
      <c r="N221">
        <v>5</v>
      </c>
      <c r="O221" t="s">
        <v>22</v>
      </c>
      <c r="P221">
        <v>5</v>
      </c>
      <c r="Q221" t="s">
        <v>23</v>
      </c>
      <c r="R221">
        <v>3.52</v>
      </c>
      <c r="S221" t="s">
        <v>27</v>
      </c>
    </row>
    <row r="222" spans="1:19" x14ac:dyDescent="0.3">
      <c r="A222" t="s">
        <v>259</v>
      </c>
      <c r="B222">
        <v>21</v>
      </c>
      <c r="C222" t="s">
        <v>27</v>
      </c>
      <c r="D222">
        <v>2</v>
      </c>
      <c r="E222" t="s">
        <v>32</v>
      </c>
      <c r="F222">
        <v>7.2</v>
      </c>
      <c r="G222">
        <v>3.4</v>
      </c>
      <c r="H222">
        <v>3</v>
      </c>
      <c r="I222">
        <v>5</v>
      </c>
      <c r="J222">
        <v>3</v>
      </c>
      <c r="K222">
        <v>7</v>
      </c>
      <c r="L222">
        <v>23.5</v>
      </c>
      <c r="M222">
        <v>93.8</v>
      </c>
      <c r="N222">
        <v>3</v>
      </c>
      <c r="O222" t="s">
        <v>22</v>
      </c>
      <c r="P222">
        <v>3</v>
      </c>
      <c r="Q222" t="s">
        <v>23</v>
      </c>
      <c r="R222">
        <v>3.79</v>
      </c>
      <c r="S222" t="s">
        <v>27</v>
      </c>
    </row>
    <row r="223" spans="1:19" x14ac:dyDescent="0.3">
      <c r="A223" t="s">
        <v>260</v>
      </c>
      <c r="B223">
        <v>22</v>
      </c>
      <c r="C223" t="s">
        <v>27</v>
      </c>
      <c r="D223">
        <v>2</v>
      </c>
      <c r="E223" t="s">
        <v>30</v>
      </c>
      <c r="F223">
        <v>3</v>
      </c>
      <c r="G223">
        <v>4.7</v>
      </c>
      <c r="H223">
        <v>3</v>
      </c>
      <c r="I223">
        <v>7</v>
      </c>
      <c r="J223">
        <v>5</v>
      </c>
      <c r="K223">
        <v>13</v>
      </c>
      <c r="L223">
        <v>23.2</v>
      </c>
      <c r="M223">
        <v>100</v>
      </c>
      <c r="N223">
        <v>1</v>
      </c>
      <c r="O223" t="s">
        <v>33</v>
      </c>
      <c r="P223">
        <v>2</v>
      </c>
      <c r="Q223" t="s">
        <v>51</v>
      </c>
      <c r="R223">
        <v>3.07</v>
      </c>
      <c r="S223" t="s">
        <v>27</v>
      </c>
    </row>
    <row r="224" spans="1:19" x14ac:dyDescent="0.3">
      <c r="A224" t="s">
        <v>261</v>
      </c>
      <c r="B224">
        <v>22</v>
      </c>
      <c r="C224" t="s">
        <v>27</v>
      </c>
      <c r="D224">
        <v>3</v>
      </c>
      <c r="E224" t="s">
        <v>49</v>
      </c>
      <c r="F224">
        <v>4.7</v>
      </c>
      <c r="G224">
        <v>2.9</v>
      </c>
      <c r="H224">
        <v>0</v>
      </c>
      <c r="I224">
        <v>21</v>
      </c>
      <c r="J224">
        <v>19</v>
      </c>
      <c r="K224">
        <v>23</v>
      </c>
      <c r="L224">
        <v>1</v>
      </c>
      <c r="M224">
        <v>90.8</v>
      </c>
      <c r="N224">
        <v>4</v>
      </c>
      <c r="O224" t="s">
        <v>33</v>
      </c>
      <c r="P224">
        <v>3</v>
      </c>
      <c r="Q224" t="s">
        <v>26</v>
      </c>
      <c r="R224">
        <v>2.1800000000000002</v>
      </c>
      <c r="S224" t="s">
        <v>27</v>
      </c>
    </row>
    <row r="225" spans="1:19" x14ac:dyDescent="0.3">
      <c r="A225" t="s">
        <v>262</v>
      </c>
      <c r="B225">
        <v>19</v>
      </c>
      <c r="C225" t="s">
        <v>45</v>
      </c>
      <c r="D225">
        <v>4</v>
      </c>
      <c r="E225" t="s">
        <v>49</v>
      </c>
      <c r="F225">
        <v>8.5</v>
      </c>
      <c r="G225">
        <v>8.3000000000000007</v>
      </c>
      <c r="H225">
        <v>4</v>
      </c>
      <c r="I225">
        <v>7</v>
      </c>
      <c r="J225">
        <v>7</v>
      </c>
      <c r="K225">
        <v>15</v>
      </c>
      <c r="L225">
        <v>10.1</v>
      </c>
      <c r="M225">
        <v>87.5</v>
      </c>
      <c r="N225">
        <v>3</v>
      </c>
      <c r="O225" t="s">
        <v>33</v>
      </c>
      <c r="P225">
        <v>4</v>
      </c>
      <c r="Q225" t="s">
        <v>23</v>
      </c>
      <c r="R225">
        <v>2.57</v>
      </c>
      <c r="S225" t="s">
        <v>20</v>
      </c>
    </row>
    <row r="226" spans="1:19" x14ac:dyDescent="0.3">
      <c r="A226" t="s">
        <v>263</v>
      </c>
      <c r="B226">
        <v>22</v>
      </c>
      <c r="C226" t="s">
        <v>27</v>
      </c>
      <c r="D226">
        <v>5</v>
      </c>
      <c r="E226" t="s">
        <v>49</v>
      </c>
      <c r="F226">
        <v>5</v>
      </c>
      <c r="G226">
        <v>10.4</v>
      </c>
      <c r="H226">
        <v>6</v>
      </c>
      <c r="I226">
        <v>22</v>
      </c>
      <c r="J226">
        <v>14</v>
      </c>
      <c r="K226">
        <v>26</v>
      </c>
      <c r="L226">
        <v>19.5</v>
      </c>
      <c r="M226">
        <v>77</v>
      </c>
      <c r="N226">
        <v>4</v>
      </c>
      <c r="O226" t="s">
        <v>22</v>
      </c>
      <c r="P226">
        <v>3</v>
      </c>
      <c r="Q226" t="s">
        <v>26</v>
      </c>
      <c r="R226">
        <v>2.74</v>
      </c>
      <c r="S226" t="s">
        <v>27</v>
      </c>
    </row>
    <row r="227" spans="1:19" x14ac:dyDescent="0.3">
      <c r="A227" t="s">
        <v>264</v>
      </c>
      <c r="B227">
        <v>22</v>
      </c>
      <c r="C227" t="s">
        <v>27</v>
      </c>
      <c r="D227">
        <v>2</v>
      </c>
      <c r="E227" t="s">
        <v>30</v>
      </c>
      <c r="F227">
        <v>4.3</v>
      </c>
      <c r="G227">
        <v>2.5</v>
      </c>
      <c r="H227">
        <v>3</v>
      </c>
      <c r="I227">
        <v>3</v>
      </c>
      <c r="J227">
        <v>3</v>
      </c>
      <c r="K227">
        <v>9</v>
      </c>
      <c r="L227">
        <v>11</v>
      </c>
      <c r="M227">
        <v>82.8</v>
      </c>
      <c r="N227">
        <v>3</v>
      </c>
      <c r="O227" t="s">
        <v>22</v>
      </c>
      <c r="P227">
        <v>1</v>
      </c>
      <c r="Q227" t="s">
        <v>26</v>
      </c>
      <c r="R227">
        <v>2.58</v>
      </c>
      <c r="S227" t="s">
        <v>27</v>
      </c>
    </row>
    <row r="228" spans="1:19" x14ac:dyDescent="0.3">
      <c r="A228" t="s">
        <v>265</v>
      </c>
      <c r="B228">
        <v>27</v>
      </c>
      <c r="C228" t="s">
        <v>27</v>
      </c>
      <c r="D228">
        <v>2</v>
      </c>
      <c r="E228" t="s">
        <v>21</v>
      </c>
      <c r="F228">
        <v>7.7</v>
      </c>
      <c r="G228">
        <v>4.4000000000000004</v>
      </c>
      <c r="H228">
        <v>3</v>
      </c>
      <c r="I228">
        <v>6</v>
      </c>
      <c r="J228">
        <v>3</v>
      </c>
      <c r="K228">
        <v>15</v>
      </c>
      <c r="L228">
        <v>18</v>
      </c>
      <c r="M228">
        <v>75.599999999999994</v>
      </c>
      <c r="N228">
        <v>1</v>
      </c>
      <c r="O228" t="s">
        <v>33</v>
      </c>
      <c r="P228">
        <v>3</v>
      </c>
      <c r="Q228" t="s">
        <v>51</v>
      </c>
      <c r="R228">
        <v>3.02</v>
      </c>
      <c r="S228" t="s">
        <v>27</v>
      </c>
    </row>
    <row r="229" spans="1:19" x14ac:dyDescent="0.3">
      <c r="A229" t="s">
        <v>266</v>
      </c>
      <c r="B229">
        <v>25</v>
      </c>
      <c r="C229" t="s">
        <v>27</v>
      </c>
      <c r="D229">
        <v>2</v>
      </c>
      <c r="E229" t="s">
        <v>21</v>
      </c>
      <c r="F229">
        <v>6.6</v>
      </c>
      <c r="G229">
        <v>1.4</v>
      </c>
      <c r="H229">
        <v>3</v>
      </c>
      <c r="I229">
        <v>1</v>
      </c>
      <c r="J229">
        <v>1</v>
      </c>
      <c r="K229">
        <v>5</v>
      </c>
      <c r="L229">
        <v>20</v>
      </c>
      <c r="M229">
        <v>62.7</v>
      </c>
      <c r="N229">
        <v>2</v>
      </c>
      <c r="O229" t="s">
        <v>22</v>
      </c>
      <c r="P229">
        <v>3</v>
      </c>
      <c r="Q229" t="s">
        <v>51</v>
      </c>
      <c r="R229">
        <v>3.87</v>
      </c>
      <c r="S229" t="s">
        <v>27</v>
      </c>
    </row>
    <row r="230" spans="1:19" x14ac:dyDescent="0.3">
      <c r="A230" t="s">
        <v>267</v>
      </c>
      <c r="B230">
        <v>20</v>
      </c>
      <c r="C230" t="s">
        <v>20</v>
      </c>
      <c r="D230">
        <v>3</v>
      </c>
      <c r="E230" t="s">
        <v>30</v>
      </c>
      <c r="F230">
        <v>7.5</v>
      </c>
      <c r="G230">
        <v>5.2</v>
      </c>
      <c r="H230">
        <v>2</v>
      </c>
      <c r="I230">
        <v>7</v>
      </c>
      <c r="J230">
        <v>9</v>
      </c>
      <c r="K230">
        <v>11</v>
      </c>
      <c r="L230">
        <v>33.700000000000003</v>
      </c>
      <c r="M230">
        <v>70.3</v>
      </c>
      <c r="N230">
        <v>5</v>
      </c>
      <c r="O230" t="s">
        <v>22</v>
      </c>
      <c r="P230">
        <v>3</v>
      </c>
      <c r="Q230" t="s">
        <v>26</v>
      </c>
      <c r="R230">
        <v>3.26</v>
      </c>
      <c r="S230" t="s">
        <v>20</v>
      </c>
    </row>
    <row r="231" spans="1:19" x14ac:dyDescent="0.3">
      <c r="A231" t="s">
        <v>268</v>
      </c>
      <c r="B231">
        <v>21</v>
      </c>
      <c r="C231" t="s">
        <v>27</v>
      </c>
      <c r="D231">
        <v>2</v>
      </c>
      <c r="E231" t="s">
        <v>30</v>
      </c>
      <c r="F231">
        <v>6</v>
      </c>
      <c r="G231">
        <v>6.2</v>
      </c>
      <c r="H231">
        <v>1</v>
      </c>
      <c r="I231">
        <v>10</v>
      </c>
      <c r="J231">
        <v>8</v>
      </c>
      <c r="K231">
        <v>14</v>
      </c>
      <c r="L231">
        <v>14.3</v>
      </c>
      <c r="M231">
        <v>75.3</v>
      </c>
      <c r="N231">
        <v>1</v>
      </c>
      <c r="O231" t="s">
        <v>22</v>
      </c>
      <c r="P231">
        <v>1</v>
      </c>
      <c r="Q231" t="s">
        <v>26</v>
      </c>
      <c r="R231">
        <v>2.75</v>
      </c>
      <c r="S231" t="s">
        <v>27</v>
      </c>
    </row>
    <row r="232" spans="1:19" x14ac:dyDescent="0.3">
      <c r="A232" t="s">
        <v>269</v>
      </c>
      <c r="B232">
        <v>18</v>
      </c>
      <c r="C232" t="s">
        <v>20</v>
      </c>
      <c r="D232">
        <v>3</v>
      </c>
      <c r="E232" t="s">
        <v>21</v>
      </c>
      <c r="F232">
        <v>6.7</v>
      </c>
      <c r="G232">
        <v>5.5</v>
      </c>
      <c r="H232">
        <v>3</v>
      </c>
      <c r="I232">
        <v>4</v>
      </c>
      <c r="J232">
        <v>8</v>
      </c>
      <c r="K232">
        <v>10</v>
      </c>
      <c r="L232">
        <v>14.4</v>
      </c>
      <c r="M232">
        <v>77.2</v>
      </c>
      <c r="N232">
        <v>4</v>
      </c>
      <c r="O232" t="s">
        <v>22</v>
      </c>
      <c r="P232">
        <v>5</v>
      </c>
      <c r="Q232" t="s">
        <v>23</v>
      </c>
      <c r="R232">
        <v>3.15</v>
      </c>
      <c r="S232" t="s">
        <v>20</v>
      </c>
    </row>
    <row r="233" spans="1:19" x14ac:dyDescent="0.3">
      <c r="A233" t="s">
        <v>270</v>
      </c>
      <c r="B233">
        <v>20</v>
      </c>
      <c r="C233" t="s">
        <v>20</v>
      </c>
      <c r="D233">
        <v>3</v>
      </c>
      <c r="E233" t="s">
        <v>49</v>
      </c>
      <c r="F233">
        <v>6.6</v>
      </c>
      <c r="G233">
        <v>5.9</v>
      </c>
      <c r="H233">
        <v>0</v>
      </c>
      <c r="I233">
        <v>3</v>
      </c>
      <c r="J233">
        <v>4</v>
      </c>
      <c r="K233">
        <v>8</v>
      </c>
      <c r="L233">
        <v>18.2</v>
      </c>
      <c r="M233">
        <v>58</v>
      </c>
      <c r="N233">
        <v>3</v>
      </c>
      <c r="O233" t="s">
        <v>22</v>
      </c>
      <c r="P233">
        <v>2</v>
      </c>
      <c r="Q233" t="s">
        <v>26</v>
      </c>
      <c r="R233">
        <v>2.87</v>
      </c>
      <c r="S233" t="s">
        <v>20</v>
      </c>
    </row>
    <row r="234" spans="1:19" x14ac:dyDescent="0.3">
      <c r="A234" t="s">
        <v>271</v>
      </c>
      <c r="B234">
        <v>22</v>
      </c>
      <c r="C234" t="s">
        <v>25</v>
      </c>
      <c r="D234">
        <v>2</v>
      </c>
      <c r="E234" t="s">
        <v>30</v>
      </c>
      <c r="F234">
        <v>7.7</v>
      </c>
      <c r="G234">
        <v>4.0999999999999996</v>
      </c>
      <c r="H234">
        <v>4</v>
      </c>
      <c r="I234">
        <v>8</v>
      </c>
      <c r="J234">
        <v>7</v>
      </c>
      <c r="K234">
        <v>11</v>
      </c>
      <c r="L234">
        <v>20.100000000000001</v>
      </c>
      <c r="M234">
        <v>80.3</v>
      </c>
      <c r="N234">
        <v>3</v>
      </c>
      <c r="O234" t="s">
        <v>33</v>
      </c>
      <c r="P234">
        <v>2</v>
      </c>
      <c r="Q234" t="s">
        <v>23</v>
      </c>
      <c r="R234">
        <v>2.8</v>
      </c>
      <c r="S234" t="s">
        <v>27</v>
      </c>
    </row>
    <row r="235" spans="1:19" x14ac:dyDescent="0.3">
      <c r="A235" t="s">
        <v>272</v>
      </c>
      <c r="B235">
        <v>24</v>
      </c>
      <c r="C235" t="s">
        <v>27</v>
      </c>
      <c r="D235">
        <v>2</v>
      </c>
      <c r="E235" t="s">
        <v>47</v>
      </c>
      <c r="F235">
        <v>9.1</v>
      </c>
      <c r="G235">
        <v>4.0999999999999996</v>
      </c>
      <c r="H235">
        <v>2</v>
      </c>
      <c r="I235">
        <v>2</v>
      </c>
      <c r="J235">
        <v>5</v>
      </c>
      <c r="K235">
        <v>2</v>
      </c>
      <c r="L235">
        <v>20</v>
      </c>
      <c r="M235">
        <v>79</v>
      </c>
      <c r="N235">
        <v>3</v>
      </c>
      <c r="O235" t="s">
        <v>33</v>
      </c>
      <c r="P235">
        <v>2</v>
      </c>
      <c r="Q235" t="s">
        <v>23</v>
      </c>
      <c r="R235">
        <v>3.52</v>
      </c>
      <c r="S235" t="s">
        <v>27</v>
      </c>
    </row>
    <row r="236" spans="1:19" x14ac:dyDescent="0.3">
      <c r="A236" t="s">
        <v>273</v>
      </c>
      <c r="B236">
        <v>20</v>
      </c>
      <c r="C236" t="s">
        <v>25</v>
      </c>
      <c r="D236">
        <v>2</v>
      </c>
      <c r="E236" t="s">
        <v>32</v>
      </c>
      <c r="F236">
        <v>6.8</v>
      </c>
      <c r="G236">
        <v>4</v>
      </c>
      <c r="H236">
        <v>2</v>
      </c>
      <c r="I236">
        <v>1</v>
      </c>
      <c r="J236">
        <v>0</v>
      </c>
      <c r="K236">
        <v>4</v>
      </c>
      <c r="L236">
        <v>25.2</v>
      </c>
      <c r="M236">
        <v>66.5</v>
      </c>
      <c r="N236">
        <v>3</v>
      </c>
      <c r="O236" t="s">
        <v>22</v>
      </c>
      <c r="P236">
        <v>3</v>
      </c>
      <c r="Q236" t="s">
        <v>26</v>
      </c>
      <c r="R236">
        <v>3.48</v>
      </c>
      <c r="S236" t="s">
        <v>27</v>
      </c>
    </row>
    <row r="237" spans="1:19" x14ac:dyDescent="0.3">
      <c r="A237" t="s">
        <v>274</v>
      </c>
      <c r="B237">
        <v>20</v>
      </c>
      <c r="C237" t="s">
        <v>20</v>
      </c>
      <c r="D237">
        <v>1</v>
      </c>
      <c r="E237" t="s">
        <v>49</v>
      </c>
      <c r="F237">
        <v>4.5</v>
      </c>
      <c r="G237">
        <v>3</v>
      </c>
      <c r="H237">
        <v>2</v>
      </c>
      <c r="I237">
        <v>8</v>
      </c>
      <c r="J237">
        <v>8</v>
      </c>
      <c r="K237">
        <v>15</v>
      </c>
      <c r="L237">
        <v>9.5</v>
      </c>
      <c r="M237">
        <v>79.5</v>
      </c>
      <c r="N237">
        <v>4</v>
      </c>
      <c r="O237" t="s">
        <v>22</v>
      </c>
      <c r="P237">
        <v>3</v>
      </c>
      <c r="Q237" t="s">
        <v>26</v>
      </c>
      <c r="R237">
        <v>2.77</v>
      </c>
      <c r="S237" t="s">
        <v>20</v>
      </c>
    </row>
    <row r="238" spans="1:19" x14ac:dyDescent="0.3">
      <c r="A238" t="s">
        <v>275</v>
      </c>
      <c r="B238">
        <v>17</v>
      </c>
      <c r="C238" t="s">
        <v>27</v>
      </c>
      <c r="D238">
        <v>1</v>
      </c>
      <c r="E238" t="s">
        <v>21</v>
      </c>
      <c r="F238">
        <v>7.8</v>
      </c>
      <c r="G238">
        <v>3.3</v>
      </c>
      <c r="H238">
        <v>6</v>
      </c>
      <c r="I238">
        <v>9</v>
      </c>
      <c r="J238">
        <v>8</v>
      </c>
      <c r="K238">
        <v>15</v>
      </c>
      <c r="L238">
        <v>18.2</v>
      </c>
      <c r="M238">
        <v>78.7</v>
      </c>
      <c r="N238">
        <v>4</v>
      </c>
      <c r="O238" t="s">
        <v>22</v>
      </c>
      <c r="P238">
        <v>2</v>
      </c>
      <c r="Q238" t="s">
        <v>26</v>
      </c>
      <c r="R238">
        <v>2.97</v>
      </c>
      <c r="S238" t="s">
        <v>27</v>
      </c>
    </row>
    <row r="239" spans="1:19" x14ac:dyDescent="0.3">
      <c r="A239" t="s">
        <v>276</v>
      </c>
      <c r="B239">
        <v>21</v>
      </c>
      <c r="C239" t="s">
        <v>39</v>
      </c>
      <c r="D239">
        <v>4</v>
      </c>
      <c r="E239" t="s">
        <v>21</v>
      </c>
      <c r="F239">
        <v>7.7</v>
      </c>
      <c r="G239">
        <v>6.1</v>
      </c>
      <c r="H239">
        <v>1</v>
      </c>
      <c r="I239">
        <v>3</v>
      </c>
      <c r="J239">
        <v>7</v>
      </c>
      <c r="K239">
        <v>13</v>
      </c>
      <c r="L239">
        <v>21</v>
      </c>
      <c r="M239">
        <v>76.2</v>
      </c>
      <c r="N239">
        <v>2</v>
      </c>
      <c r="O239" t="s">
        <v>33</v>
      </c>
      <c r="P239">
        <v>3</v>
      </c>
      <c r="Q239" t="s">
        <v>51</v>
      </c>
      <c r="R239">
        <v>3.01</v>
      </c>
      <c r="S239" t="s">
        <v>27</v>
      </c>
    </row>
    <row r="240" spans="1:19" x14ac:dyDescent="0.3">
      <c r="A240" t="s">
        <v>277</v>
      </c>
      <c r="B240">
        <v>19</v>
      </c>
      <c r="C240" t="s">
        <v>25</v>
      </c>
      <c r="D240">
        <v>2</v>
      </c>
      <c r="E240" t="s">
        <v>32</v>
      </c>
      <c r="F240">
        <v>6.8</v>
      </c>
      <c r="G240">
        <v>10</v>
      </c>
      <c r="H240">
        <v>1</v>
      </c>
      <c r="I240">
        <v>16</v>
      </c>
      <c r="J240">
        <v>14</v>
      </c>
      <c r="K240">
        <v>28</v>
      </c>
      <c r="L240">
        <v>12.7</v>
      </c>
      <c r="M240">
        <v>91</v>
      </c>
      <c r="N240">
        <v>3</v>
      </c>
      <c r="O240" t="s">
        <v>33</v>
      </c>
      <c r="P240">
        <v>4</v>
      </c>
      <c r="Q240" t="s">
        <v>26</v>
      </c>
      <c r="R240">
        <v>3.24</v>
      </c>
      <c r="S240" t="s">
        <v>27</v>
      </c>
    </row>
    <row r="241" spans="1:19" x14ac:dyDescent="0.3">
      <c r="A241" t="s">
        <v>278</v>
      </c>
      <c r="B241">
        <v>20</v>
      </c>
      <c r="C241" t="s">
        <v>27</v>
      </c>
      <c r="D241">
        <v>1</v>
      </c>
      <c r="E241" t="s">
        <v>35</v>
      </c>
      <c r="F241">
        <v>6.2</v>
      </c>
      <c r="G241">
        <v>2.1</v>
      </c>
      <c r="H241">
        <v>1</v>
      </c>
      <c r="I241">
        <v>2</v>
      </c>
      <c r="J241">
        <v>1</v>
      </c>
      <c r="K241">
        <v>9</v>
      </c>
      <c r="L241">
        <v>23.4</v>
      </c>
      <c r="M241">
        <v>60.7</v>
      </c>
      <c r="N241">
        <v>4</v>
      </c>
      <c r="O241" t="s">
        <v>22</v>
      </c>
      <c r="P241">
        <v>2</v>
      </c>
      <c r="Q241" t="s">
        <v>23</v>
      </c>
      <c r="R241">
        <v>3.2</v>
      </c>
      <c r="S241" t="s">
        <v>27</v>
      </c>
    </row>
    <row r="242" spans="1:19" x14ac:dyDescent="0.3">
      <c r="A242" t="s">
        <v>279</v>
      </c>
      <c r="B242">
        <v>20</v>
      </c>
      <c r="C242" t="s">
        <v>45</v>
      </c>
      <c r="D242">
        <v>3</v>
      </c>
      <c r="E242" t="s">
        <v>21</v>
      </c>
      <c r="F242">
        <v>7.5</v>
      </c>
      <c r="G242">
        <v>4.0999999999999996</v>
      </c>
      <c r="H242">
        <v>3</v>
      </c>
      <c r="I242">
        <v>3</v>
      </c>
      <c r="J242">
        <v>6</v>
      </c>
      <c r="K242">
        <v>14</v>
      </c>
      <c r="L242">
        <v>18.399999999999999</v>
      </c>
      <c r="M242">
        <v>48.7</v>
      </c>
      <c r="N242">
        <v>4</v>
      </c>
      <c r="O242" t="s">
        <v>22</v>
      </c>
      <c r="P242">
        <v>5</v>
      </c>
      <c r="Q242" t="s">
        <v>26</v>
      </c>
      <c r="R242">
        <v>2.15</v>
      </c>
      <c r="S242" t="s">
        <v>20</v>
      </c>
    </row>
    <row r="243" spans="1:19" x14ac:dyDescent="0.3">
      <c r="A243" t="s">
        <v>280</v>
      </c>
      <c r="B243">
        <v>21</v>
      </c>
      <c r="C243" t="s">
        <v>20</v>
      </c>
      <c r="D243">
        <v>4</v>
      </c>
      <c r="E243" t="s">
        <v>32</v>
      </c>
      <c r="F243">
        <v>7.3</v>
      </c>
      <c r="G243">
        <v>1.8</v>
      </c>
      <c r="H243">
        <v>7</v>
      </c>
      <c r="I243">
        <v>5</v>
      </c>
      <c r="J243">
        <v>5</v>
      </c>
      <c r="K243">
        <v>13</v>
      </c>
      <c r="L243">
        <v>22</v>
      </c>
      <c r="M243">
        <v>85.1</v>
      </c>
      <c r="N243">
        <v>3</v>
      </c>
      <c r="O243" t="s">
        <v>33</v>
      </c>
      <c r="P243">
        <v>2</v>
      </c>
      <c r="Q243" t="s">
        <v>23</v>
      </c>
      <c r="R243">
        <v>3.76</v>
      </c>
      <c r="S243" t="s">
        <v>20</v>
      </c>
    </row>
    <row r="244" spans="1:19" x14ac:dyDescent="0.3">
      <c r="A244" t="s">
        <v>281</v>
      </c>
      <c r="B244">
        <v>18</v>
      </c>
      <c r="C244" t="s">
        <v>20</v>
      </c>
      <c r="D244">
        <v>2</v>
      </c>
      <c r="E244" t="s">
        <v>32</v>
      </c>
      <c r="F244">
        <v>9.4</v>
      </c>
      <c r="G244">
        <v>3.1</v>
      </c>
      <c r="H244">
        <v>1</v>
      </c>
      <c r="I244">
        <v>3</v>
      </c>
      <c r="J244">
        <v>2</v>
      </c>
      <c r="K244">
        <v>13</v>
      </c>
      <c r="L244">
        <v>19.2</v>
      </c>
      <c r="M244">
        <v>79.3</v>
      </c>
      <c r="N244">
        <v>4</v>
      </c>
      <c r="O244" t="s">
        <v>33</v>
      </c>
      <c r="P244">
        <v>2</v>
      </c>
      <c r="Q244" t="s">
        <v>26</v>
      </c>
      <c r="R244">
        <v>3.04</v>
      </c>
      <c r="S244" t="s">
        <v>20</v>
      </c>
    </row>
    <row r="245" spans="1:19" x14ac:dyDescent="0.3">
      <c r="A245" t="s">
        <v>282</v>
      </c>
      <c r="B245">
        <v>18</v>
      </c>
      <c r="C245" t="s">
        <v>29</v>
      </c>
      <c r="D245">
        <v>4</v>
      </c>
      <c r="E245" t="s">
        <v>49</v>
      </c>
      <c r="F245">
        <v>5.5</v>
      </c>
      <c r="G245">
        <v>3.5</v>
      </c>
      <c r="H245">
        <v>5</v>
      </c>
      <c r="I245">
        <v>5</v>
      </c>
      <c r="J245">
        <v>6</v>
      </c>
      <c r="K245">
        <v>16</v>
      </c>
      <c r="L245">
        <v>18.600000000000001</v>
      </c>
      <c r="M245">
        <v>84.2</v>
      </c>
      <c r="N245">
        <v>2</v>
      </c>
      <c r="O245" t="s">
        <v>22</v>
      </c>
      <c r="P245">
        <v>5</v>
      </c>
      <c r="Q245" t="s">
        <v>26</v>
      </c>
      <c r="R245">
        <v>3.03</v>
      </c>
      <c r="S245" t="s">
        <v>29</v>
      </c>
    </row>
    <row r="246" spans="1:19" x14ac:dyDescent="0.3">
      <c r="A246" t="s">
        <v>283</v>
      </c>
      <c r="B246">
        <v>26</v>
      </c>
      <c r="C246" t="s">
        <v>20</v>
      </c>
      <c r="D246">
        <v>4</v>
      </c>
      <c r="E246" t="s">
        <v>30</v>
      </c>
      <c r="F246">
        <v>5</v>
      </c>
      <c r="G246">
        <v>4.9000000000000004</v>
      </c>
      <c r="H246">
        <v>2</v>
      </c>
      <c r="I246">
        <v>7</v>
      </c>
      <c r="J246">
        <v>6</v>
      </c>
      <c r="K246">
        <v>15</v>
      </c>
      <c r="L246">
        <v>20.8</v>
      </c>
      <c r="M246">
        <v>74.2</v>
      </c>
      <c r="N246">
        <v>2</v>
      </c>
      <c r="O246" t="s">
        <v>22</v>
      </c>
      <c r="P246">
        <v>4</v>
      </c>
      <c r="Q246" t="s">
        <v>23</v>
      </c>
      <c r="R246">
        <v>3.15</v>
      </c>
      <c r="S246" t="s">
        <v>20</v>
      </c>
    </row>
    <row r="247" spans="1:19" x14ac:dyDescent="0.3">
      <c r="A247" t="s">
        <v>284</v>
      </c>
      <c r="B247">
        <v>19</v>
      </c>
      <c r="C247" t="s">
        <v>25</v>
      </c>
      <c r="D247">
        <v>3</v>
      </c>
      <c r="E247" t="s">
        <v>32</v>
      </c>
      <c r="F247">
        <v>5.5</v>
      </c>
      <c r="G247">
        <v>4.9000000000000004</v>
      </c>
      <c r="H247">
        <v>3</v>
      </c>
      <c r="I247">
        <v>19</v>
      </c>
      <c r="J247">
        <v>17</v>
      </c>
      <c r="K247">
        <v>27</v>
      </c>
      <c r="L247">
        <v>7.9</v>
      </c>
      <c r="M247">
        <v>64.7</v>
      </c>
      <c r="O247" t="s">
        <v>22</v>
      </c>
      <c r="P247">
        <v>3</v>
      </c>
      <c r="Q247" t="s">
        <v>23</v>
      </c>
      <c r="R247">
        <v>2.4300000000000002</v>
      </c>
      <c r="S247" t="s">
        <v>27</v>
      </c>
    </row>
    <row r="248" spans="1:19" x14ac:dyDescent="0.3">
      <c r="A248" t="s">
        <v>285</v>
      </c>
      <c r="B248">
        <v>19</v>
      </c>
      <c r="C248" t="s">
        <v>27</v>
      </c>
      <c r="D248">
        <v>3</v>
      </c>
      <c r="E248" t="s">
        <v>21</v>
      </c>
      <c r="F248">
        <v>5.7</v>
      </c>
      <c r="G248">
        <v>4.3</v>
      </c>
      <c r="H248">
        <v>0</v>
      </c>
      <c r="I248">
        <v>16</v>
      </c>
      <c r="J248">
        <v>13</v>
      </c>
      <c r="K248">
        <v>21</v>
      </c>
      <c r="L248">
        <v>23</v>
      </c>
      <c r="M248">
        <v>74.2</v>
      </c>
      <c r="N248">
        <v>4</v>
      </c>
      <c r="O248" t="s">
        <v>22</v>
      </c>
      <c r="P248">
        <v>4</v>
      </c>
      <c r="Q248" t="s">
        <v>26</v>
      </c>
      <c r="R248">
        <v>2.92</v>
      </c>
      <c r="S248" t="s">
        <v>27</v>
      </c>
    </row>
    <row r="249" spans="1:19" x14ac:dyDescent="0.3">
      <c r="A249" t="s">
        <v>286</v>
      </c>
      <c r="B249">
        <v>25</v>
      </c>
      <c r="C249" t="s">
        <v>39</v>
      </c>
      <c r="D249">
        <v>1</v>
      </c>
      <c r="E249" t="s">
        <v>35</v>
      </c>
      <c r="F249">
        <v>4.9000000000000004</v>
      </c>
      <c r="G249">
        <v>5.7</v>
      </c>
      <c r="H249">
        <v>3</v>
      </c>
      <c r="I249">
        <v>6</v>
      </c>
      <c r="J249">
        <v>6</v>
      </c>
      <c r="K249">
        <v>11</v>
      </c>
      <c r="L249">
        <v>20.5</v>
      </c>
      <c r="M249">
        <v>72.599999999999994</v>
      </c>
      <c r="N249">
        <v>4</v>
      </c>
      <c r="O249" t="s">
        <v>22</v>
      </c>
      <c r="P249">
        <v>3</v>
      </c>
      <c r="Q249" t="s">
        <v>26</v>
      </c>
      <c r="R249">
        <v>2.76</v>
      </c>
      <c r="S249" t="s">
        <v>27</v>
      </c>
    </row>
    <row r="250" spans="1:19" x14ac:dyDescent="0.3">
      <c r="A250" t="s">
        <v>287</v>
      </c>
      <c r="B250">
        <v>28</v>
      </c>
      <c r="C250" t="s">
        <v>20</v>
      </c>
      <c r="D250">
        <v>5</v>
      </c>
      <c r="E250" t="s">
        <v>21</v>
      </c>
      <c r="F250">
        <v>3.3</v>
      </c>
      <c r="G250">
        <v>2.2999999999999998</v>
      </c>
      <c r="H250">
        <v>3</v>
      </c>
      <c r="I250">
        <v>2</v>
      </c>
      <c r="J250">
        <v>5</v>
      </c>
      <c r="K250">
        <v>7</v>
      </c>
      <c r="L250">
        <v>14.6</v>
      </c>
      <c r="M250">
        <v>100</v>
      </c>
      <c r="N250">
        <v>2</v>
      </c>
      <c r="O250" t="s">
        <v>33</v>
      </c>
      <c r="P250">
        <v>3</v>
      </c>
      <c r="Q250" t="s">
        <v>51</v>
      </c>
      <c r="R250">
        <v>2.67</v>
      </c>
      <c r="S250" t="s">
        <v>20</v>
      </c>
    </row>
    <row r="251" spans="1:19" x14ac:dyDescent="0.3">
      <c r="A251" t="s">
        <v>288</v>
      </c>
      <c r="B251">
        <v>19</v>
      </c>
      <c r="C251" t="s">
        <v>27</v>
      </c>
      <c r="D251">
        <v>2</v>
      </c>
      <c r="E251" t="s">
        <v>21</v>
      </c>
      <c r="F251">
        <v>5.3</v>
      </c>
      <c r="G251">
        <v>5</v>
      </c>
      <c r="H251">
        <v>3</v>
      </c>
      <c r="I251">
        <v>6</v>
      </c>
      <c r="J251">
        <v>8</v>
      </c>
      <c r="K251">
        <v>14</v>
      </c>
      <c r="L251">
        <v>15.7</v>
      </c>
      <c r="M251">
        <v>74.2</v>
      </c>
      <c r="N251">
        <v>3</v>
      </c>
      <c r="O251" t="s">
        <v>22</v>
      </c>
      <c r="P251">
        <v>4</v>
      </c>
      <c r="Q251" t="s">
        <v>26</v>
      </c>
      <c r="R251">
        <v>2.87</v>
      </c>
      <c r="S251" t="s">
        <v>27</v>
      </c>
    </row>
    <row r="252" spans="1:19" x14ac:dyDescent="0.3">
      <c r="A252" t="s">
        <v>289</v>
      </c>
      <c r="B252">
        <v>21</v>
      </c>
      <c r="C252" t="s">
        <v>20</v>
      </c>
      <c r="D252">
        <v>4</v>
      </c>
      <c r="E252" t="s">
        <v>63</v>
      </c>
      <c r="F252">
        <v>6.6</v>
      </c>
      <c r="G252">
        <v>7</v>
      </c>
      <c r="H252">
        <v>1</v>
      </c>
      <c r="I252">
        <v>9</v>
      </c>
      <c r="J252">
        <v>9</v>
      </c>
      <c r="K252">
        <v>13</v>
      </c>
      <c r="L252">
        <v>1</v>
      </c>
      <c r="M252">
        <v>77.3</v>
      </c>
      <c r="N252">
        <v>4</v>
      </c>
      <c r="O252" t="s">
        <v>22</v>
      </c>
      <c r="P252">
        <v>4</v>
      </c>
      <c r="Q252" t="s">
        <v>26</v>
      </c>
      <c r="R252">
        <v>2.77</v>
      </c>
      <c r="S252" t="s">
        <v>20</v>
      </c>
    </row>
    <row r="253" spans="1:19" x14ac:dyDescent="0.3">
      <c r="A253" t="s">
        <v>290</v>
      </c>
      <c r="B253">
        <v>22</v>
      </c>
      <c r="C253" t="s">
        <v>27</v>
      </c>
      <c r="D253">
        <v>3</v>
      </c>
      <c r="E253" t="s">
        <v>21</v>
      </c>
      <c r="F253">
        <v>5.6</v>
      </c>
      <c r="G253">
        <v>2.2999999999999998</v>
      </c>
      <c r="H253">
        <v>4</v>
      </c>
      <c r="I253">
        <v>11</v>
      </c>
      <c r="J253">
        <v>12</v>
      </c>
      <c r="K253">
        <v>17</v>
      </c>
      <c r="L253">
        <v>12.8</v>
      </c>
      <c r="M253">
        <v>100</v>
      </c>
      <c r="N253">
        <v>2</v>
      </c>
      <c r="O253" t="s">
        <v>22</v>
      </c>
      <c r="P253">
        <v>2</v>
      </c>
      <c r="Q253" t="s">
        <v>23</v>
      </c>
      <c r="R253">
        <v>2.69</v>
      </c>
      <c r="S253" t="s">
        <v>27</v>
      </c>
    </row>
    <row r="254" spans="1:19" x14ac:dyDescent="0.3">
      <c r="A254" t="s">
        <v>291</v>
      </c>
      <c r="B254">
        <v>25</v>
      </c>
      <c r="C254" t="s">
        <v>27</v>
      </c>
      <c r="D254">
        <v>1</v>
      </c>
      <c r="E254" t="s">
        <v>30</v>
      </c>
      <c r="F254">
        <v>9.5</v>
      </c>
      <c r="G254">
        <v>1</v>
      </c>
      <c r="H254">
        <v>6</v>
      </c>
      <c r="I254">
        <v>14</v>
      </c>
      <c r="J254">
        <v>12</v>
      </c>
      <c r="K254">
        <v>13</v>
      </c>
      <c r="L254">
        <v>26.3</v>
      </c>
      <c r="M254">
        <v>77.599999999999994</v>
      </c>
      <c r="N254">
        <v>3</v>
      </c>
      <c r="O254" t="s">
        <v>22</v>
      </c>
      <c r="P254">
        <v>3</v>
      </c>
      <c r="Q254" t="s">
        <v>26</v>
      </c>
      <c r="S254" t="s">
        <v>27</v>
      </c>
    </row>
    <row r="255" spans="1:19" x14ac:dyDescent="0.3">
      <c r="A255" t="s">
        <v>292</v>
      </c>
      <c r="B255">
        <v>19</v>
      </c>
      <c r="C255" t="s">
        <v>27</v>
      </c>
      <c r="D255">
        <v>1</v>
      </c>
      <c r="E255" t="s">
        <v>30</v>
      </c>
      <c r="F255">
        <v>5.3</v>
      </c>
      <c r="G255">
        <v>8.1999999999999993</v>
      </c>
      <c r="H255">
        <v>2</v>
      </c>
      <c r="I255">
        <v>6</v>
      </c>
      <c r="J255">
        <v>6</v>
      </c>
      <c r="K255">
        <v>17</v>
      </c>
      <c r="L255">
        <v>21.7</v>
      </c>
      <c r="M255">
        <v>86.1</v>
      </c>
      <c r="N255">
        <v>4</v>
      </c>
      <c r="O255" t="s">
        <v>22</v>
      </c>
      <c r="P255">
        <v>3</v>
      </c>
      <c r="Q255" t="s">
        <v>23</v>
      </c>
      <c r="R255">
        <v>3.3</v>
      </c>
      <c r="S255" t="s">
        <v>27</v>
      </c>
    </row>
    <row r="256" spans="1:19" x14ac:dyDescent="0.3">
      <c r="A256" t="s">
        <v>293</v>
      </c>
      <c r="B256">
        <v>21</v>
      </c>
      <c r="C256" t="s">
        <v>20</v>
      </c>
      <c r="D256">
        <v>3</v>
      </c>
      <c r="E256" t="s">
        <v>30</v>
      </c>
      <c r="F256">
        <v>7.8</v>
      </c>
      <c r="G256">
        <v>1.8</v>
      </c>
      <c r="H256">
        <v>3</v>
      </c>
      <c r="I256">
        <v>4</v>
      </c>
      <c r="J256">
        <v>7</v>
      </c>
      <c r="K256">
        <v>10</v>
      </c>
      <c r="L256">
        <v>23.7</v>
      </c>
      <c r="M256">
        <v>86.7</v>
      </c>
      <c r="N256">
        <v>2</v>
      </c>
      <c r="O256" t="s">
        <v>22</v>
      </c>
      <c r="P256">
        <v>1</v>
      </c>
      <c r="Q256" t="s">
        <v>23</v>
      </c>
      <c r="R256">
        <v>3.15</v>
      </c>
      <c r="S256" t="s">
        <v>20</v>
      </c>
    </row>
    <row r="257" spans="1:19" x14ac:dyDescent="0.3">
      <c r="A257" t="s">
        <v>294</v>
      </c>
      <c r="B257">
        <v>23</v>
      </c>
      <c r="C257" t="s">
        <v>27</v>
      </c>
      <c r="D257">
        <v>3</v>
      </c>
      <c r="E257" t="s">
        <v>30</v>
      </c>
      <c r="F257">
        <v>6.9</v>
      </c>
      <c r="G257">
        <v>3</v>
      </c>
      <c r="H257">
        <v>4</v>
      </c>
      <c r="I257">
        <v>11</v>
      </c>
      <c r="J257">
        <v>9</v>
      </c>
      <c r="K257">
        <v>18</v>
      </c>
      <c r="L257">
        <v>1</v>
      </c>
      <c r="M257">
        <v>84.2</v>
      </c>
      <c r="N257">
        <v>3</v>
      </c>
      <c r="O257" t="s">
        <v>33</v>
      </c>
      <c r="P257">
        <v>5</v>
      </c>
      <c r="Q257" t="s">
        <v>23</v>
      </c>
      <c r="R257">
        <v>2.2599999999999998</v>
      </c>
      <c r="S257" t="s">
        <v>27</v>
      </c>
    </row>
    <row r="258" spans="1:19" x14ac:dyDescent="0.3">
      <c r="A258" t="s">
        <v>295</v>
      </c>
      <c r="B258">
        <v>22</v>
      </c>
      <c r="C258" t="s">
        <v>27</v>
      </c>
      <c r="D258">
        <v>1</v>
      </c>
      <c r="E258" t="s">
        <v>21</v>
      </c>
      <c r="F258">
        <v>7.5</v>
      </c>
      <c r="G258">
        <v>6.9</v>
      </c>
      <c r="H258">
        <v>1</v>
      </c>
      <c r="I258">
        <v>1</v>
      </c>
      <c r="J258">
        <v>3</v>
      </c>
      <c r="K258">
        <v>11</v>
      </c>
      <c r="L258">
        <v>15.5</v>
      </c>
      <c r="M258">
        <v>82</v>
      </c>
      <c r="O258" t="s">
        <v>22</v>
      </c>
      <c r="P258">
        <v>3</v>
      </c>
      <c r="Q258" t="s">
        <v>23</v>
      </c>
      <c r="R258">
        <v>3.09</v>
      </c>
      <c r="S258" t="s">
        <v>27</v>
      </c>
    </row>
    <row r="259" spans="1:19" x14ac:dyDescent="0.3">
      <c r="A259" t="s">
        <v>296</v>
      </c>
      <c r="B259">
        <v>21</v>
      </c>
      <c r="C259" t="s">
        <v>39</v>
      </c>
      <c r="D259">
        <v>4</v>
      </c>
      <c r="E259" t="s">
        <v>49</v>
      </c>
      <c r="F259">
        <v>7</v>
      </c>
      <c r="G259">
        <v>2.2000000000000002</v>
      </c>
      <c r="H259">
        <v>5</v>
      </c>
      <c r="I259">
        <v>6</v>
      </c>
      <c r="J259">
        <v>9</v>
      </c>
      <c r="K259">
        <v>14</v>
      </c>
      <c r="L259">
        <v>15.7</v>
      </c>
      <c r="M259">
        <v>83.5</v>
      </c>
      <c r="N259">
        <v>5</v>
      </c>
      <c r="O259" t="s">
        <v>33</v>
      </c>
      <c r="P259">
        <v>3</v>
      </c>
      <c r="Q259" t="s">
        <v>23</v>
      </c>
      <c r="R259">
        <v>3</v>
      </c>
      <c r="S259" t="s">
        <v>27</v>
      </c>
    </row>
    <row r="260" spans="1:19" x14ac:dyDescent="0.3">
      <c r="A260" t="s">
        <v>297</v>
      </c>
      <c r="B260">
        <v>21</v>
      </c>
      <c r="C260" t="s">
        <v>61</v>
      </c>
      <c r="D260">
        <v>4</v>
      </c>
      <c r="E260" t="s">
        <v>49</v>
      </c>
      <c r="F260">
        <v>7.7</v>
      </c>
      <c r="G260">
        <v>7.9</v>
      </c>
      <c r="H260">
        <v>2</v>
      </c>
      <c r="K260">
        <v>14</v>
      </c>
      <c r="L260">
        <v>21</v>
      </c>
      <c r="M260">
        <v>84.1</v>
      </c>
      <c r="N260">
        <v>2</v>
      </c>
      <c r="O260" t="s">
        <v>33</v>
      </c>
      <c r="P260">
        <v>3</v>
      </c>
      <c r="Q260" t="s">
        <v>23</v>
      </c>
      <c r="R260">
        <v>2.75</v>
      </c>
      <c r="S260" t="s">
        <v>61</v>
      </c>
    </row>
    <row r="261" spans="1:19" x14ac:dyDescent="0.3">
      <c r="A261" t="s">
        <v>298</v>
      </c>
      <c r="B261">
        <v>19</v>
      </c>
      <c r="C261" t="s">
        <v>39</v>
      </c>
      <c r="D261">
        <v>3</v>
      </c>
      <c r="E261" t="s">
        <v>30</v>
      </c>
      <c r="F261">
        <v>6.5</v>
      </c>
      <c r="G261">
        <v>2.7</v>
      </c>
      <c r="H261">
        <v>4</v>
      </c>
      <c r="I261">
        <v>4</v>
      </c>
      <c r="J261">
        <v>5</v>
      </c>
      <c r="K261">
        <v>6</v>
      </c>
      <c r="L261">
        <v>25.5</v>
      </c>
      <c r="M261">
        <v>72.400000000000006</v>
      </c>
      <c r="O261" t="s">
        <v>22</v>
      </c>
      <c r="P261">
        <v>3</v>
      </c>
      <c r="Q261" t="s">
        <v>26</v>
      </c>
      <c r="R261">
        <v>3.05</v>
      </c>
      <c r="S261" t="s">
        <v>27</v>
      </c>
    </row>
    <row r="262" spans="1:19" x14ac:dyDescent="0.3">
      <c r="A262" t="s">
        <v>299</v>
      </c>
      <c r="B262">
        <v>21</v>
      </c>
      <c r="C262" t="s">
        <v>27</v>
      </c>
      <c r="D262">
        <v>2</v>
      </c>
      <c r="E262" t="s">
        <v>32</v>
      </c>
      <c r="F262">
        <v>6.8</v>
      </c>
      <c r="G262">
        <v>2.4</v>
      </c>
      <c r="H262">
        <v>0</v>
      </c>
      <c r="I262">
        <v>15</v>
      </c>
      <c r="J262">
        <v>11</v>
      </c>
      <c r="K262">
        <v>27</v>
      </c>
      <c r="L262">
        <v>13.9</v>
      </c>
      <c r="M262">
        <v>86.8</v>
      </c>
      <c r="O262" t="s">
        <v>22</v>
      </c>
      <c r="P262">
        <v>2</v>
      </c>
      <c r="Q262" t="s">
        <v>26</v>
      </c>
      <c r="R262">
        <v>3.02</v>
      </c>
      <c r="S262" t="s">
        <v>27</v>
      </c>
    </row>
    <row r="263" spans="1:19" x14ac:dyDescent="0.3">
      <c r="A263" t="s">
        <v>300</v>
      </c>
      <c r="B263">
        <v>21</v>
      </c>
      <c r="C263" t="s">
        <v>45</v>
      </c>
      <c r="D263">
        <v>1</v>
      </c>
      <c r="E263" t="s">
        <v>30</v>
      </c>
      <c r="F263">
        <v>6.9</v>
      </c>
      <c r="G263">
        <v>1.8</v>
      </c>
      <c r="H263">
        <v>2</v>
      </c>
      <c r="I263">
        <v>7</v>
      </c>
      <c r="J263">
        <v>9</v>
      </c>
      <c r="K263">
        <v>17</v>
      </c>
      <c r="L263">
        <v>15.4</v>
      </c>
      <c r="M263">
        <v>100</v>
      </c>
      <c r="N263">
        <v>1</v>
      </c>
      <c r="O263" t="s">
        <v>22</v>
      </c>
      <c r="P263">
        <v>5</v>
      </c>
      <c r="Q263" t="s">
        <v>23</v>
      </c>
      <c r="R263">
        <v>3.26</v>
      </c>
      <c r="S263" t="s">
        <v>20</v>
      </c>
    </row>
    <row r="264" spans="1:19" x14ac:dyDescent="0.3">
      <c r="A264" t="s">
        <v>301</v>
      </c>
      <c r="B264">
        <v>22</v>
      </c>
      <c r="C264" t="s">
        <v>20</v>
      </c>
      <c r="D264">
        <v>4</v>
      </c>
      <c r="E264" t="s">
        <v>35</v>
      </c>
      <c r="F264">
        <v>5.8</v>
      </c>
      <c r="G264">
        <v>2.7</v>
      </c>
      <c r="H264">
        <v>3</v>
      </c>
      <c r="I264">
        <v>12</v>
      </c>
      <c r="J264">
        <v>11</v>
      </c>
      <c r="K264">
        <v>18</v>
      </c>
      <c r="L264">
        <v>7.7</v>
      </c>
      <c r="M264">
        <v>92.5</v>
      </c>
      <c r="N264">
        <v>2</v>
      </c>
      <c r="O264" t="s">
        <v>22</v>
      </c>
      <c r="P264">
        <v>4</v>
      </c>
      <c r="Q264" t="s">
        <v>26</v>
      </c>
      <c r="R264">
        <v>2.95</v>
      </c>
      <c r="S264" t="s">
        <v>20</v>
      </c>
    </row>
    <row r="265" spans="1:19" x14ac:dyDescent="0.3">
      <c r="A265" t="s">
        <v>302</v>
      </c>
      <c r="B265">
        <v>20</v>
      </c>
      <c r="C265" t="s">
        <v>27</v>
      </c>
      <c r="D265">
        <v>2</v>
      </c>
      <c r="E265" t="s">
        <v>30</v>
      </c>
      <c r="F265">
        <v>6.1</v>
      </c>
      <c r="G265">
        <v>6.3</v>
      </c>
      <c r="H265">
        <v>3</v>
      </c>
      <c r="I265">
        <v>3</v>
      </c>
      <c r="J265">
        <v>5</v>
      </c>
      <c r="K265">
        <v>13</v>
      </c>
      <c r="L265">
        <v>15.7</v>
      </c>
      <c r="M265">
        <v>86.4</v>
      </c>
      <c r="N265">
        <v>4</v>
      </c>
      <c r="O265" t="s">
        <v>22</v>
      </c>
      <c r="P265">
        <v>4</v>
      </c>
      <c r="Q265" t="s">
        <v>26</v>
      </c>
      <c r="R265">
        <v>3.64</v>
      </c>
      <c r="S265" t="s">
        <v>27</v>
      </c>
    </row>
    <row r="266" spans="1:19" x14ac:dyDescent="0.3">
      <c r="A266" t="s">
        <v>303</v>
      </c>
      <c r="B266">
        <v>22</v>
      </c>
      <c r="C266" t="s">
        <v>27</v>
      </c>
      <c r="D266">
        <v>4</v>
      </c>
      <c r="E266" t="s">
        <v>32</v>
      </c>
      <c r="F266">
        <v>9.1999999999999993</v>
      </c>
      <c r="G266">
        <v>3</v>
      </c>
      <c r="H266">
        <v>5</v>
      </c>
      <c r="I266">
        <v>5</v>
      </c>
      <c r="J266">
        <v>5</v>
      </c>
      <c r="K266">
        <v>7</v>
      </c>
      <c r="L266">
        <v>8.6999999999999993</v>
      </c>
      <c r="M266">
        <v>92.9</v>
      </c>
      <c r="N266">
        <v>1</v>
      </c>
      <c r="O266" t="s">
        <v>33</v>
      </c>
      <c r="P266">
        <v>3</v>
      </c>
      <c r="Q266" t="s">
        <v>26</v>
      </c>
      <c r="R266">
        <v>3.23</v>
      </c>
      <c r="S266" t="s">
        <v>27</v>
      </c>
    </row>
    <row r="267" spans="1:19" x14ac:dyDescent="0.3">
      <c r="A267" t="s">
        <v>304</v>
      </c>
      <c r="B267">
        <v>24</v>
      </c>
      <c r="C267" t="s">
        <v>61</v>
      </c>
      <c r="D267">
        <v>2</v>
      </c>
      <c r="E267" t="s">
        <v>21</v>
      </c>
      <c r="F267">
        <v>5.2</v>
      </c>
      <c r="G267">
        <v>8.1999999999999993</v>
      </c>
      <c r="H267">
        <v>7</v>
      </c>
      <c r="I267">
        <v>5</v>
      </c>
      <c r="J267">
        <v>6</v>
      </c>
      <c r="K267">
        <v>10</v>
      </c>
      <c r="L267">
        <v>1.9</v>
      </c>
      <c r="M267">
        <v>68.5</v>
      </c>
      <c r="N267">
        <v>3</v>
      </c>
      <c r="O267" t="s">
        <v>22</v>
      </c>
      <c r="P267">
        <v>2</v>
      </c>
      <c r="Q267" t="s">
        <v>23</v>
      </c>
      <c r="R267">
        <v>2.52</v>
      </c>
      <c r="S267" t="s">
        <v>61</v>
      </c>
    </row>
    <row r="268" spans="1:19" x14ac:dyDescent="0.3">
      <c r="A268" t="s">
        <v>305</v>
      </c>
      <c r="B268">
        <v>22</v>
      </c>
      <c r="C268" t="s">
        <v>27</v>
      </c>
      <c r="D268">
        <v>3</v>
      </c>
      <c r="E268" t="s">
        <v>49</v>
      </c>
      <c r="F268">
        <v>6.9</v>
      </c>
      <c r="G268">
        <v>4.5</v>
      </c>
      <c r="H268">
        <v>0</v>
      </c>
      <c r="I268">
        <v>9</v>
      </c>
      <c r="J268">
        <v>8</v>
      </c>
      <c r="K268">
        <v>19</v>
      </c>
      <c r="L268">
        <v>7.4</v>
      </c>
      <c r="M268">
        <v>74.400000000000006</v>
      </c>
      <c r="N268">
        <v>1</v>
      </c>
      <c r="O268" t="s">
        <v>22</v>
      </c>
      <c r="P268">
        <v>1</v>
      </c>
      <c r="Q268" t="s">
        <v>26</v>
      </c>
      <c r="R268">
        <v>2.76</v>
      </c>
      <c r="S268" t="s">
        <v>27</v>
      </c>
    </row>
    <row r="269" spans="1:19" x14ac:dyDescent="0.3">
      <c r="A269" t="s">
        <v>306</v>
      </c>
      <c r="B269">
        <v>22</v>
      </c>
      <c r="C269" t="s">
        <v>20</v>
      </c>
      <c r="D269">
        <v>2</v>
      </c>
      <c r="E269" t="s">
        <v>21</v>
      </c>
      <c r="F269">
        <v>7.4</v>
      </c>
      <c r="G269">
        <v>4.7</v>
      </c>
      <c r="H269">
        <v>2</v>
      </c>
      <c r="I269">
        <v>3</v>
      </c>
      <c r="J269">
        <v>3</v>
      </c>
      <c r="K269">
        <v>3</v>
      </c>
      <c r="L269">
        <v>30.4</v>
      </c>
      <c r="M269">
        <v>99.6</v>
      </c>
      <c r="N269">
        <v>3</v>
      </c>
      <c r="O269" t="s">
        <v>22</v>
      </c>
      <c r="P269">
        <v>3</v>
      </c>
      <c r="Q269" t="s">
        <v>23</v>
      </c>
      <c r="R269">
        <v>3.33</v>
      </c>
      <c r="S269" t="s">
        <v>20</v>
      </c>
    </row>
    <row r="270" spans="1:19" x14ac:dyDescent="0.3">
      <c r="A270" t="s">
        <v>307</v>
      </c>
      <c r="B270">
        <v>22</v>
      </c>
      <c r="C270" t="s">
        <v>29</v>
      </c>
      <c r="D270">
        <v>1</v>
      </c>
      <c r="E270" t="s">
        <v>49</v>
      </c>
      <c r="F270">
        <v>8</v>
      </c>
      <c r="G270">
        <v>2.4</v>
      </c>
      <c r="H270">
        <v>2</v>
      </c>
      <c r="I270">
        <v>4</v>
      </c>
      <c r="J270">
        <v>5</v>
      </c>
      <c r="K270">
        <v>11</v>
      </c>
      <c r="L270">
        <v>16.7</v>
      </c>
      <c r="M270">
        <v>99</v>
      </c>
      <c r="N270">
        <v>1</v>
      </c>
      <c r="O270" t="s">
        <v>22</v>
      </c>
      <c r="P270">
        <v>2</v>
      </c>
      <c r="Q270" t="s">
        <v>23</v>
      </c>
      <c r="R270">
        <v>3.29</v>
      </c>
      <c r="S270" t="s">
        <v>29</v>
      </c>
    </row>
    <row r="271" spans="1:19" x14ac:dyDescent="0.3">
      <c r="A271" t="s">
        <v>308</v>
      </c>
      <c r="B271">
        <v>22</v>
      </c>
      <c r="C271" t="s">
        <v>27</v>
      </c>
      <c r="D271">
        <v>4</v>
      </c>
      <c r="E271" t="s">
        <v>30</v>
      </c>
      <c r="F271">
        <v>5.6</v>
      </c>
      <c r="G271">
        <v>9</v>
      </c>
      <c r="H271">
        <v>3</v>
      </c>
      <c r="I271">
        <v>7</v>
      </c>
      <c r="J271">
        <v>7</v>
      </c>
      <c r="K271">
        <v>14</v>
      </c>
      <c r="L271">
        <v>23.8</v>
      </c>
      <c r="M271">
        <v>72.599999999999994</v>
      </c>
      <c r="N271">
        <v>4</v>
      </c>
      <c r="O271" t="s">
        <v>22</v>
      </c>
      <c r="P271">
        <v>4</v>
      </c>
      <c r="Q271" t="s">
        <v>23</v>
      </c>
      <c r="R271">
        <v>3.04</v>
      </c>
      <c r="S271" t="s">
        <v>27</v>
      </c>
    </row>
    <row r="272" spans="1:19" x14ac:dyDescent="0.3">
      <c r="A272" t="s">
        <v>309</v>
      </c>
      <c r="B272">
        <v>20</v>
      </c>
      <c r="C272" t="s">
        <v>27</v>
      </c>
      <c r="D272">
        <v>3</v>
      </c>
      <c r="E272" t="s">
        <v>35</v>
      </c>
      <c r="F272">
        <v>3.5</v>
      </c>
      <c r="G272">
        <v>7.1</v>
      </c>
      <c r="H272">
        <v>3</v>
      </c>
      <c r="I272">
        <v>7</v>
      </c>
      <c r="J272">
        <v>6</v>
      </c>
      <c r="K272">
        <v>18</v>
      </c>
      <c r="L272">
        <v>16.5</v>
      </c>
      <c r="M272">
        <v>75.099999999999994</v>
      </c>
      <c r="N272">
        <v>4</v>
      </c>
      <c r="O272" t="s">
        <v>33</v>
      </c>
      <c r="P272">
        <v>5</v>
      </c>
      <c r="Q272" t="s">
        <v>26</v>
      </c>
      <c r="R272">
        <v>2.95</v>
      </c>
      <c r="S272" t="s">
        <v>27</v>
      </c>
    </row>
    <row r="273" spans="1:19" x14ac:dyDescent="0.3">
      <c r="A273" t="s">
        <v>310</v>
      </c>
      <c r="B273">
        <v>22</v>
      </c>
      <c r="C273" t="s">
        <v>29</v>
      </c>
      <c r="D273">
        <v>3</v>
      </c>
      <c r="E273" t="s">
        <v>21</v>
      </c>
      <c r="F273">
        <v>6.7</v>
      </c>
      <c r="G273">
        <v>6.9</v>
      </c>
      <c r="H273">
        <v>5</v>
      </c>
      <c r="I273">
        <v>2</v>
      </c>
      <c r="J273">
        <v>5</v>
      </c>
      <c r="K273">
        <v>4</v>
      </c>
      <c r="L273">
        <v>3.6</v>
      </c>
      <c r="M273">
        <v>100</v>
      </c>
      <c r="N273">
        <v>4</v>
      </c>
      <c r="O273" t="s">
        <v>22</v>
      </c>
      <c r="P273">
        <v>2</v>
      </c>
      <c r="Q273" t="s">
        <v>23</v>
      </c>
      <c r="R273">
        <v>3.1</v>
      </c>
      <c r="S273" t="s">
        <v>29</v>
      </c>
    </row>
    <row r="274" spans="1:19" x14ac:dyDescent="0.3">
      <c r="A274" t="s">
        <v>311</v>
      </c>
      <c r="B274">
        <v>21</v>
      </c>
      <c r="C274" t="s">
        <v>20</v>
      </c>
      <c r="D274">
        <v>5</v>
      </c>
      <c r="E274" t="s">
        <v>49</v>
      </c>
      <c r="F274">
        <v>4</v>
      </c>
      <c r="G274">
        <v>3.9</v>
      </c>
      <c r="H274">
        <v>4</v>
      </c>
      <c r="I274">
        <v>2</v>
      </c>
      <c r="J274">
        <v>6</v>
      </c>
      <c r="K274">
        <v>14</v>
      </c>
      <c r="L274">
        <v>27.3</v>
      </c>
      <c r="M274">
        <v>79.2</v>
      </c>
      <c r="N274">
        <v>2</v>
      </c>
      <c r="O274" t="s">
        <v>33</v>
      </c>
      <c r="P274">
        <v>3</v>
      </c>
      <c r="Q274" t="s">
        <v>26</v>
      </c>
      <c r="R274">
        <v>2.94</v>
      </c>
      <c r="S274" t="s">
        <v>20</v>
      </c>
    </row>
    <row r="275" spans="1:19" x14ac:dyDescent="0.3">
      <c r="A275" t="s">
        <v>312</v>
      </c>
      <c r="B275">
        <v>26</v>
      </c>
      <c r="C275" t="s">
        <v>27</v>
      </c>
      <c r="D275">
        <v>5</v>
      </c>
      <c r="E275" t="s">
        <v>47</v>
      </c>
      <c r="F275">
        <v>8.1</v>
      </c>
      <c r="G275">
        <v>1.6</v>
      </c>
      <c r="H275">
        <v>0</v>
      </c>
      <c r="I275">
        <v>0</v>
      </c>
      <c r="J275">
        <v>4</v>
      </c>
      <c r="K275">
        <v>5</v>
      </c>
      <c r="L275">
        <v>2.9</v>
      </c>
      <c r="M275">
        <v>100</v>
      </c>
      <c r="N275">
        <v>5</v>
      </c>
      <c r="O275" t="s">
        <v>33</v>
      </c>
      <c r="P275">
        <v>4</v>
      </c>
      <c r="Q275" t="s">
        <v>51</v>
      </c>
      <c r="R275">
        <v>3.05</v>
      </c>
      <c r="S275" t="s">
        <v>27</v>
      </c>
    </row>
    <row r="276" spans="1:19" x14ac:dyDescent="0.3">
      <c r="A276" t="s">
        <v>313</v>
      </c>
      <c r="B276">
        <v>25</v>
      </c>
      <c r="C276" t="s">
        <v>45</v>
      </c>
      <c r="D276">
        <v>4</v>
      </c>
      <c r="E276" t="s">
        <v>63</v>
      </c>
      <c r="F276">
        <v>6.4</v>
      </c>
      <c r="G276">
        <v>4.9000000000000004</v>
      </c>
      <c r="H276">
        <v>2</v>
      </c>
      <c r="I276">
        <v>2</v>
      </c>
      <c r="J276">
        <v>3</v>
      </c>
      <c r="K276">
        <v>6</v>
      </c>
      <c r="L276">
        <v>15.3</v>
      </c>
      <c r="M276">
        <v>85.8</v>
      </c>
      <c r="N276">
        <v>4</v>
      </c>
      <c r="O276" t="s">
        <v>33</v>
      </c>
      <c r="P276">
        <v>2</v>
      </c>
      <c r="Q276" t="s">
        <v>23</v>
      </c>
      <c r="R276">
        <v>3.44</v>
      </c>
      <c r="S276" t="s">
        <v>20</v>
      </c>
    </row>
    <row r="277" spans="1:19" x14ac:dyDescent="0.3">
      <c r="A277" t="s">
        <v>314</v>
      </c>
      <c r="B277">
        <v>22</v>
      </c>
      <c r="C277" t="s">
        <v>45</v>
      </c>
      <c r="D277">
        <v>1</v>
      </c>
      <c r="E277" t="s">
        <v>30</v>
      </c>
      <c r="F277">
        <v>7</v>
      </c>
      <c r="G277">
        <v>6.1</v>
      </c>
      <c r="H277">
        <v>3</v>
      </c>
      <c r="I277">
        <v>17</v>
      </c>
      <c r="J277">
        <v>15</v>
      </c>
      <c r="K277">
        <v>19</v>
      </c>
      <c r="L277">
        <v>17.100000000000001</v>
      </c>
      <c r="M277">
        <v>71.8</v>
      </c>
      <c r="N277">
        <v>1</v>
      </c>
      <c r="O277" t="s">
        <v>33</v>
      </c>
      <c r="P277">
        <v>5</v>
      </c>
      <c r="Q277" t="s">
        <v>26</v>
      </c>
      <c r="R277">
        <v>2.98</v>
      </c>
      <c r="S277" t="s">
        <v>20</v>
      </c>
    </row>
    <row r="278" spans="1:19" x14ac:dyDescent="0.3">
      <c r="A278" t="s">
        <v>315</v>
      </c>
      <c r="B278">
        <v>20</v>
      </c>
      <c r="C278" t="s">
        <v>20</v>
      </c>
      <c r="D278">
        <v>3</v>
      </c>
      <c r="E278" t="s">
        <v>30</v>
      </c>
      <c r="F278">
        <v>4.8</v>
      </c>
      <c r="G278">
        <v>6.2</v>
      </c>
      <c r="H278">
        <v>3</v>
      </c>
      <c r="I278">
        <v>3</v>
      </c>
      <c r="J278">
        <v>4</v>
      </c>
      <c r="K278">
        <v>5</v>
      </c>
      <c r="L278">
        <v>20.3</v>
      </c>
      <c r="M278">
        <v>78.400000000000006</v>
      </c>
      <c r="N278">
        <v>3</v>
      </c>
      <c r="O278" t="s">
        <v>33</v>
      </c>
      <c r="P278">
        <v>3</v>
      </c>
      <c r="Q278" t="s">
        <v>23</v>
      </c>
      <c r="R278">
        <v>2.88</v>
      </c>
      <c r="S278" t="s">
        <v>20</v>
      </c>
    </row>
    <row r="279" spans="1:19" x14ac:dyDescent="0.3">
      <c r="A279" t="s">
        <v>316</v>
      </c>
      <c r="B279">
        <v>19</v>
      </c>
      <c r="C279" t="s">
        <v>20</v>
      </c>
      <c r="D279">
        <v>4</v>
      </c>
      <c r="E279" t="s">
        <v>30</v>
      </c>
      <c r="F279">
        <v>4.2</v>
      </c>
      <c r="G279">
        <v>5.7</v>
      </c>
      <c r="H279">
        <v>1</v>
      </c>
      <c r="I279">
        <v>4</v>
      </c>
      <c r="J279">
        <v>2</v>
      </c>
      <c r="K279">
        <v>10</v>
      </c>
      <c r="L279">
        <v>16.5</v>
      </c>
      <c r="M279">
        <v>96.5</v>
      </c>
      <c r="N279">
        <v>4</v>
      </c>
      <c r="O279" t="s">
        <v>22</v>
      </c>
      <c r="P279">
        <v>1</v>
      </c>
      <c r="Q279" t="s">
        <v>23</v>
      </c>
      <c r="R279">
        <v>2.85</v>
      </c>
      <c r="S279" t="s">
        <v>20</v>
      </c>
    </row>
    <row r="280" spans="1:19" x14ac:dyDescent="0.3">
      <c r="A280" t="s">
        <v>317</v>
      </c>
      <c r="B280">
        <v>24</v>
      </c>
      <c r="C280" t="s">
        <v>27</v>
      </c>
      <c r="D280">
        <v>2</v>
      </c>
      <c r="E280" t="s">
        <v>30</v>
      </c>
      <c r="F280">
        <v>6.2</v>
      </c>
      <c r="G280">
        <v>5.5</v>
      </c>
      <c r="H280">
        <v>2</v>
      </c>
      <c r="I280">
        <v>4</v>
      </c>
      <c r="J280">
        <v>6</v>
      </c>
      <c r="K280">
        <v>7</v>
      </c>
      <c r="L280">
        <v>9.4</v>
      </c>
      <c r="M280">
        <v>96</v>
      </c>
      <c r="N280">
        <v>3</v>
      </c>
      <c r="O280" t="s">
        <v>22</v>
      </c>
      <c r="P280">
        <v>2</v>
      </c>
      <c r="Q280" t="s">
        <v>23</v>
      </c>
      <c r="R280">
        <v>2.89</v>
      </c>
      <c r="S280" t="s">
        <v>27</v>
      </c>
    </row>
    <row r="281" spans="1:19" x14ac:dyDescent="0.3">
      <c r="A281" t="s">
        <v>318</v>
      </c>
      <c r="B281">
        <v>22</v>
      </c>
      <c r="C281" t="s">
        <v>27</v>
      </c>
      <c r="D281">
        <v>1</v>
      </c>
      <c r="E281" t="s">
        <v>32</v>
      </c>
      <c r="F281">
        <v>6.1</v>
      </c>
      <c r="G281">
        <v>2.6</v>
      </c>
      <c r="H281">
        <v>2</v>
      </c>
      <c r="I281">
        <v>2</v>
      </c>
      <c r="J281">
        <v>4</v>
      </c>
      <c r="K281">
        <v>10</v>
      </c>
      <c r="L281">
        <v>13.9</v>
      </c>
      <c r="M281">
        <v>64.400000000000006</v>
      </c>
      <c r="N281">
        <v>3</v>
      </c>
      <c r="O281" t="s">
        <v>22</v>
      </c>
      <c r="P281">
        <v>5</v>
      </c>
      <c r="Q281" t="s">
        <v>23</v>
      </c>
      <c r="R281">
        <v>2.83</v>
      </c>
      <c r="S281" t="s">
        <v>27</v>
      </c>
    </row>
    <row r="282" spans="1:19" x14ac:dyDescent="0.3">
      <c r="A282" t="s">
        <v>319</v>
      </c>
      <c r="B282">
        <v>23</v>
      </c>
      <c r="C282" t="s">
        <v>20</v>
      </c>
      <c r="D282">
        <v>4</v>
      </c>
      <c r="E282" t="s">
        <v>63</v>
      </c>
      <c r="F282">
        <v>5.5</v>
      </c>
      <c r="G282">
        <v>2.7</v>
      </c>
      <c r="H282">
        <v>1</v>
      </c>
      <c r="I282">
        <v>10</v>
      </c>
      <c r="J282">
        <v>14</v>
      </c>
      <c r="K282">
        <v>16</v>
      </c>
      <c r="L282">
        <v>11.7</v>
      </c>
      <c r="M282">
        <v>69.2</v>
      </c>
      <c r="N282">
        <v>4</v>
      </c>
      <c r="O282" t="s">
        <v>22</v>
      </c>
      <c r="P282">
        <v>2</v>
      </c>
      <c r="Q282" t="s">
        <v>23</v>
      </c>
      <c r="R282">
        <v>2.65</v>
      </c>
      <c r="S282" t="s">
        <v>20</v>
      </c>
    </row>
    <row r="283" spans="1:19" x14ac:dyDescent="0.3">
      <c r="A283" t="s">
        <v>320</v>
      </c>
      <c r="B283">
        <v>18</v>
      </c>
      <c r="C283" t="s">
        <v>27</v>
      </c>
      <c r="D283">
        <v>3</v>
      </c>
      <c r="E283" t="s">
        <v>63</v>
      </c>
      <c r="F283">
        <v>6</v>
      </c>
      <c r="G283">
        <v>1.8</v>
      </c>
      <c r="H283">
        <v>4</v>
      </c>
      <c r="I283">
        <v>6</v>
      </c>
      <c r="J283">
        <v>9</v>
      </c>
      <c r="K283">
        <v>9</v>
      </c>
      <c r="L283">
        <v>12</v>
      </c>
      <c r="M283">
        <v>89.8</v>
      </c>
      <c r="N283">
        <v>1</v>
      </c>
      <c r="O283" t="s">
        <v>33</v>
      </c>
      <c r="P283">
        <v>4</v>
      </c>
      <c r="Q283" t="s">
        <v>23</v>
      </c>
      <c r="R283">
        <v>3.12</v>
      </c>
      <c r="S283" t="s">
        <v>27</v>
      </c>
    </row>
    <row r="284" spans="1:19" x14ac:dyDescent="0.3">
      <c r="A284" t="s">
        <v>321</v>
      </c>
      <c r="B284">
        <v>23</v>
      </c>
      <c r="C284" t="s">
        <v>61</v>
      </c>
      <c r="D284">
        <v>3</v>
      </c>
      <c r="E284" t="s">
        <v>32</v>
      </c>
      <c r="F284">
        <v>8.8000000000000007</v>
      </c>
      <c r="G284">
        <v>8.3000000000000007</v>
      </c>
      <c r="H284">
        <v>2</v>
      </c>
      <c r="I284">
        <v>9</v>
      </c>
      <c r="J284">
        <v>9</v>
      </c>
      <c r="K284">
        <v>13</v>
      </c>
      <c r="L284">
        <v>24.5</v>
      </c>
      <c r="M284">
        <v>76.900000000000006</v>
      </c>
      <c r="N284">
        <v>5</v>
      </c>
      <c r="O284" t="s">
        <v>33</v>
      </c>
      <c r="P284">
        <v>2</v>
      </c>
      <c r="Q284" t="s">
        <v>51</v>
      </c>
      <c r="R284">
        <v>2.69</v>
      </c>
      <c r="S284" t="s">
        <v>61</v>
      </c>
    </row>
    <row r="285" spans="1:19" x14ac:dyDescent="0.3">
      <c r="A285" t="s">
        <v>322</v>
      </c>
      <c r="B285">
        <v>22</v>
      </c>
      <c r="C285" t="s">
        <v>25</v>
      </c>
      <c r="D285">
        <v>5</v>
      </c>
      <c r="E285" t="s">
        <v>49</v>
      </c>
      <c r="F285">
        <v>6.4</v>
      </c>
      <c r="G285">
        <v>13.1</v>
      </c>
      <c r="H285">
        <v>3</v>
      </c>
      <c r="I285">
        <v>4</v>
      </c>
      <c r="J285">
        <v>5</v>
      </c>
      <c r="K285">
        <v>11</v>
      </c>
      <c r="L285">
        <v>9.5</v>
      </c>
      <c r="M285">
        <v>69.7</v>
      </c>
      <c r="N285">
        <v>2</v>
      </c>
      <c r="O285" t="s">
        <v>22</v>
      </c>
      <c r="P285">
        <v>2</v>
      </c>
      <c r="Q285" t="s">
        <v>26</v>
      </c>
      <c r="R285">
        <v>2.78</v>
      </c>
      <c r="S285" t="s">
        <v>27</v>
      </c>
    </row>
    <row r="286" spans="1:19" x14ac:dyDescent="0.3">
      <c r="A286" t="s">
        <v>323</v>
      </c>
      <c r="B286">
        <v>19</v>
      </c>
      <c r="C286" t="s">
        <v>27</v>
      </c>
      <c r="D286">
        <v>3</v>
      </c>
      <c r="E286" t="s">
        <v>47</v>
      </c>
      <c r="F286">
        <v>5.7</v>
      </c>
      <c r="G286">
        <v>16</v>
      </c>
      <c r="H286">
        <v>3</v>
      </c>
      <c r="I286">
        <v>1</v>
      </c>
      <c r="J286">
        <v>3</v>
      </c>
      <c r="K286">
        <v>6</v>
      </c>
      <c r="L286">
        <v>24</v>
      </c>
      <c r="M286">
        <v>94.4</v>
      </c>
      <c r="N286">
        <v>1</v>
      </c>
      <c r="O286" t="s">
        <v>22</v>
      </c>
      <c r="P286">
        <v>5</v>
      </c>
      <c r="Q286" t="s">
        <v>23</v>
      </c>
      <c r="R286">
        <v>3.23</v>
      </c>
      <c r="S286" t="s">
        <v>27</v>
      </c>
    </row>
    <row r="287" spans="1:19" x14ac:dyDescent="0.3">
      <c r="A287" t="s">
        <v>324</v>
      </c>
      <c r="B287">
        <v>21</v>
      </c>
      <c r="C287" t="s">
        <v>20</v>
      </c>
      <c r="D287">
        <v>2</v>
      </c>
      <c r="E287" t="s">
        <v>35</v>
      </c>
      <c r="F287">
        <v>6.8</v>
      </c>
      <c r="G287">
        <v>5.0999999999999996</v>
      </c>
      <c r="H287">
        <v>5</v>
      </c>
      <c r="I287">
        <v>3</v>
      </c>
      <c r="J287">
        <v>2</v>
      </c>
      <c r="K287">
        <v>8</v>
      </c>
      <c r="L287">
        <v>19.100000000000001</v>
      </c>
      <c r="M287">
        <v>95.6</v>
      </c>
      <c r="N287">
        <v>1</v>
      </c>
      <c r="O287" t="s">
        <v>22</v>
      </c>
      <c r="P287">
        <v>2</v>
      </c>
      <c r="Q287" t="s">
        <v>23</v>
      </c>
      <c r="R287">
        <v>3.11</v>
      </c>
      <c r="S287" t="s">
        <v>20</v>
      </c>
    </row>
    <row r="288" spans="1:19" x14ac:dyDescent="0.3">
      <c r="A288" t="s">
        <v>325</v>
      </c>
      <c r="B288">
        <v>22</v>
      </c>
      <c r="C288" t="s">
        <v>27</v>
      </c>
      <c r="D288">
        <v>2</v>
      </c>
      <c r="E288" t="s">
        <v>30</v>
      </c>
      <c r="F288">
        <v>8.5</v>
      </c>
      <c r="G288">
        <v>5.5</v>
      </c>
      <c r="H288">
        <v>1</v>
      </c>
      <c r="I288">
        <v>6</v>
      </c>
      <c r="J288">
        <v>2</v>
      </c>
      <c r="K288">
        <v>12</v>
      </c>
      <c r="L288">
        <v>28.5</v>
      </c>
      <c r="M288">
        <v>74.8</v>
      </c>
      <c r="N288">
        <v>3</v>
      </c>
      <c r="O288" t="s">
        <v>33</v>
      </c>
      <c r="P288">
        <v>1</v>
      </c>
      <c r="Q288" t="s">
        <v>23</v>
      </c>
      <c r="R288">
        <v>3.27</v>
      </c>
      <c r="S288" t="s">
        <v>27</v>
      </c>
    </row>
    <row r="289" spans="1:19" x14ac:dyDescent="0.3">
      <c r="A289" t="s">
        <v>326</v>
      </c>
      <c r="B289">
        <v>22</v>
      </c>
      <c r="C289" t="s">
        <v>45</v>
      </c>
      <c r="D289">
        <v>2</v>
      </c>
      <c r="E289" t="s">
        <v>32</v>
      </c>
      <c r="F289">
        <v>5.9</v>
      </c>
      <c r="G289">
        <v>4</v>
      </c>
      <c r="H289">
        <v>0</v>
      </c>
      <c r="I289">
        <v>4</v>
      </c>
      <c r="J289">
        <v>3</v>
      </c>
      <c r="K289">
        <v>12</v>
      </c>
      <c r="L289">
        <v>13.2</v>
      </c>
      <c r="M289">
        <v>88</v>
      </c>
      <c r="N289">
        <v>5</v>
      </c>
      <c r="O289" t="s">
        <v>22</v>
      </c>
      <c r="P289">
        <v>3</v>
      </c>
      <c r="Q289" t="s">
        <v>23</v>
      </c>
      <c r="R289">
        <v>2.85</v>
      </c>
      <c r="S289" t="s">
        <v>20</v>
      </c>
    </row>
    <row r="290" spans="1:19" x14ac:dyDescent="0.3">
      <c r="A290" t="s">
        <v>327</v>
      </c>
      <c r="B290">
        <v>21</v>
      </c>
      <c r="C290" t="s">
        <v>27</v>
      </c>
      <c r="D290">
        <v>1</v>
      </c>
      <c r="E290" t="s">
        <v>47</v>
      </c>
      <c r="F290">
        <v>3.8</v>
      </c>
      <c r="G290">
        <v>5.0999999999999996</v>
      </c>
      <c r="H290">
        <v>2</v>
      </c>
      <c r="I290">
        <v>2</v>
      </c>
      <c r="J290">
        <v>3</v>
      </c>
      <c r="K290">
        <v>7</v>
      </c>
      <c r="L290">
        <v>26</v>
      </c>
      <c r="M290">
        <v>64.5</v>
      </c>
      <c r="N290">
        <v>4</v>
      </c>
      <c r="O290" t="s">
        <v>22</v>
      </c>
      <c r="P290">
        <v>5</v>
      </c>
      <c r="Q290" t="s">
        <v>26</v>
      </c>
      <c r="R290">
        <v>2.76</v>
      </c>
      <c r="S290" t="s">
        <v>27</v>
      </c>
    </row>
    <row r="291" spans="1:19" x14ac:dyDescent="0.3">
      <c r="A291" t="s">
        <v>328</v>
      </c>
      <c r="B291">
        <v>21</v>
      </c>
      <c r="C291" t="s">
        <v>20</v>
      </c>
      <c r="D291">
        <v>4</v>
      </c>
      <c r="E291" t="s">
        <v>30</v>
      </c>
      <c r="F291">
        <v>6.5</v>
      </c>
      <c r="G291">
        <v>2.2000000000000002</v>
      </c>
      <c r="H291">
        <v>2</v>
      </c>
      <c r="I291">
        <v>4</v>
      </c>
      <c r="J291">
        <v>0</v>
      </c>
      <c r="K291">
        <v>5</v>
      </c>
      <c r="L291">
        <v>16.399999999999999</v>
      </c>
      <c r="M291">
        <v>68.599999999999994</v>
      </c>
      <c r="N291">
        <v>5</v>
      </c>
      <c r="O291" t="s">
        <v>22</v>
      </c>
      <c r="P291">
        <v>3</v>
      </c>
      <c r="Q291" t="s">
        <v>23</v>
      </c>
      <c r="R291">
        <v>3.09</v>
      </c>
      <c r="S291" t="s">
        <v>20</v>
      </c>
    </row>
    <row r="292" spans="1:19" x14ac:dyDescent="0.3">
      <c r="A292" t="s">
        <v>329</v>
      </c>
      <c r="B292">
        <v>21</v>
      </c>
      <c r="C292" t="s">
        <v>20</v>
      </c>
      <c r="D292">
        <v>4</v>
      </c>
      <c r="E292" t="s">
        <v>21</v>
      </c>
      <c r="F292">
        <v>7.5</v>
      </c>
      <c r="G292">
        <v>4</v>
      </c>
      <c r="H292">
        <v>2</v>
      </c>
      <c r="I292">
        <v>0</v>
      </c>
      <c r="J292">
        <v>1</v>
      </c>
      <c r="K292">
        <v>6</v>
      </c>
      <c r="L292">
        <v>21.6</v>
      </c>
      <c r="M292">
        <v>82.3</v>
      </c>
      <c r="N292">
        <v>3</v>
      </c>
      <c r="O292" t="s">
        <v>33</v>
      </c>
      <c r="P292">
        <v>2</v>
      </c>
      <c r="Q292" t="s">
        <v>26</v>
      </c>
      <c r="R292">
        <v>3.32</v>
      </c>
      <c r="S292" t="s">
        <v>20</v>
      </c>
    </row>
    <row r="293" spans="1:19" x14ac:dyDescent="0.3">
      <c r="A293" t="s">
        <v>330</v>
      </c>
      <c r="B293">
        <v>22</v>
      </c>
      <c r="C293" t="s">
        <v>20</v>
      </c>
      <c r="D293">
        <v>2</v>
      </c>
      <c r="E293" t="s">
        <v>63</v>
      </c>
      <c r="F293">
        <v>4.9000000000000004</v>
      </c>
      <c r="G293">
        <v>2.4</v>
      </c>
      <c r="H293">
        <v>4</v>
      </c>
      <c r="I293">
        <v>14</v>
      </c>
      <c r="J293">
        <v>11</v>
      </c>
      <c r="K293">
        <v>21</v>
      </c>
      <c r="L293">
        <v>8.6999999999999993</v>
      </c>
      <c r="M293">
        <v>74.2</v>
      </c>
      <c r="N293">
        <v>3</v>
      </c>
      <c r="O293" t="s">
        <v>22</v>
      </c>
      <c r="P293">
        <v>5</v>
      </c>
      <c r="Q293" t="s">
        <v>26</v>
      </c>
      <c r="R293">
        <v>2.31</v>
      </c>
      <c r="S293" t="s">
        <v>20</v>
      </c>
    </row>
    <row r="294" spans="1:19" x14ac:dyDescent="0.3">
      <c r="A294" t="s">
        <v>331</v>
      </c>
      <c r="B294">
        <v>25</v>
      </c>
      <c r="C294" t="s">
        <v>61</v>
      </c>
      <c r="D294">
        <v>2</v>
      </c>
      <c r="E294" t="s">
        <v>63</v>
      </c>
      <c r="F294">
        <v>6.1</v>
      </c>
      <c r="G294">
        <v>3.6</v>
      </c>
      <c r="H294">
        <v>1</v>
      </c>
      <c r="I294">
        <v>5</v>
      </c>
      <c r="J294">
        <v>5</v>
      </c>
      <c r="K294">
        <v>6</v>
      </c>
      <c r="L294">
        <v>1</v>
      </c>
      <c r="M294">
        <v>58.1</v>
      </c>
      <c r="N294">
        <v>3</v>
      </c>
      <c r="O294" t="s">
        <v>22</v>
      </c>
      <c r="P294">
        <v>4</v>
      </c>
      <c r="Q294" t="s">
        <v>23</v>
      </c>
      <c r="R294">
        <v>2.2799999999999998</v>
      </c>
      <c r="S294" t="s">
        <v>61</v>
      </c>
    </row>
    <row r="295" spans="1:19" x14ac:dyDescent="0.3">
      <c r="A295" t="s">
        <v>332</v>
      </c>
      <c r="B295">
        <v>17</v>
      </c>
      <c r="C295" t="s">
        <v>39</v>
      </c>
      <c r="D295">
        <v>4</v>
      </c>
      <c r="E295" t="s">
        <v>35</v>
      </c>
      <c r="F295">
        <v>5.2</v>
      </c>
      <c r="G295">
        <v>2.6</v>
      </c>
      <c r="H295">
        <v>0</v>
      </c>
      <c r="I295">
        <v>5</v>
      </c>
      <c r="J295">
        <v>4</v>
      </c>
      <c r="K295">
        <v>7</v>
      </c>
      <c r="L295">
        <v>20.100000000000001</v>
      </c>
      <c r="M295">
        <v>65.8</v>
      </c>
      <c r="N295">
        <v>1</v>
      </c>
      <c r="O295" t="s">
        <v>22</v>
      </c>
      <c r="P295">
        <v>4</v>
      </c>
      <c r="Q295" t="s">
        <v>26</v>
      </c>
      <c r="R295">
        <v>2.96</v>
      </c>
      <c r="S295" t="s">
        <v>27</v>
      </c>
    </row>
    <row r="296" spans="1:19" x14ac:dyDescent="0.3">
      <c r="A296" t="s">
        <v>333</v>
      </c>
      <c r="B296">
        <v>21</v>
      </c>
      <c r="C296" t="s">
        <v>20</v>
      </c>
      <c r="D296">
        <v>1</v>
      </c>
      <c r="E296" t="s">
        <v>47</v>
      </c>
      <c r="F296">
        <v>8.6</v>
      </c>
      <c r="G296">
        <v>6.2</v>
      </c>
      <c r="H296">
        <v>2</v>
      </c>
      <c r="I296">
        <v>19</v>
      </c>
      <c r="J296">
        <v>14</v>
      </c>
      <c r="K296">
        <v>22</v>
      </c>
      <c r="L296">
        <v>22.7</v>
      </c>
      <c r="M296">
        <v>58.3</v>
      </c>
      <c r="N296">
        <v>5</v>
      </c>
      <c r="O296" t="s">
        <v>22</v>
      </c>
      <c r="P296">
        <v>4</v>
      </c>
      <c r="Q296" t="s">
        <v>26</v>
      </c>
      <c r="R296">
        <v>2.6</v>
      </c>
      <c r="S296" t="s">
        <v>20</v>
      </c>
    </row>
    <row r="297" spans="1:19" x14ac:dyDescent="0.3">
      <c r="A297" t="s">
        <v>334</v>
      </c>
      <c r="B297">
        <v>22</v>
      </c>
      <c r="C297" t="s">
        <v>39</v>
      </c>
      <c r="D297">
        <v>3</v>
      </c>
      <c r="E297" t="s">
        <v>30</v>
      </c>
      <c r="F297">
        <v>6.4</v>
      </c>
      <c r="G297">
        <v>6.6</v>
      </c>
      <c r="H297">
        <v>4</v>
      </c>
      <c r="I297">
        <v>3</v>
      </c>
      <c r="J297">
        <v>7</v>
      </c>
      <c r="K297">
        <v>9</v>
      </c>
      <c r="L297">
        <v>19.7</v>
      </c>
      <c r="M297">
        <v>88</v>
      </c>
      <c r="N297">
        <v>3</v>
      </c>
      <c r="O297" t="s">
        <v>22</v>
      </c>
      <c r="P297">
        <v>4</v>
      </c>
      <c r="Q297" t="s">
        <v>26</v>
      </c>
      <c r="R297">
        <v>2.83</v>
      </c>
      <c r="S297" t="s">
        <v>27</v>
      </c>
    </row>
    <row r="298" spans="1:19" x14ac:dyDescent="0.3">
      <c r="A298" t="s">
        <v>335</v>
      </c>
      <c r="B298">
        <v>22</v>
      </c>
      <c r="C298" t="s">
        <v>29</v>
      </c>
      <c r="D298">
        <v>2</v>
      </c>
      <c r="E298" t="s">
        <v>21</v>
      </c>
      <c r="F298">
        <v>6.6</v>
      </c>
      <c r="G298">
        <v>5.4</v>
      </c>
      <c r="H298">
        <v>5</v>
      </c>
      <c r="I298">
        <v>4</v>
      </c>
      <c r="J298">
        <v>6</v>
      </c>
      <c r="K298">
        <v>8</v>
      </c>
      <c r="L298">
        <v>12.7</v>
      </c>
      <c r="M298">
        <v>55</v>
      </c>
      <c r="O298" t="s">
        <v>33</v>
      </c>
      <c r="P298">
        <v>3</v>
      </c>
      <c r="Q298" t="s">
        <v>23</v>
      </c>
      <c r="R298">
        <v>2.39</v>
      </c>
      <c r="S298" t="s">
        <v>29</v>
      </c>
    </row>
    <row r="299" spans="1:19" x14ac:dyDescent="0.3">
      <c r="A299" t="s">
        <v>336</v>
      </c>
      <c r="B299">
        <v>21</v>
      </c>
      <c r="C299" t="s">
        <v>20</v>
      </c>
      <c r="D299">
        <v>3</v>
      </c>
      <c r="E299" t="s">
        <v>32</v>
      </c>
      <c r="F299">
        <v>6.9</v>
      </c>
      <c r="G299">
        <v>2.8</v>
      </c>
      <c r="H299">
        <v>4</v>
      </c>
      <c r="I299">
        <v>4</v>
      </c>
      <c r="J299">
        <v>3</v>
      </c>
      <c r="K299">
        <v>11</v>
      </c>
      <c r="L299">
        <v>28.6</v>
      </c>
      <c r="M299">
        <v>63</v>
      </c>
      <c r="N299">
        <v>3</v>
      </c>
      <c r="O299" t="s">
        <v>22</v>
      </c>
      <c r="P299">
        <v>3</v>
      </c>
      <c r="Q299" t="s">
        <v>51</v>
      </c>
      <c r="R299">
        <v>3.06</v>
      </c>
      <c r="S299" t="s">
        <v>20</v>
      </c>
    </row>
    <row r="300" spans="1:19" x14ac:dyDescent="0.3">
      <c r="A300" t="s">
        <v>337</v>
      </c>
      <c r="B300">
        <v>18</v>
      </c>
      <c r="C300" t="s">
        <v>20</v>
      </c>
      <c r="D300">
        <v>1</v>
      </c>
      <c r="E300" t="s">
        <v>32</v>
      </c>
      <c r="F300">
        <v>6.1</v>
      </c>
      <c r="G300">
        <v>1.7</v>
      </c>
      <c r="H300">
        <v>3</v>
      </c>
      <c r="I300">
        <v>15</v>
      </c>
      <c r="J300">
        <v>12</v>
      </c>
      <c r="K300">
        <v>15</v>
      </c>
      <c r="L300">
        <v>6.7</v>
      </c>
      <c r="M300">
        <v>47.1</v>
      </c>
      <c r="N300">
        <v>4</v>
      </c>
      <c r="O300" t="s">
        <v>33</v>
      </c>
      <c r="P300">
        <v>4</v>
      </c>
      <c r="Q300" t="s">
        <v>23</v>
      </c>
      <c r="R300">
        <v>2.04</v>
      </c>
      <c r="S300" t="s">
        <v>20</v>
      </c>
    </row>
    <row r="301" spans="1:19" x14ac:dyDescent="0.3">
      <c r="A301" t="s">
        <v>338</v>
      </c>
      <c r="B301">
        <v>22</v>
      </c>
      <c r="C301" t="s">
        <v>27</v>
      </c>
      <c r="D301">
        <v>3</v>
      </c>
      <c r="E301" t="s">
        <v>21</v>
      </c>
      <c r="F301">
        <v>6.6</v>
      </c>
      <c r="G301">
        <v>6.7</v>
      </c>
      <c r="H301">
        <v>4</v>
      </c>
      <c r="I301">
        <v>10</v>
      </c>
      <c r="J301">
        <v>8</v>
      </c>
      <c r="K301">
        <v>10</v>
      </c>
      <c r="L301">
        <v>17.5</v>
      </c>
      <c r="M301">
        <v>80.3</v>
      </c>
      <c r="N301">
        <v>2</v>
      </c>
      <c r="O301" t="s">
        <v>22</v>
      </c>
      <c r="P301">
        <v>4</v>
      </c>
      <c r="Q301" t="s">
        <v>26</v>
      </c>
      <c r="R301">
        <v>2.97</v>
      </c>
      <c r="S301" t="s">
        <v>27</v>
      </c>
    </row>
    <row r="302" spans="1:19" x14ac:dyDescent="0.3">
      <c r="A302" t="s">
        <v>339</v>
      </c>
      <c r="B302">
        <v>25</v>
      </c>
      <c r="C302" t="s">
        <v>39</v>
      </c>
      <c r="D302">
        <v>2</v>
      </c>
      <c r="E302" t="s">
        <v>49</v>
      </c>
      <c r="F302">
        <v>5.6</v>
      </c>
      <c r="G302">
        <v>4.5</v>
      </c>
      <c r="H302">
        <v>4</v>
      </c>
      <c r="I302">
        <v>20</v>
      </c>
      <c r="J302">
        <v>13</v>
      </c>
      <c r="K302">
        <v>23</v>
      </c>
      <c r="L302">
        <v>21.4</v>
      </c>
      <c r="M302">
        <v>50.2</v>
      </c>
      <c r="N302">
        <v>4</v>
      </c>
      <c r="O302" t="s">
        <v>22</v>
      </c>
      <c r="P302">
        <v>5</v>
      </c>
      <c r="Q302" t="s">
        <v>23</v>
      </c>
      <c r="R302">
        <v>2.89</v>
      </c>
      <c r="S302" t="s">
        <v>27</v>
      </c>
    </row>
    <row r="303" spans="1:19" x14ac:dyDescent="0.3">
      <c r="A303" t="s">
        <v>340</v>
      </c>
      <c r="B303">
        <v>18</v>
      </c>
      <c r="C303" t="s">
        <v>20</v>
      </c>
      <c r="D303">
        <v>3</v>
      </c>
      <c r="E303" t="s">
        <v>21</v>
      </c>
      <c r="F303">
        <v>3.9</v>
      </c>
      <c r="G303">
        <v>1</v>
      </c>
      <c r="H303">
        <v>1</v>
      </c>
      <c r="I303">
        <v>3</v>
      </c>
      <c r="J303">
        <v>2</v>
      </c>
      <c r="K303">
        <v>7</v>
      </c>
      <c r="L303">
        <v>31.6</v>
      </c>
      <c r="M303">
        <v>87.1</v>
      </c>
      <c r="N303">
        <v>4</v>
      </c>
      <c r="O303" t="s">
        <v>22</v>
      </c>
      <c r="P303">
        <v>3</v>
      </c>
      <c r="Q303" t="s">
        <v>26</v>
      </c>
      <c r="R303">
        <v>2.83</v>
      </c>
      <c r="S303" t="s">
        <v>20</v>
      </c>
    </row>
    <row r="304" spans="1:19" x14ac:dyDescent="0.3">
      <c r="A304" t="s">
        <v>341</v>
      </c>
      <c r="B304">
        <v>23</v>
      </c>
      <c r="C304" t="s">
        <v>20</v>
      </c>
      <c r="D304">
        <v>1</v>
      </c>
      <c r="E304" t="s">
        <v>49</v>
      </c>
      <c r="F304">
        <v>6</v>
      </c>
      <c r="G304">
        <v>4.9000000000000004</v>
      </c>
      <c r="H304">
        <v>3</v>
      </c>
      <c r="I304">
        <v>3</v>
      </c>
      <c r="J304">
        <v>6</v>
      </c>
      <c r="K304">
        <v>5</v>
      </c>
      <c r="L304">
        <v>16.100000000000001</v>
      </c>
      <c r="M304">
        <v>100</v>
      </c>
      <c r="N304">
        <v>4</v>
      </c>
      <c r="O304" t="s">
        <v>22</v>
      </c>
      <c r="P304">
        <v>2</v>
      </c>
      <c r="Q304" t="s">
        <v>51</v>
      </c>
      <c r="R304">
        <v>3.22</v>
      </c>
      <c r="S304" t="s">
        <v>20</v>
      </c>
    </row>
    <row r="305" spans="1:19" x14ac:dyDescent="0.3">
      <c r="A305" t="s">
        <v>342</v>
      </c>
      <c r="B305">
        <v>21</v>
      </c>
      <c r="C305" t="s">
        <v>27</v>
      </c>
      <c r="D305">
        <v>2</v>
      </c>
      <c r="E305" t="s">
        <v>21</v>
      </c>
      <c r="F305">
        <v>5.8</v>
      </c>
      <c r="G305">
        <v>5.6</v>
      </c>
      <c r="H305">
        <v>4</v>
      </c>
      <c r="K305">
        <v>5</v>
      </c>
      <c r="L305">
        <v>14.9</v>
      </c>
      <c r="M305">
        <v>100</v>
      </c>
      <c r="N305">
        <v>1</v>
      </c>
      <c r="O305" t="s">
        <v>22</v>
      </c>
      <c r="P305">
        <v>3</v>
      </c>
      <c r="Q305" t="s">
        <v>23</v>
      </c>
      <c r="R305">
        <v>3.62</v>
      </c>
      <c r="S305" t="s">
        <v>27</v>
      </c>
    </row>
    <row r="306" spans="1:19" x14ac:dyDescent="0.3">
      <c r="A306" t="s">
        <v>343</v>
      </c>
      <c r="B306">
        <v>21</v>
      </c>
      <c r="C306" t="s">
        <v>45</v>
      </c>
      <c r="D306">
        <v>3</v>
      </c>
      <c r="E306" t="s">
        <v>21</v>
      </c>
      <c r="F306">
        <v>8</v>
      </c>
      <c r="G306">
        <v>1.3</v>
      </c>
      <c r="H306">
        <v>2</v>
      </c>
      <c r="I306">
        <v>8</v>
      </c>
      <c r="J306">
        <v>5</v>
      </c>
      <c r="K306">
        <v>11</v>
      </c>
      <c r="L306">
        <v>6.7</v>
      </c>
      <c r="M306">
        <v>56</v>
      </c>
      <c r="N306">
        <v>2</v>
      </c>
      <c r="O306" t="s">
        <v>22</v>
      </c>
      <c r="P306">
        <v>3</v>
      </c>
      <c r="Q306" t="s">
        <v>26</v>
      </c>
      <c r="R306">
        <v>2.77</v>
      </c>
      <c r="S306" t="s">
        <v>20</v>
      </c>
    </row>
    <row r="307" spans="1:19" x14ac:dyDescent="0.3">
      <c r="A307" t="s">
        <v>344</v>
      </c>
      <c r="B307">
        <v>19</v>
      </c>
      <c r="C307" t="s">
        <v>20</v>
      </c>
      <c r="D307">
        <v>1</v>
      </c>
      <c r="E307" t="s">
        <v>30</v>
      </c>
      <c r="F307">
        <v>7.8</v>
      </c>
      <c r="G307">
        <v>6.2</v>
      </c>
      <c r="H307">
        <v>3</v>
      </c>
      <c r="I307">
        <v>2</v>
      </c>
      <c r="J307">
        <v>3</v>
      </c>
      <c r="K307">
        <v>6</v>
      </c>
      <c r="L307">
        <v>32.700000000000003</v>
      </c>
      <c r="M307">
        <v>89.5</v>
      </c>
      <c r="N307">
        <v>3</v>
      </c>
      <c r="O307" t="s">
        <v>22</v>
      </c>
      <c r="P307">
        <v>3</v>
      </c>
      <c r="Q307" t="s">
        <v>23</v>
      </c>
      <c r="S307" t="s">
        <v>20</v>
      </c>
    </row>
    <row r="308" spans="1:19" x14ac:dyDescent="0.3">
      <c r="A308" t="s">
        <v>345</v>
      </c>
      <c r="B308">
        <v>21</v>
      </c>
      <c r="C308" t="s">
        <v>61</v>
      </c>
      <c r="D308">
        <v>1</v>
      </c>
      <c r="E308" t="s">
        <v>30</v>
      </c>
      <c r="F308">
        <v>8.3000000000000007</v>
      </c>
      <c r="G308">
        <v>1.4</v>
      </c>
      <c r="H308">
        <v>3</v>
      </c>
      <c r="I308">
        <v>16</v>
      </c>
      <c r="J308">
        <v>13</v>
      </c>
      <c r="K308">
        <v>22</v>
      </c>
      <c r="L308">
        <v>20.9</v>
      </c>
      <c r="M308">
        <v>61.3</v>
      </c>
      <c r="N308">
        <v>5</v>
      </c>
      <c r="O308" t="s">
        <v>22</v>
      </c>
      <c r="P308">
        <v>4</v>
      </c>
      <c r="Q308" t="s">
        <v>26</v>
      </c>
      <c r="S308" t="s">
        <v>61</v>
      </c>
    </row>
    <row r="309" spans="1:19" x14ac:dyDescent="0.3">
      <c r="A309" t="s">
        <v>346</v>
      </c>
      <c r="B309">
        <v>24</v>
      </c>
      <c r="C309" t="s">
        <v>27</v>
      </c>
      <c r="D309">
        <v>1</v>
      </c>
      <c r="E309" t="s">
        <v>47</v>
      </c>
      <c r="F309">
        <v>5.4</v>
      </c>
      <c r="G309">
        <v>2.5</v>
      </c>
      <c r="H309">
        <v>3</v>
      </c>
      <c r="I309">
        <v>3</v>
      </c>
      <c r="J309">
        <v>0</v>
      </c>
      <c r="K309">
        <v>5</v>
      </c>
      <c r="L309">
        <v>24</v>
      </c>
      <c r="M309">
        <v>65.7</v>
      </c>
      <c r="N309">
        <v>5</v>
      </c>
      <c r="O309" t="s">
        <v>22</v>
      </c>
      <c r="P309">
        <v>3</v>
      </c>
      <c r="Q309" t="s">
        <v>23</v>
      </c>
      <c r="R309">
        <v>3.05</v>
      </c>
      <c r="S309" t="s">
        <v>27</v>
      </c>
    </row>
    <row r="310" spans="1:19" x14ac:dyDescent="0.3">
      <c r="A310" t="s">
        <v>347</v>
      </c>
      <c r="B310">
        <v>23</v>
      </c>
      <c r="C310" t="s">
        <v>102</v>
      </c>
      <c r="D310">
        <v>2</v>
      </c>
      <c r="E310" t="s">
        <v>21</v>
      </c>
      <c r="F310">
        <v>6.3</v>
      </c>
      <c r="G310">
        <v>1.4</v>
      </c>
      <c r="H310">
        <v>0</v>
      </c>
      <c r="I310">
        <v>11</v>
      </c>
      <c r="J310">
        <v>9</v>
      </c>
      <c r="K310">
        <v>21</v>
      </c>
      <c r="L310">
        <v>36.9</v>
      </c>
      <c r="M310">
        <v>78</v>
      </c>
      <c r="N310">
        <v>4</v>
      </c>
      <c r="O310" t="s">
        <v>22</v>
      </c>
      <c r="P310">
        <v>1</v>
      </c>
      <c r="Q310" t="s">
        <v>26</v>
      </c>
      <c r="R310">
        <v>3.64</v>
      </c>
      <c r="S310" t="s">
        <v>20</v>
      </c>
    </row>
    <row r="311" spans="1:19" x14ac:dyDescent="0.3">
      <c r="A311" t="s">
        <v>348</v>
      </c>
      <c r="B311">
        <v>25</v>
      </c>
      <c r="C311" t="s">
        <v>27</v>
      </c>
      <c r="D311">
        <v>1</v>
      </c>
      <c r="E311" t="s">
        <v>30</v>
      </c>
      <c r="F311">
        <v>7.2</v>
      </c>
      <c r="G311">
        <v>2.2999999999999998</v>
      </c>
      <c r="H311">
        <v>3</v>
      </c>
      <c r="I311">
        <v>3</v>
      </c>
      <c r="J311">
        <v>6</v>
      </c>
      <c r="K311">
        <v>11</v>
      </c>
      <c r="L311">
        <v>25.4</v>
      </c>
      <c r="M311">
        <v>100</v>
      </c>
      <c r="N311">
        <v>2</v>
      </c>
      <c r="O311" t="s">
        <v>22</v>
      </c>
      <c r="P311">
        <v>3</v>
      </c>
      <c r="Q311" t="s">
        <v>51</v>
      </c>
      <c r="R311">
        <v>3.28</v>
      </c>
      <c r="S311" t="s">
        <v>27</v>
      </c>
    </row>
    <row r="312" spans="1:19" x14ac:dyDescent="0.3">
      <c r="A312" t="s">
        <v>349</v>
      </c>
      <c r="B312">
        <v>24</v>
      </c>
      <c r="C312" t="s">
        <v>27</v>
      </c>
      <c r="D312">
        <v>5</v>
      </c>
      <c r="E312" t="s">
        <v>49</v>
      </c>
      <c r="F312">
        <v>9.5</v>
      </c>
      <c r="G312">
        <v>1.7</v>
      </c>
      <c r="H312">
        <v>5</v>
      </c>
      <c r="I312">
        <v>2</v>
      </c>
      <c r="J312">
        <v>4</v>
      </c>
      <c r="K312">
        <v>6</v>
      </c>
      <c r="L312">
        <v>11.6</v>
      </c>
      <c r="M312">
        <v>89.7</v>
      </c>
      <c r="N312">
        <v>2</v>
      </c>
      <c r="O312" t="s">
        <v>33</v>
      </c>
      <c r="P312">
        <v>4</v>
      </c>
      <c r="Q312" t="s">
        <v>23</v>
      </c>
      <c r="R312">
        <v>2.75</v>
      </c>
      <c r="S312" t="s">
        <v>27</v>
      </c>
    </row>
    <row r="313" spans="1:19" x14ac:dyDescent="0.3">
      <c r="A313" t="s">
        <v>350</v>
      </c>
      <c r="B313">
        <v>22</v>
      </c>
      <c r="C313" t="s">
        <v>25</v>
      </c>
      <c r="D313">
        <v>2</v>
      </c>
      <c r="E313" t="s">
        <v>32</v>
      </c>
      <c r="F313">
        <v>7.2</v>
      </c>
      <c r="G313">
        <v>8.3000000000000007</v>
      </c>
      <c r="H313">
        <v>1</v>
      </c>
      <c r="I313">
        <v>7</v>
      </c>
      <c r="J313">
        <v>11</v>
      </c>
      <c r="K313">
        <v>15</v>
      </c>
      <c r="L313">
        <v>18.3</v>
      </c>
      <c r="M313">
        <v>65.400000000000006</v>
      </c>
      <c r="N313">
        <v>4</v>
      </c>
      <c r="O313" t="s">
        <v>22</v>
      </c>
      <c r="P313">
        <v>5</v>
      </c>
      <c r="Q313" t="s">
        <v>51</v>
      </c>
      <c r="R313">
        <v>2.62</v>
      </c>
      <c r="S313" t="s">
        <v>27</v>
      </c>
    </row>
    <row r="314" spans="1:19" x14ac:dyDescent="0.3">
      <c r="A314" t="s">
        <v>351</v>
      </c>
      <c r="B314">
        <v>25</v>
      </c>
      <c r="C314" t="s">
        <v>45</v>
      </c>
      <c r="D314">
        <v>4</v>
      </c>
      <c r="E314" t="s">
        <v>30</v>
      </c>
      <c r="F314">
        <v>7.9</v>
      </c>
      <c r="G314">
        <v>3.8</v>
      </c>
      <c r="H314">
        <v>2</v>
      </c>
      <c r="I314">
        <v>2</v>
      </c>
      <c r="J314">
        <v>6</v>
      </c>
      <c r="K314">
        <v>9</v>
      </c>
      <c r="L314">
        <v>13.1</v>
      </c>
      <c r="M314">
        <v>90.4</v>
      </c>
      <c r="N314">
        <v>2</v>
      </c>
      <c r="O314" t="s">
        <v>33</v>
      </c>
      <c r="P314">
        <v>3</v>
      </c>
      <c r="Q314" t="s">
        <v>51</v>
      </c>
      <c r="R314">
        <v>3.12</v>
      </c>
      <c r="S314" t="s">
        <v>20</v>
      </c>
    </row>
    <row r="315" spans="1:19" x14ac:dyDescent="0.3">
      <c r="A315" t="s">
        <v>352</v>
      </c>
      <c r="B315">
        <v>22</v>
      </c>
      <c r="C315" t="s">
        <v>27</v>
      </c>
      <c r="D315">
        <v>5</v>
      </c>
      <c r="E315" t="s">
        <v>21</v>
      </c>
      <c r="F315">
        <v>6</v>
      </c>
      <c r="G315">
        <v>3.2</v>
      </c>
      <c r="H315">
        <v>0</v>
      </c>
      <c r="I315">
        <v>3</v>
      </c>
      <c r="J315">
        <v>7</v>
      </c>
      <c r="K315">
        <v>14</v>
      </c>
      <c r="L315">
        <v>12.9</v>
      </c>
      <c r="M315">
        <v>47.9</v>
      </c>
      <c r="N315">
        <v>3</v>
      </c>
      <c r="O315" t="s">
        <v>33</v>
      </c>
      <c r="P315">
        <v>3</v>
      </c>
      <c r="Q315" t="s">
        <v>26</v>
      </c>
      <c r="R315">
        <v>2.38</v>
      </c>
      <c r="S315" t="s">
        <v>27</v>
      </c>
    </row>
    <row r="316" spans="1:19" x14ac:dyDescent="0.3">
      <c r="A316" t="s">
        <v>353</v>
      </c>
      <c r="B316">
        <v>23</v>
      </c>
      <c r="C316" t="s">
        <v>20</v>
      </c>
      <c r="D316">
        <v>1</v>
      </c>
      <c r="E316" t="s">
        <v>30</v>
      </c>
      <c r="F316">
        <v>5</v>
      </c>
      <c r="G316">
        <v>8.6999999999999993</v>
      </c>
      <c r="H316">
        <v>0</v>
      </c>
      <c r="I316">
        <v>3</v>
      </c>
      <c r="J316">
        <v>10</v>
      </c>
      <c r="K316">
        <v>9</v>
      </c>
      <c r="L316">
        <v>20.3</v>
      </c>
      <c r="M316">
        <v>72.3</v>
      </c>
      <c r="N316">
        <v>4</v>
      </c>
      <c r="O316" t="s">
        <v>22</v>
      </c>
      <c r="P316">
        <v>3</v>
      </c>
      <c r="Q316" t="s">
        <v>23</v>
      </c>
      <c r="R316">
        <v>2.75</v>
      </c>
      <c r="S316" t="s">
        <v>20</v>
      </c>
    </row>
    <row r="317" spans="1:19" x14ac:dyDescent="0.3">
      <c r="A317" t="s">
        <v>354</v>
      </c>
      <c r="B317">
        <v>21</v>
      </c>
      <c r="C317" t="s">
        <v>39</v>
      </c>
      <c r="D317">
        <v>3</v>
      </c>
      <c r="E317" t="s">
        <v>49</v>
      </c>
      <c r="F317">
        <v>7</v>
      </c>
      <c r="G317">
        <v>8.5</v>
      </c>
      <c r="H317">
        <v>7</v>
      </c>
      <c r="I317">
        <v>4</v>
      </c>
      <c r="J317">
        <v>6</v>
      </c>
      <c r="K317">
        <v>13</v>
      </c>
      <c r="L317">
        <v>14.4</v>
      </c>
      <c r="M317">
        <v>70.599999999999994</v>
      </c>
      <c r="N317">
        <v>3</v>
      </c>
      <c r="O317" t="s">
        <v>22</v>
      </c>
      <c r="P317">
        <v>3</v>
      </c>
      <c r="Q317" t="s">
        <v>51</v>
      </c>
      <c r="R317">
        <v>2.79</v>
      </c>
      <c r="S317" t="s">
        <v>27</v>
      </c>
    </row>
    <row r="318" spans="1:19" x14ac:dyDescent="0.3">
      <c r="A318" t="s">
        <v>355</v>
      </c>
      <c r="B318">
        <v>22</v>
      </c>
      <c r="C318" t="s">
        <v>45</v>
      </c>
      <c r="D318">
        <v>4</v>
      </c>
      <c r="E318" t="s">
        <v>30</v>
      </c>
      <c r="F318">
        <v>4.5999999999999996</v>
      </c>
      <c r="G318">
        <v>3.4</v>
      </c>
      <c r="H318">
        <v>3</v>
      </c>
      <c r="I318">
        <v>27</v>
      </c>
      <c r="J318">
        <v>20</v>
      </c>
      <c r="K318">
        <v>32</v>
      </c>
      <c r="L318">
        <v>7.9</v>
      </c>
      <c r="M318">
        <v>74</v>
      </c>
      <c r="N318">
        <v>3</v>
      </c>
      <c r="O318" t="s">
        <v>22</v>
      </c>
      <c r="P318">
        <v>1</v>
      </c>
      <c r="Q318" t="s">
        <v>26</v>
      </c>
      <c r="R318">
        <v>2.54</v>
      </c>
      <c r="S318" t="s">
        <v>20</v>
      </c>
    </row>
    <row r="319" spans="1:19" x14ac:dyDescent="0.3">
      <c r="A319" t="s">
        <v>356</v>
      </c>
      <c r="B319">
        <v>20</v>
      </c>
      <c r="C319" t="s">
        <v>20</v>
      </c>
      <c r="D319">
        <v>3</v>
      </c>
      <c r="E319" t="s">
        <v>30</v>
      </c>
      <c r="F319">
        <v>5.4</v>
      </c>
      <c r="G319">
        <v>5.3</v>
      </c>
      <c r="H319">
        <v>2</v>
      </c>
      <c r="I319">
        <v>8</v>
      </c>
      <c r="J319">
        <v>9</v>
      </c>
      <c r="K319">
        <v>19</v>
      </c>
      <c r="L319">
        <v>29.7</v>
      </c>
      <c r="M319">
        <v>77.8</v>
      </c>
      <c r="N319">
        <v>1</v>
      </c>
      <c r="O319" t="s">
        <v>22</v>
      </c>
      <c r="P319">
        <v>5</v>
      </c>
      <c r="Q319" t="s">
        <v>26</v>
      </c>
      <c r="R319">
        <v>2.84</v>
      </c>
      <c r="S319" t="s">
        <v>20</v>
      </c>
    </row>
    <row r="320" spans="1:19" x14ac:dyDescent="0.3">
      <c r="A320" t="s">
        <v>357</v>
      </c>
      <c r="B320">
        <v>24</v>
      </c>
      <c r="C320" t="s">
        <v>20</v>
      </c>
      <c r="D320">
        <v>2</v>
      </c>
      <c r="E320" t="s">
        <v>30</v>
      </c>
      <c r="F320">
        <v>6.1</v>
      </c>
      <c r="G320">
        <v>2.9</v>
      </c>
      <c r="H320">
        <v>2</v>
      </c>
      <c r="I320">
        <v>3</v>
      </c>
      <c r="J320">
        <v>3</v>
      </c>
      <c r="K320">
        <v>12</v>
      </c>
      <c r="L320">
        <v>23.5</v>
      </c>
      <c r="M320">
        <v>82.6</v>
      </c>
      <c r="N320">
        <v>3</v>
      </c>
      <c r="O320" t="s">
        <v>33</v>
      </c>
      <c r="P320">
        <v>5</v>
      </c>
      <c r="Q320" t="s">
        <v>26</v>
      </c>
      <c r="R320">
        <v>3.3</v>
      </c>
      <c r="S320" t="s">
        <v>20</v>
      </c>
    </row>
    <row r="321" spans="1:19" x14ac:dyDescent="0.3">
      <c r="A321" t="s">
        <v>358</v>
      </c>
      <c r="B321">
        <v>19</v>
      </c>
      <c r="C321" t="s">
        <v>39</v>
      </c>
      <c r="D321">
        <v>2</v>
      </c>
      <c r="E321" t="s">
        <v>32</v>
      </c>
      <c r="F321">
        <v>7.9</v>
      </c>
      <c r="G321">
        <v>4.2</v>
      </c>
      <c r="H321">
        <v>7</v>
      </c>
      <c r="I321">
        <v>2</v>
      </c>
      <c r="J321">
        <v>4</v>
      </c>
      <c r="K321">
        <v>9</v>
      </c>
      <c r="L321">
        <v>14</v>
      </c>
      <c r="M321">
        <v>75.099999999999994</v>
      </c>
      <c r="N321">
        <v>4</v>
      </c>
      <c r="O321" t="s">
        <v>33</v>
      </c>
      <c r="P321">
        <v>3</v>
      </c>
      <c r="Q321" t="s">
        <v>26</v>
      </c>
      <c r="R321">
        <v>2.6</v>
      </c>
      <c r="S321" t="s">
        <v>27</v>
      </c>
    </row>
    <row r="322" spans="1:19" x14ac:dyDescent="0.3">
      <c r="A322" t="s">
        <v>359</v>
      </c>
      <c r="B322">
        <v>23</v>
      </c>
      <c r="C322" t="s">
        <v>39</v>
      </c>
      <c r="D322">
        <v>1</v>
      </c>
      <c r="E322" t="s">
        <v>30</v>
      </c>
      <c r="F322">
        <v>6.4</v>
      </c>
      <c r="G322">
        <v>2</v>
      </c>
      <c r="H322">
        <v>1</v>
      </c>
      <c r="I322">
        <v>5</v>
      </c>
      <c r="J322">
        <v>4</v>
      </c>
      <c r="K322">
        <v>9</v>
      </c>
      <c r="L322">
        <v>26.8</v>
      </c>
      <c r="M322">
        <v>78.2</v>
      </c>
      <c r="N322">
        <v>3</v>
      </c>
      <c r="O322" t="s">
        <v>33</v>
      </c>
      <c r="P322">
        <v>3</v>
      </c>
      <c r="Q322" t="s">
        <v>51</v>
      </c>
      <c r="R322">
        <v>3.2</v>
      </c>
      <c r="S322" t="s">
        <v>27</v>
      </c>
    </row>
    <row r="323" spans="1:19" x14ac:dyDescent="0.3">
      <c r="A323" t="s">
        <v>360</v>
      </c>
      <c r="B323">
        <v>21</v>
      </c>
      <c r="C323" t="s">
        <v>39</v>
      </c>
      <c r="D323">
        <v>3</v>
      </c>
      <c r="E323" t="s">
        <v>47</v>
      </c>
      <c r="F323">
        <v>3.3</v>
      </c>
      <c r="G323">
        <v>5.9</v>
      </c>
      <c r="H323">
        <v>4</v>
      </c>
      <c r="I323">
        <v>1</v>
      </c>
      <c r="J323">
        <v>3</v>
      </c>
      <c r="K323">
        <v>8</v>
      </c>
      <c r="L323">
        <v>26.9</v>
      </c>
      <c r="M323">
        <v>81.099999999999994</v>
      </c>
      <c r="N323">
        <v>2</v>
      </c>
      <c r="O323" t="s">
        <v>33</v>
      </c>
      <c r="P323">
        <v>1</v>
      </c>
      <c r="Q323" t="s">
        <v>23</v>
      </c>
      <c r="R323">
        <v>2.71</v>
      </c>
      <c r="S323" t="s">
        <v>27</v>
      </c>
    </row>
    <row r="324" spans="1:19" x14ac:dyDescent="0.3">
      <c r="A324" t="s">
        <v>361</v>
      </c>
      <c r="B324">
        <v>24</v>
      </c>
      <c r="C324" t="s">
        <v>20</v>
      </c>
      <c r="D324">
        <v>5</v>
      </c>
      <c r="E324" t="s">
        <v>30</v>
      </c>
      <c r="F324">
        <v>6.7</v>
      </c>
      <c r="G324">
        <v>9</v>
      </c>
      <c r="H324">
        <v>2</v>
      </c>
      <c r="I324">
        <v>1</v>
      </c>
      <c r="J324">
        <v>1</v>
      </c>
      <c r="K324">
        <v>6</v>
      </c>
      <c r="L324">
        <v>26</v>
      </c>
      <c r="M324">
        <v>84.8</v>
      </c>
      <c r="N324">
        <v>2</v>
      </c>
      <c r="O324" t="s">
        <v>22</v>
      </c>
      <c r="P324">
        <v>3</v>
      </c>
      <c r="Q324" t="s">
        <v>23</v>
      </c>
      <c r="R324">
        <v>3.25</v>
      </c>
      <c r="S324" t="s">
        <v>20</v>
      </c>
    </row>
    <row r="325" spans="1:19" x14ac:dyDescent="0.3">
      <c r="A325" t="s">
        <v>362</v>
      </c>
      <c r="B325">
        <v>23</v>
      </c>
      <c r="C325" t="s">
        <v>27</v>
      </c>
      <c r="D325">
        <v>5</v>
      </c>
      <c r="E325" t="s">
        <v>32</v>
      </c>
      <c r="F325">
        <v>5.0999999999999996</v>
      </c>
      <c r="G325">
        <v>8</v>
      </c>
      <c r="H325">
        <v>0</v>
      </c>
      <c r="I325">
        <v>3</v>
      </c>
      <c r="J325">
        <v>3</v>
      </c>
      <c r="K325">
        <v>13</v>
      </c>
      <c r="L325">
        <v>23.8</v>
      </c>
      <c r="M325">
        <v>75.400000000000006</v>
      </c>
      <c r="N325">
        <v>2</v>
      </c>
      <c r="O325" t="s">
        <v>22</v>
      </c>
      <c r="P325">
        <v>3</v>
      </c>
      <c r="Q325" t="s">
        <v>51</v>
      </c>
      <c r="R325">
        <v>3.55</v>
      </c>
      <c r="S325" t="s">
        <v>27</v>
      </c>
    </row>
    <row r="326" spans="1:19" x14ac:dyDescent="0.3">
      <c r="A326" t="s">
        <v>363</v>
      </c>
      <c r="B326">
        <v>25</v>
      </c>
      <c r="C326" t="s">
        <v>45</v>
      </c>
      <c r="D326">
        <v>1</v>
      </c>
      <c r="E326" t="s">
        <v>21</v>
      </c>
      <c r="F326">
        <v>6.4</v>
      </c>
      <c r="G326">
        <v>4.5999999999999996</v>
      </c>
      <c r="H326">
        <v>4</v>
      </c>
      <c r="I326">
        <v>2</v>
      </c>
      <c r="J326">
        <v>4</v>
      </c>
      <c r="K326">
        <v>8</v>
      </c>
      <c r="L326">
        <v>15.9</v>
      </c>
      <c r="M326">
        <v>87.4</v>
      </c>
      <c r="N326">
        <v>4</v>
      </c>
      <c r="O326" t="s">
        <v>22</v>
      </c>
      <c r="P326">
        <v>4</v>
      </c>
      <c r="Q326" t="s">
        <v>26</v>
      </c>
      <c r="R326">
        <v>3.45</v>
      </c>
      <c r="S326" t="s">
        <v>20</v>
      </c>
    </row>
    <row r="327" spans="1:19" x14ac:dyDescent="0.3">
      <c r="A327" t="s">
        <v>364</v>
      </c>
      <c r="B327">
        <v>23</v>
      </c>
      <c r="C327" t="s">
        <v>45</v>
      </c>
      <c r="D327">
        <v>3</v>
      </c>
      <c r="E327" t="s">
        <v>21</v>
      </c>
      <c r="F327">
        <v>6.9</v>
      </c>
      <c r="G327">
        <v>1</v>
      </c>
      <c r="H327">
        <v>0</v>
      </c>
      <c r="I327">
        <v>11</v>
      </c>
      <c r="J327">
        <v>9</v>
      </c>
      <c r="K327">
        <v>15</v>
      </c>
      <c r="L327">
        <v>21.4</v>
      </c>
      <c r="M327">
        <v>84.6</v>
      </c>
      <c r="N327">
        <v>4</v>
      </c>
      <c r="O327" t="s">
        <v>33</v>
      </c>
      <c r="P327">
        <v>1</v>
      </c>
      <c r="Q327" t="s">
        <v>23</v>
      </c>
      <c r="R327">
        <v>3.01</v>
      </c>
      <c r="S327" t="s">
        <v>20</v>
      </c>
    </row>
    <row r="328" spans="1:19" x14ac:dyDescent="0.3">
      <c r="A328" t="s">
        <v>365</v>
      </c>
      <c r="B328">
        <v>18</v>
      </c>
      <c r="C328" t="s">
        <v>39</v>
      </c>
      <c r="D328">
        <v>2</v>
      </c>
      <c r="E328" t="s">
        <v>30</v>
      </c>
      <c r="F328">
        <v>6.3</v>
      </c>
      <c r="G328">
        <v>2.8</v>
      </c>
      <c r="H328">
        <v>3</v>
      </c>
      <c r="I328">
        <v>3</v>
      </c>
      <c r="J328">
        <v>0</v>
      </c>
      <c r="K328">
        <v>6</v>
      </c>
      <c r="L328">
        <v>30.1</v>
      </c>
      <c r="M328">
        <v>73.400000000000006</v>
      </c>
      <c r="N328">
        <v>3</v>
      </c>
      <c r="O328" t="s">
        <v>22</v>
      </c>
      <c r="P328">
        <v>4</v>
      </c>
      <c r="Q328" t="s">
        <v>26</v>
      </c>
      <c r="R328">
        <v>4</v>
      </c>
      <c r="S328" t="s">
        <v>27</v>
      </c>
    </row>
    <row r="329" spans="1:19" x14ac:dyDescent="0.3">
      <c r="A329" t="s">
        <v>366</v>
      </c>
      <c r="B329">
        <v>21</v>
      </c>
      <c r="C329" t="s">
        <v>27</v>
      </c>
      <c r="D329">
        <v>4</v>
      </c>
      <c r="E329" t="s">
        <v>47</v>
      </c>
      <c r="F329">
        <v>7.3</v>
      </c>
      <c r="G329">
        <v>4.2</v>
      </c>
      <c r="H329">
        <v>1</v>
      </c>
      <c r="I329">
        <v>3</v>
      </c>
      <c r="J329">
        <v>1</v>
      </c>
      <c r="K329">
        <v>4</v>
      </c>
      <c r="L329">
        <v>20</v>
      </c>
      <c r="M329">
        <v>81.7</v>
      </c>
      <c r="N329">
        <v>3</v>
      </c>
      <c r="O329" t="s">
        <v>33</v>
      </c>
      <c r="P329">
        <v>2</v>
      </c>
      <c r="Q329" t="s">
        <v>26</v>
      </c>
      <c r="R329">
        <v>2.93</v>
      </c>
      <c r="S329" t="s">
        <v>27</v>
      </c>
    </row>
    <row r="330" spans="1:19" x14ac:dyDescent="0.3">
      <c r="A330" t="s">
        <v>367</v>
      </c>
      <c r="B330">
        <v>19</v>
      </c>
      <c r="C330" t="s">
        <v>27</v>
      </c>
      <c r="D330">
        <v>1</v>
      </c>
      <c r="E330" t="s">
        <v>35</v>
      </c>
      <c r="F330">
        <v>5.2</v>
      </c>
      <c r="G330">
        <v>1.5</v>
      </c>
      <c r="H330">
        <v>4</v>
      </c>
      <c r="I330">
        <v>3</v>
      </c>
      <c r="J330">
        <v>2</v>
      </c>
      <c r="K330">
        <v>10</v>
      </c>
      <c r="L330">
        <v>15.9</v>
      </c>
      <c r="M330">
        <v>93.5</v>
      </c>
      <c r="N330">
        <v>2</v>
      </c>
      <c r="O330" t="s">
        <v>22</v>
      </c>
      <c r="P330">
        <v>4</v>
      </c>
      <c r="Q330" t="s">
        <v>26</v>
      </c>
      <c r="R330">
        <v>3.33</v>
      </c>
      <c r="S330" t="s">
        <v>27</v>
      </c>
    </row>
    <row r="331" spans="1:19" x14ac:dyDescent="0.3">
      <c r="A331" t="s">
        <v>368</v>
      </c>
      <c r="B331">
        <v>20</v>
      </c>
      <c r="C331" t="s">
        <v>39</v>
      </c>
      <c r="D331">
        <v>5</v>
      </c>
      <c r="E331" t="s">
        <v>30</v>
      </c>
      <c r="F331">
        <v>6.1</v>
      </c>
      <c r="G331">
        <v>1.3</v>
      </c>
      <c r="H331">
        <v>4</v>
      </c>
      <c r="I331">
        <v>16</v>
      </c>
      <c r="J331">
        <v>11</v>
      </c>
      <c r="K331">
        <v>18</v>
      </c>
      <c r="L331">
        <v>32.1</v>
      </c>
      <c r="M331">
        <v>65.400000000000006</v>
      </c>
      <c r="N331">
        <v>3</v>
      </c>
      <c r="O331" t="s">
        <v>22</v>
      </c>
      <c r="P331">
        <v>4</v>
      </c>
      <c r="Q331" t="s">
        <v>26</v>
      </c>
      <c r="R331">
        <v>2.62</v>
      </c>
      <c r="S331" t="s">
        <v>27</v>
      </c>
    </row>
    <row r="332" spans="1:19" x14ac:dyDescent="0.3">
      <c r="A332" t="s">
        <v>369</v>
      </c>
      <c r="B332">
        <v>25</v>
      </c>
      <c r="C332" t="s">
        <v>27</v>
      </c>
      <c r="D332">
        <v>4</v>
      </c>
      <c r="E332" t="s">
        <v>30</v>
      </c>
      <c r="F332">
        <v>6.3</v>
      </c>
      <c r="G332">
        <v>10.5</v>
      </c>
      <c r="H332">
        <v>4</v>
      </c>
      <c r="I332">
        <v>5</v>
      </c>
      <c r="J332">
        <v>6</v>
      </c>
      <c r="K332">
        <v>14</v>
      </c>
      <c r="L332">
        <v>18.100000000000001</v>
      </c>
      <c r="M332">
        <v>100</v>
      </c>
      <c r="N332">
        <v>1</v>
      </c>
      <c r="O332" t="s">
        <v>33</v>
      </c>
      <c r="P332">
        <v>2</v>
      </c>
      <c r="Q332" t="s">
        <v>26</v>
      </c>
      <c r="R332">
        <v>3.16</v>
      </c>
      <c r="S332" t="s">
        <v>27</v>
      </c>
    </row>
    <row r="333" spans="1:19" x14ac:dyDescent="0.3">
      <c r="A333" t="s">
        <v>370</v>
      </c>
      <c r="B333">
        <v>23</v>
      </c>
      <c r="C333" t="s">
        <v>102</v>
      </c>
      <c r="D333">
        <v>1</v>
      </c>
      <c r="E333" t="s">
        <v>35</v>
      </c>
      <c r="F333">
        <v>4.9000000000000004</v>
      </c>
      <c r="G333">
        <v>7.4</v>
      </c>
      <c r="H333">
        <v>0</v>
      </c>
      <c r="I333">
        <v>0</v>
      </c>
      <c r="J333">
        <v>2</v>
      </c>
      <c r="K333">
        <v>2</v>
      </c>
      <c r="L333">
        <v>25.7</v>
      </c>
      <c r="M333">
        <v>64.3</v>
      </c>
      <c r="N333">
        <v>5</v>
      </c>
      <c r="O333" t="s">
        <v>22</v>
      </c>
      <c r="P333">
        <v>3</v>
      </c>
      <c r="Q333" t="s">
        <v>23</v>
      </c>
      <c r="R333">
        <v>2.63</v>
      </c>
      <c r="S333" t="s">
        <v>20</v>
      </c>
    </row>
    <row r="334" spans="1:19" x14ac:dyDescent="0.3">
      <c r="A334" t="s">
        <v>371</v>
      </c>
      <c r="B334">
        <v>20</v>
      </c>
      <c r="C334" t="s">
        <v>20</v>
      </c>
      <c r="D334">
        <v>1</v>
      </c>
      <c r="E334" t="s">
        <v>32</v>
      </c>
      <c r="F334">
        <v>4.3</v>
      </c>
      <c r="G334">
        <v>6.1</v>
      </c>
      <c r="H334">
        <v>4</v>
      </c>
      <c r="I334">
        <v>6</v>
      </c>
      <c r="J334">
        <v>8</v>
      </c>
      <c r="K334">
        <v>13</v>
      </c>
      <c r="L334">
        <v>18.5</v>
      </c>
      <c r="M334">
        <v>76.900000000000006</v>
      </c>
      <c r="O334" t="s">
        <v>22</v>
      </c>
      <c r="P334">
        <v>4</v>
      </c>
      <c r="Q334" t="s">
        <v>26</v>
      </c>
      <c r="R334">
        <v>2.93</v>
      </c>
      <c r="S334" t="s">
        <v>20</v>
      </c>
    </row>
    <row r="335" spans="1:19" x14ac:dyDescent="0.3">
      <c r="A335" t="s">
        <v>372</v>
      </c>
      <c r="B335">
        <v>19</v>
      </c>
      <c r="C335" t="s">
        <v>39</v>
      </c>
      <c r="D335">
        <v>4</v>
      </c>
      <c r="E335" t="s">
        <v>30</v>
      </c>
      <c r="F335">
        <v>7.1</v>
      </c>
      <c r="G335">
        <v>6.9</v>
      </c>
      <c r="H335">
        <v>7</v>
      </c>
      <c r="I335">
        <v>6</v>
      </c>
      <c r="J335">
        <v>7</v>
      </c>
      <c r="K335">
        <v>15</v>
      </c>
      <c r="L335">
        <v>13.9</v>
      </c>
      <c r="M335">
        <v>68.5</v>
      </c>
      <c r="N335">
        <v>3</v>
      </c>
      <c r="O335" t="s">
        <v>33</v>
      </c>
      <c r="P335">
        <v>3</v>
      </c>
      <c r="Q335" t="s">
        <v>26</v>
      </c>
      <c r="R335">
        <v>2.89</v>
      </c>
      <c r="S335" t="s">
        <v>27</v>
      </c>
    </row>
    <row r="336" spans="1:19" x14ac:dyDescent="0.3">
      <c r="A336" t="s">
        <v>373</v>
      </c>
      <c r="B336">
        <v>22</v>
      </c>
      <c r="C336" t="s">
        <v>45</v>
      </c>
      <c r="D336">
        <v>1</v>
      </c>
      <c r="E336" t="s">
        <v>30</v>
      </c>
      <c r="F336">
        <v>7.9</v>
      </c>
      <c r="G336">
        <v>1.8</v>
      </c>
      <c r="H336">
        <v>1</v>
      </c>
      <c r="K336">
        <v>2</v>
      </c>
      <c r="L336">
        <v>17.5</v>
      </c>
      <c r="M336">
        <v>100</v>
      </c>
      <c r="N336">
        <v>1</v>
      </c>
      <c r="O336" t="s">
        <v>22</v>
      </c>
      <c r="P336">
        <v>1</v>
      </c>
      <c r="Q336" t="s">
        <v>23</v>
      </c>
      <c r="R336">
        <v>3.26</v>
      </c>
      <c r="S336" t="s">
        <v>20</v>
      </c>
    </row>
    <row r="337" spans="1:19" x14ac:dyDescent="0.3">
      <c r="A337" t="s">
        <v>374</v>
      </c>
      <c r="B337">
        <v>19</v>
      </c>
      <c r="C337" t="s">
        <v>20</v>
      </c>
      <c r="D337">
        <v>3</v>
      </c>
      <c r="E337" t="s">
        <v>49</v>
      </c>
      <c r="F337">
        <v>6.9</v>
      </c>
      <c r="G337">
        <v>2.2999999999999998</v>
      </c>
      <c r="H337">
        <v>2</v>
      </c>
      <c r="I337">
        <v>10</v>
      </c>
      <c r="J337">
        <v>10</v>
      </c>
      <c r="K337">
        <v>22</v>
      </c>
      <c r="L337">
        <v>11.6</v>
      </c>
      <c r="M337">
        <v>67.8</v>
      </c>
      <c r="N337">
        <v>4</v>
      </c>
      <c r="O337" t="s">
        <v>22</v>
      </c>
      <c r="P337">
        <v>3</v>
      </c>
      <c r="Q337" t="s">
        <v>26</v>
      </c>
      <c r="R337">
        <v>3.1</v>
      </c>
      <c r="S337" t="s">
        <v>20</v>
      </c>
    </row>
    <row r="338" spans="1:19" x14ac:dyDescent="0.3">
      <c r="A338" t="s">
        <v>375</v>
      </c>
      <c r="B338">
        <v>20</v>
      </c>
      <c r="C338" t="s">
        <v>27</v>
      </c>
      <c r="D338">
        <v>4</v>
      </c>
      <c r="E338" t="s">
        <v>49</v>
      </c>
      <c r="F338">
        <v>3.2</v>
      </c>
      <c r="G338">
        <v>5.0999999999999996</v>
      </c>
      <c r="H338">
        <v>4</v>
      </c>
      <c r="I338">
        <v>1</v>
      </c>
      <c r="J338">
        <v>3</v>
      </c>
      <c r="K338">
        <v>6</v>
      </c>
      <c r="L338">
        <v>14</v>
      </c>
      <c r="M338">
        <v>72.099999999999994</v>
      </c>
      <c r="O338" t="s">
        <v>33</v>
      </c>
      <c r="P338">
        <v>2</v>
      </c>
      <c r="Q338" t="s">
        <v>23</v>
      </c>
      <c r="R338">
        <v>2.63</v>
      </c>
      <c r="S338" t="s">
        <v>27</v>
      </c>
    </row>
    <row r="339" spans="1:19" x14ac:dyDescent="0.3">
      <c r="A339" t="s">
        <v>376</v>
      </c>
      <c r="B339">
        <v>22</v>
      </c>
      <c r="C339" t="s">
        <v>20</v>
      </c>
      <c r="D339">
        <v>3</v>
      </c>
      <c r="E339" t="s">
        <v>32</v>
      </c>
      <c r="F339">
        <v>7</v>
      </c>
      <c r="G339">
        <v>5.4</v>
      </c>
      <c r="H339">
        <v>1</v>
      </c>
      <c r="I339">
        <v>3</v>
      </c>
      <c r="J339">
        <v>6</v>
      </c>
      <c r="K339">
        <v>10</v>
      </c>
      <c r="L339">
        <v>7.2</v>
      </c>
      <c r="M339">
        <v>75.3</v>
      </c>
      <c r="N339">
        <v>5</v>
      </c>
      <c r="O339" t="s">
        <v>33</v>
      </c>
      <c r="P339">
        <v>4</v>
      </c>
      <c r="Q339" t="s">
        <v>51</v>
      </c>
      <c r="R339">
        <v>2.89</v>
      </c>
      <c r="S339" t="s">
        <v>20</v>
      </c>
    </row>
    <row r="340" spans="1:19" x14ac:dyDescent="0.3">
      <c r="A340" t="s">
        <v>377</v>
      </c>
      <c r="B340">
        <v>24</v>
      </c>
      <c r="C340" t="s">
        <v>20</v>
      </c>
      <c r="D340">
        <v>2</v>
      </c>
      <c r="E340" t="s">
        <v>35</v>
      </c>
      <c r="F340">
        <v>4.5999999999999996</v>
      </c>
      <c r="G340">
        <v>1.5</v>
      </c>
      <c r="H340">
        <v>3</v>
      </c>
      <c r="I340">
        <v>14</v>
      </c>
      <c r="J340">
        <v>13</v>
      </c>
      <c r="K340">
        <v>22</v>
      </c>
      <c r="L340">
        <v>13.4</v>
      </c>
      <c r="M340">
        <v>74.8</v>
      </c>
      <c r="N340">
        <v>1</v>
      </c>
      <c r="O340" t="s">
        <v>22</v>
      </c>
      <c r="P340">
        <v>3</v>
      </c>
      <c r="Q340" t="s">
        <v>23</v>
      </c>
      <c r="R340">
        <v>2.83</v>
      </c>
      <c r="S340" t="s">
        <v>20</v>
      </c>
    </row>
    <row r="341" spans="1:19" x14ac:dyDescent="0.3">
      <c r="A341" t="s">
        <v>378</v>
      </c>
      <c r="B341">
        <v>23</v>
      </c>
      <c r="C341" t="s">
        <v>20</v>
      </c>
      <c r="D341">
        <v>2</v>
      </c>
      <c r="E341" t="s">
        <v>21</v>
      </c>
      <c r="F341">
        <v>6.4</v>
      </c>
      <c r="G341">
        <v>4.9000000000000004</v>
      </c>
      <c r="H341">
        <v>4</v>
      </c>
      <c r="K341">
        <v>14</v>
      </c>
      <c r="L341">
        <v>20.2</v>
      </c>
      <c r="M341">
        <v>75.099999999999994</v>
      </c>
      <c r="N341">
        <v>4</v>
      </c>
      <c r="O341" t="s">
        <v>22</v>
      </c>
      <c r="P341">
        <v>1</v>
      </c>
      <c r="Q341" t="s">
        <v>23</v>
      </c>
      <c r="R341">
        <v>2.74</v>
      </c>
      <c r="S341" t="s">
        <v>20</v>
      </c>
    </row>
    <row r="342" spans="1:19" x14ac:dyDescent="0.3">
      <c r="A342" t="s">
        <v>379</v>
      </c>
      <c r="B342">
        <v>17</v>
      </c>
      <c r="C342" t="s">
        <v>20</v>
      </c>
      <c r="D342">
        <v>1</v>
      </c>
      <c r="E342" t="s">
        <v>30</v>
      </c>
      <c r="F342">
        <v>5.9</v>
      </c>
      <c r="G342">
        <v>4.2</v>
      </c>
      <c r="H342">
        <v>0</v>
      </c>
      <c r="I342">
        <v>6</v>
      </c>
      <c r="J342">
        <v>8</v>
      </c>
      <c r="K342">
        <v>13</v>
      </c>
      <c r="L342">
        <v>29.9</v>
      </c>
      <c r="M342">
        <v>79.2</v>
      </c>
      <c r="N342">
        <v>4</v>
      </c>
      <c r="O342" t="s">
        <v>22</v>
      </c>
      <c r="P342">
        <v>3</v>
      </c>
      <c r="Q342" t="s">
        <v>23</v>
      </c>
      <c r="R342">
        <v>2.82</v>
      </c>
      <c r="S342" t="s">
        <v>20</v>
      </c>
    </row>
    <row r="343" spans="1:19" x14ac:dyDescent="0.3">
      <c r="A343" t="s">
        <v>380</v>
      </c>
      <c r="B343">
        <v>22</v>
      </c>
      <c r="C343" t="s">
        <v>102</v>
      </c>
      <c r="D343">
        <v>5</v>
      </c>
      <c r="E343" t="s">
        <v>21</v>
      </c>
      <c r="F343">
        <v>4.5</v>
      </c>
      <c r="G343">
        <v>7.8</v>
      </c>
      <c r="H343">
        <v>3</v>
      </c>
      <c r="I343">
        <v>2</v>
      </c>
      <c r="J343">
        <v>0</v>
      </c>
      <c r="K343">
        <v>9</v>
      </c>
      <c r="L343">
        <v>20.8</v>
      </c>
      <c r="M343">
        <v>31.8</v>
      </c>
      <c r="N343">
        <v>2</v>
      </c>
      <c r="O343" t="s">
        <v>22</v>
      </c>
      <c r="P343">
        <v>4</v>
      </c>
      <c r="Q343" t="s">
        <v>23</v>
      </c>
      <c r="R343">
        <v>2.66</v>
      </c>
      <c r="S343" t="s">
        <v>20</v>
      </c>
    </row>
    <row r="344" spans="1:19" x14ac:dyDescent="0.3">
      <c r="A344" t="s">
        <v>381</v>
      </c>
      <c r="B344">
        <v>22</v>
      </c>
      <c r="C344" t="s">
        <v>20</v>
      </c>
      <c r="D344">
        <v>2</v>
      </c>
      <c r="E344" t="s">
        <v>21</v>
      </c>
      <c r="F344">
        <v>5.5</v>
      </c>
      <c r="G344">
        <v>5.4</v>
      </c>
      <c r="H344">
        <v>3</v>
      </c>
      <c r="I344">
        <v>17</v>
      </c>
      <c r="J344">
        <v>12</v>
      </c>
      <c r="K344">
        <v>23</v>
      </c>
      <c r="L344">
        <v>1</v>
      </c>
      <c r="M344">
        <v>70.900000000000006</v>
      </c>
      <c r="N344">
        <v>2</v>
      </c>
      <c r="O344" t="s">
        <v>22</v>
      </c>
      <c r="P344">
        <v>4</v>
      </c>
      <c r="Q344" t="s">
        <v>51</v>
      </c>
      <c r="R344">
        <v>2.17</v>
      </c>
      <c r="S344" t="s">
        <v>20</v>
      </c>
    </row>
    <row r="345" spans="1:19" x14ac:dyDescent="0.3">
      <c r="A345" t="s">
        <v>382</v>
      </c>
      <c r="B345">
        <v>22</v>
      </c>
      <c r="C345" t="s">
        <v>27</v>
      </c>
      <c r="D345">
        <v>1</v>
      </c>
      <c r="E345" t="s">
        <v>30</v>
      </c>
      <c r="F345">
        <v>5.2</v>
      </c>
      <c r="G345">
        <v>11.2</v>
      </c>
      <c r="H345">
        <v>2</v>
      </c>
      <c r="I345">
        <v>4</v>
      </c>
      <c r="J345">
        <v>4</v>
      </c>
      <c r="K345">
        <v>15</v>
      </c>
      <c r="L345">
        <v>32.9</v>
      </c>
      <c r="M345">
        <v>78.099999999999994</v>
      </c>
      <c r="N345">
        <v>3</v>
      </c>
      <c r="O345" t="s">
        <v>22</v>
      </c>
      <c r="P345">
        <v>1</v>
      </c>
      <c r="Q345" t="s">
        <v>51</v>
      </c>
      <c r="R345">
        <v>3.44</v>
      </c>
      <c r="S345" t="s">
        <v>27</v>
      </c>
    </row>
    <row r="346" spans="1:19" x14ac:dyDescent="0.3">
      <c r="A346" t="s">
        <v>383</v>
      </c>
      <c r="B346">
        <v>25</v>
      </c>
      <c r="C346" t="s">
        <v>20</v>
      </c>
      <c r="D346">
        <v>2</v>
      </c>
      <c r="E346" t="s">
        <v>30</v>
      </c>
      <c r="F346">
        <v>5</v>
      </c>
      <c r="G346">
        <v>3.4</v>
      </c>
      <c r="H346">
        <v>5</v>
      </c>
      <c r="I346">
        <v>4</v>
      </c>
      <c r="J346">
        <v>7</v>
      </c>
      <c r="K346">
        <v>12</v>
      </c>
      <c r="L346">
        <v>17.899999999999999</v>
      </c>
      <c r="M346">
        <v>96.5</v>
      </c>
      <c r="N346">
        <v>4</v>
      </c>
      <c r="O346" t="s">
        <v>33</v>
      </c>
      <c r="P346">
        <v>2</v>
      </c>
      <c r="Q346" t="s">
        <v>23</v>
      </c>
      <c r="R346">
        <v>2.91</v>
      </c>
      <c r="S346" t="s">
        <v>20</v>
      </c>
    </row>
    <row r="347" spans="1:19" x14ac:dyDescent="0.3">
      <c r="A347" t="s">
        <v>384</v>
      </c>
      <c r="B347">
        <v>17</v>
      </c>
      <c r="C347" t="s">
        <v>20</v>
      </c>
      <c r="D347">
        <v>5</v>
      </c>
      <c r="E347" t="s">
        <v>21</v>
      </c>
      <c r="F347">
        <v>7.1</v>
      </c>
      <c r="G347">
        <v>1.8</v>
      </c>
      <c r="H347">
        <v>1</v>
      </c>
      <c r="I347">
        <v>2</v>
      </c>
      <c r="J347">
        <v>6</v>
      </c>
      <c r="K347">
        <v>15</v>
      </c>
      <c r="L347">
        <v>21.1</v>
      </c>
      <c r="M347">
        <v>100</v>
      </c>
      <c r="N347">
        <v>5</v>
      </c>
      <c r="O347" t="s">
        <v>22</v>
      </c>
      <c r="P347">
        <v>3</v>
      </c>
      <c r="Q347" t="s">
        <v>23</v>
      </c>
      <c r="R347">
        <v>3.3</v>
      </c>
      <c r="S347" t="s">
        <v>20</v>
      </c>
    </row>
    <row r="348" spans="1:19" x14ac:dyDescent="0.3">
      <c r="A348" t="s">
        <v>385</v>
      </c>
      <c r="B348">
        <v>20</v>
      </c>
      <c r="C348" t="s">
        <v>27</v>
      </c>
      <c r="D348">
        <v>1</v>
      </c>
      <c r="E348" t="s">
        <v>49</v>
      </c>
      <c r="F348">
        <v>5.2</v>
      </c>
      <c r="G348">
        <v>11</v>
      </c>
      <c r="H348">
        <v>2</v>
      </c>
      <c r="I348">
        <v>2</v>
      </c>
      <c r="J348">
        <v>0</v>
      </c>
      <c r="K348">
        <v>9</v>
      </c>
      <c r="L348">
        <v>15</v>
      </c>
      <c r="M348">
        <v>72.400000000000006</v>
      </c>
      <c r="N348">
        <v>2</v>
      </c>
      <c r="O348" t="s">
        <v>22</v>
      </c>
      <c r="P348">
        <v>2</v>
      </c>
      <c r="Q348" t="s">
        <v>23</v>
      </c>
      <c r="R348">
        <v>2.66</v>
      </c>
      <c r="S348" t="s">
        <v>27</v>
      </c>
    </row>
    <row r="349" spans="1:19" x14ac:dyDescent="0.3">
      <c r="A349" t="s">
        <v>386</v>
      </c>
      <c r="B349">
        <v>23</v>
      </c>
      <c r="C349" t="s">
        <v>27</v>
      </c>
      <c r="D349">
        <v>4</v>
      </c>
      <c r="E349" t="s">
        <v>30</v>
      </c>
      <c r="F349">
        <v>7.1</v>
      </c>
      <c r="G349">
        <v>5.6</v>
      </c>
      <c r="H349">
        <v>4</v>
      </c>
      <c r="I349">
        <v>10</v>
      </c>
      <c r="J349">
        <v>11</v>
      </c>
      <c r="K349">
        <v>11</v>
      </c>
      <c r="L349">
        <v>16.899999999999999</v>
      </c>
      <c r="M349">
        <v>90.9</v>
      </c>
      <c r="N349">
        <v>3</v>
      </c>
      <c r="O349" t="s">
        <v>22</v>
      </c>
      <c r="P349">
        <v>3</v>
      </c>
      <c r="Q349" t="s">
        <v>26</v>
      </c>
      <c r="R349">
        <v>3.19</v>
      </c>
      <c r="S349" t="s">
        <v>27</v>
      </c>
    </row>
    <row r="350" spans="1:19" x14ac:dyDescent="0.3">
      <c r="A350" t="s">
        <v>387</v>
      </c>
      <c r="B350">
        <v>18</v>
      </c>
      <c r="C350" t="s">
        <v>61</v>
      </c>
      <c r="D350">
        <v>3</v>
      </c>
      <c r="E350" t="s">
        <v>21</v>
      </c>
      <c r="F350">
        <v>6.4</v>
      </c>
      <c r="G350">
        <v>4.2</v>
      </c>
      <c r="H350">
        <v>1</v>
      </c>
      <c r="I350">
        <v>11</v>
      </c>
      <c r="J350">
        <v>7</v>
      </c>
      <c r="K350">
        <v>23</v>
      </c>
      <c r="L350">
        <v>15.2</v>
      </c>
      <c r="M350">
        <v>65.599999999999994</v>
      </c>
      <c r="N350">
        <v>2</v>
      </c>
      <c r="O350" t="s">
        <v>22</v>
      </c>
      <c r="P350">
        <v>1</v>
      </c>
      <c r="Q350" t="s">
        <v>23</v>
      </c>
      <c r="R350">
        <v>2.82</v>
      </c>
      <c r="S350" t="s">
        <v>61</v>
      </c>
    </row>
    <row r="351" spans="1:19" x14ac:dyDescent="0.3">
      <c r="A351" t="s">
        <v>388</v>
      </c>
      <c r="B351">
        <v>25</v>
      </c>
      <c r="C351" t="s">
        <v>20</v>
      </c>
      <c r="D351">
        <v>4</v>
      </c>
      <c r="E351" t="s">
        <v>49</v>
      </c>
      <c r="F351">
        <v>6.1</v>
      </c>
      <c r="G351">
        <v>2.2999999999999998</v>
      </c>
      <c r="H351">
        <v>4</v>
      </c>
      <c r="I351">
        <v>0</v>
      </c>
      <c r="J351">
        <v>0</v>
      </c>
      <c r="K351">
        <v>3</v>
      </c>
      <c r="L351">
        <v>16.8</v>
      </c>
      <c r="M351">
        <v>93.9</v>
      </c>
      <c r="N351">
        <v>2</v>
      </c>
      <c r="O351" t="s">
        <v>33</v>
      </c>
      <c r="P351">
        <v>1</v>
      </c>
      <c r="Q351" t="s">
        <v>23</v>
      </c>
      <c r="R351">
        <v>4.3</v>
      </c>
      <c r="S351" t="s">
        <v>20</v>
      </c>
    </row>
    <row r="352" spans="1:19" x14ac:dyDescent="0.3">
      <c r="A352" t="s">
        <v>389</v>
      </c>
      <c r="B352">
        <v>22</v>
      </c>
      <c r="C352" t="s">
        <v>102</v>
      </c>
      <c r="D352">
        <v>5</v>
      </c>
      <c r="E352" t="s">
        <v>32</v>
      </c>
      <c r="F352">
        <v>5.8</v>
      </c>
      <c r="G352">
        <v>3.4</v>
      </c>
      <c r="H352">
        <v>0</v>
      </c>
      <c r="I352">
        <v>5</v>
      </c>
      <c r="J352">
        <v>5</v>
      </c>
      <c r="K352">
        <v>15</v>
      </c>
      <c r="L352">
        <v>26.6</v>
      </c>
      <c r="M352">
        <v>72.599999999999994</v>
      </c>
      <c r="N352">
        <v>4</v>
      </c>
      <c r="O352" t="s">
        <v>22</v>
      </c>
      <c r="P352">
        <v>4</v>
      </c>
      <c r="Q352" t="s">
        <v>23</v>
      </c>
      <c r="R352">
        <v>2.94</v>
      </c>
      <c r="S352" t="s">
        <v>20</v>
      </c>
    </row>
    <row r="353" spans="1:19" x14ac:dyDescent="0.3">
      <c r="A353" t="s">
        <v>390</v>
      </c>
      <c r="B353">
        <v>23</v>
      </c>
      <c r="C353" t="s">
        <v>27</v>
      </c>
      <c r="D353">
        <v>4</v>
      </c>
      <c r="E353" t="s">
        <v>49</v>
      </c>
      <c r="F353">
        <v>4.5999999999999996</v>
      </c>
      <c r="G353">
        <v>3.3</v>
      </c>
      <c r="H353">
        <v>3</v>
      </c>
      <c r="I353">
        <v>7</v>
      </c>
      <c r="J353">
        <v>6</v>
      </c>
      <c r="K353">
        <v>12</v>
      </c>
      <c r="L353">
        <v>20.399999999999999</v>
      </c>
      <c r="M353">
        <v>60.6</v>
      </c>
      <c r="N353">
        <v>3</v>
      </c>
      <c r="O353" t="s">
        <v>22</v>
      </c>
      <c r="P353">
        <v>2</v>
      </c>
      <c r="Q353" t="s">
        <v>26</v>
      </c>
      <c r="R353">
        <v>2.9</v>
      </c>
      <c r="S353" t="s">
        <v>27</v>
      </c>
    </row>
    <row r="354" spans="1:19" x14ac:dyDescent="0.3">
      <c r="A354" t="s">
        <v>391</v>
      </c>
      <c r="B354">
        <v>20</v>
      </c>
      <c r="C354" t="s">
        <v>27</v>
      </c>
      <c r="D354">
        <v>5</v>
      </c>
      <c r="E354" t="s">
        <v>47</v>
      </c>
      <c r="F354">
        <v>6.8</v>
      </c>
      <c r="G354">
        <v>1.8</v>
      </c>
      <c r="H354">
        <v>0</v>
      </c>
      <c r="I354">
        <v>5</v>
      </c>
      <c r="J354">
        <v>2</v>
      </c>
      <c r="K354">
        <v>12</v>
      </c>
      <c r="L354">
        <v>30.3</v>
      </c>
      <c r="M354">
        <v>80.2</v>
      </c>
      <c r="N354">
        <v>2</v>
      </c>
      <c r="O354" t="s">
        <v>33</v>
      </c>
      <c r="P354">
        <v>4</v>
      </c>
      <c r="Q354" t="s">
        <v>26</v>
      </c>
      <c r="R354">
        <v>3.09</v>
      </c>
      <c r="S354" t="s">
        <v>27</v>
      </c>
    </row>
    <row r="355" spans="1:19" x14ac:dyDescent="0.3">
      <c r="A355" t="s">
        <v>392</v>
      </c>
      <c r="B355">
        <v>23</v>
      </c>
      <c r="C355" t="s">
        <v>39</v>
      </c>
      <c r="D355">
        <v>1</v>
      </c>
      <c r="E355" t="s">
        <v>49</v>
      </c>
      <c r="F355">
        <v>6.2</v>
      </c>
      <c r="G355">
        <v>1</v>
      </c>
      <c r="H355">
        <v>3</v>
      </c>
      <c r="I355">
        <v>0</v>
      </c>
      <c r="J355">
        <v>3</v>
      </c>
      <c r="K355">
        <v>4</v>
      </c>
      <c r="L355">
        <v>24.3</v>
      </c>
      <c r="M355">
        <v>100</v>
      </c>
      <c r="N355">
        <v>5</v>
      </c>
      <c r="O355" t="s">
        <v>33</v>
      </c>
      <c r="P355">
        <v>1</v>
      </c>
      <c r="Q355" t="s">
        <v>26</v>
      </c>
      <c r="R355">
        <v>3.19</v>
      </c>
      <c r="S355" t="s">
        <v>27</v>
      </c>
    </row>
    <row r="356" spans="1:19" x14ac:dyDescent="0.3">
      <c r="A356" t="s">
        <v>393</v>
      </c>
      <c r="B356">
        <v>24</v>
      </c>
      <c r="C356" t="s">
        <v>45</v>
      </c>
      <c r="D356">
        <v>4</v>
      </c>
      <c r="E356" t="s">
        <v>30</v>
      </c>
      <c r="F356">
        <v>3.3</v>
      </c>
      <c r="G356">
        <v>3.3</v>
      </c>
      <c r="H356">
        <v>4</v>
      </c>
      <c r="I356">
        <v>6</v>
      </c>
      <c r="J356">
        <v>7</v>
      </c>
      <c r="K356">
        <v>14</v>
      </c>
      <c r="L356">
        <v>22.4</v>
      </c>
      <c r="M356">
        <v>83.5</v>
      </c>
      <c r="N356">
        <v>4</v>
      </c>
      <c r="O356" t="s">
        <v>22</v>
      </c>
      <c r="P356">
        <v>3</v>
      </c>
      <c r="Q356" t="s">
        <v>23</v>
      </c>
      <c r="R356">
        <v>3.08</v>
      </c>
      <c r="S356" t="s">
        <v>20</v>
      </c>
    </row>
    <row r="357" spans="1:19" x14ac:dyDescent="0.3">
      <c r="A357" t="s">
        <v>394</v>
      </c>
      <c r="B357">
        <v>22</v>
      </c>
      <c r="C357" t="s">
        <v>27</v>
      </c>
      <c r="D357">
        <v>3</v>
      </c>
      <c r="E357" t="s">
        <v>21</v>
      </c>
      <c r="F357">
        <v>5</v>
      </c>
      <c r="G357">
        <v>7</v>
      </c>
      <c r="H357">
        <v>4</v>
      </c>
      <c r="I357">
        <v>5</v>
      </c>
      <c r="J357">
        <v>7</v>
      </c>
      <c r="K357">
        <v>11</v>
      </c>
      <c r="L357">
        <v>7.4</v>
      </c>
      <c r="M357">
        <v>98.4</v>
      </c>
      <c r="N357">
        <v>4</v>
      </c>
      <c r="O357" t="s">
        <v>22</v>
      </c>
      <c r="P357">
        <v>3</v>
      </c>
      <c r="Q357" t="s">
        <v>51</v>
      </c>
      <c r="R357">
        <v>2.06</v>
      </c>
      <c r="S357" t="s">
        <v>27</v>
      </c>
    </row>
    <row r="358" spans="1:19" x14ac:dyDescent="0.3">
      <c r="A358" t="s">
        <v>395</v>
      </c>
      <c r="B358">
        <v>22</v>
      </c>
      <c r="C358" t="s">
        <v>27</v>
      </c>
      <c r="D358">
        <v>3</v>
      </c>
      <c r="E358" t="s">
        <v>32</v>
      </c>
      <c r="F358">
        <v>4.3</v>
      </c>
      <c r="G358">
        <v>9.4</v>
      </c>
      <c r="H358">
        <v>7</v>
      </c>
      <c r="I358">
        <v>4</v>
      </c>
      <c r="J358">
        <v>4</v>
      </c>
      <c r="K358">
        <v>14</v>
      </c>
      <c r="L358">
        <v>25.1</v>
      </c>
      <c r="M358">
        <v>68.099999999999994</v>
      </c>
      <c r="N358">
        <v>1</v>
      </c>
      <c r="O358" t="s">
        <v>22</v>
      </c>
      <c r="P358">
        <v>4</v>
      </c>
      <c r="Q358" t="s">
        <v>51</v>
      </c>
      <c r="R358">
        <v>2.78</v>
      </c>
      <c r="S358" t="s">
        <v>27</v>
      </c>
    </row>
    <row r="359" spans="1:19" x14ac:dyDescent="0.3">
      <c r="A359" t="s">
        <v>396</v>
      </c>
      <c r="B359">
        <v>22</v>
      </c>
      <c r="C359" t="s">
        <v>27</v>
      </c>
      <c r="D359">
        <v>4</v>
      </c>
      <c r="E359" t="s">
        <v>30</v>
      </c>
      <c r="F359">
        <v>7.5</v>
      </c>
      <c r="G359">
        <v>8</v>
      </c>
      <c r="H359">
        <v>3</v>
      </c>
      <c r="I359">
        <v>3</v>
      </c>
      <c r="J359">
        <v>4</v>
      </c>
      <c r="K359">
        <v>10</v>
      </c>
      <c r="L359">
        <v>13.9</v>
      </c>
      <c r="M359">
        <v>95.8</v>
      </c>
      <c r="N359">
        <v>5</v>
      </c>
      <c r="O359" t="s">
        <v>33</v>
      </c>
      <c r="P359">
        <v>4</v>
      </c>
      <c r="Q359" t="s">
        <v>26</v>
      </c>
      <c r="R359">
        <v>2.87</v>
      </c>
      <c r="S359" t="s">
        <v>27</v>
      </c>
    </row>
    <row r="360" spans="1:19" x14ac:dyDescent="0.3">
      <c r="A360" t="s">
        <v>397</v>
      </c>
      <c r="B360">
        <v>20</v>
      </c>
      <c r="C360" t="s">
        <v>20</v>
      </c>
      <c r="D360">
        <v>5</v>
      </c>
      <c r="E360" t="s">
        <v>30</v>
      </c>
      <c r="F360">
        <v>3.5</v>
      </c>
      <c r="G360">
        <v>8.3000000000000007</v>
      </c>
      <c r="H360">
        <v>4</v>
      </c>
      <c r="I360">
        <v>4</v>
      </c>
      <c r="J360">
        <v>5</v>
      </c>
      <c r="K360">
        <v>13</v>
      </c>
      <c r="L360">
        <v>26.8</v>
      </c>
      <c r="M360">
        <v>74.400000000000006</v>
      </c>
      <c r="N360">
        <v>4</v>
      </c>
      <c r="O360" t="s">
        <v>22</v>
      </c>
      <c r="P360">
        <v>3</v>
      </c>
      <c r="Q360" t="s">
        <v>26</v>
      </c>
      <c r="R360">
        <v>3.29</v>
      </c>
      <c r="S360" t="s">
        <v>20</v>
      </c>
    </row>
    <row r="361" spans="1:19" x14ac:dyDescent="0.3">
      <c r="A361" t="s">
        <v>398</v>
      </c>
      <c r="B361">
        <v>21</v>
      </c>
      <c r="C361" t="s">
        <v>20</v>
      </c>
      <c r="D361">
        <v>3</v>
      </c>
      <c r="E361" t="s">
        <v>30</v>
      </c>
      <c r="F361">
        <v>4.4000000000000004</v>
      </c>
      <c r="G361">
        <v>2</v>
      </c>
      <c r="H361">
        <v>3</v>
      </c>
      <c r="I361">
        <v>8</v>
      </c>
      <c r="J361">
        <v>11</v>
      </c>
      <c r="K361">
        <v>9</v>
      </c>
      <c r="L361">
        <v>15</v>
      </c>
      <c r="M361">
        <v>82.4</v>
      </c>
      <c r="N361">
        <v>3</v>
      </c>
      <c r="O361" t="s">
        <v>33</v>
      </c>
      <c r="P361">
        <v>4</v>
      </c>
      <c r="Q361" t="s">
        <v>23</v>
      </c>
      <c r="R361">
        <v>2.61</v>
      </c>
      <c r="S361" t="s">
        <v>20</v>
      </c>
    </row>
    <row r="362" spans="1:19" x14ac:dyDescent="0.3">
      <c r="A362" t="s">
        <v>399</v>
      </c>
      <c r="B362">
        <v>21</v>
      </c>
      <c r="C362" t="s">
        <v>27</v>
      </c>
      <c r="D362">
        <v>3</v>
      </c>
      <c r="E362" t="s">
        <v>21</v>
      </c>
      <c r="F362">
        <v>7.6</v>
      </c>
      <c r="G362">
        <v>5.2</v>
      </c>
      <c r="H362">
        <v>5</v>
      </c>
      <c r="I362">
        <v>5</v>
      </c>
      <c r="J362">
        <v>0</v>
      </c>
      <c r="K362">
        <v>8</v>
      </c>
      <c r="L362">
        <v>4.0999999999999996</v>
      </c>
      <c r="M362">
        <v>80.7</v>
      </c>
      <c r="N362">
        <v>1</v>
      </c>
      <c r="O362" t="s">
        <v>33</v>
      </c>
      <c r="P362">
        <v>2</v>
      </c>
      <c r="Q362" t="s">
        <v>23</v>
      </c>
      <c r="R362">
        <v>2.6</v>
      </c>
      <c r="S362" t="s">
        <v>27</v>
      </c>
    </row>
    <row r="363" spans="1:19" x14ac:dyDescent="0.3">
      <c r="A363" t="s">
        <v>400</v>
      </c>
      <c r="B363">
        <v>22</v>
      </c>
      <c r="C363" t="s">
        <v>27</v>
      </c>
      <c r="D363">
        <v>2</v>
      </c>
      <c r="E363" t="s">
        <v>21</v>
      </c>
      <c r="F363">
        <v>7.8</v>
      </c>
      <c r="G363">
        <v>6.2</v>
      </c>
      <c r="H363">
        <v>3</v>
      </c>
      <c r="I363">
        <v>4</v>
      </c>
      <c r="J363">
        <v>3</v>
      </c>
      <c r="K363">
        <v>10</v>
      </c>
      <c r="L363">
        <v>29.6</v>
      </c>
      <c r="M363">
        <v>97</v>
      </c>
      <c r="N363">
        <v>5</v>
      </c>
      <c r="O363" t="s">
        <v>22</v>
      </c>
      <c r="P363">
        <v>3</v>
      </c>
      <c r="Q363" t="s">
        <v>23</v>
      </c>
      <c r="R363">
        <v>3.43</v>
      </c>
      <c r="S363" t="s">
        <v>27</v>
      </c>
    </row>
    <row r="364" spans="1:19" x14ac:dyDescent="0.3">
      <c r="A364" t="s">
        <v>401</v>
      </c>
      <c r="B364">
        <v>24</v>
      </c>
      <c r="C364" t="s">
        <v>20</v>
      </c>
      <c r="D364">
        <v>2</v>
      </c>
      <c r="E364" t="s">
        <v>30</v>
      </c>
      <c r="F364">
        <v>5.6</v>
      </c>
      <c r="G364">
        <v>6.4</v>
      </c>
      <c r="H364">
        <v>5</v>
      </c>
      <c r="I364">
        <v>3</v>
      </c>
      <c r="J364">
        <v>4</v>
      </c>
      <c r="K364">
        <v>9</v>
      </c>
      <c r="L364">
        <v>13.6</v>
      </c>
      <c r="M364">
        <v>81.5</v>
      </c>
      <c r="O364" t="s">
        <v>33</v>
      </c>
      <c r="P364">
        <v>1</v>
      </c>
      <c r="Q364" t="s">
        <v>26</v>
      </c>
      <c r="R364">
        <v>2.66</v>
      </c>
      <c r="S364" t="s">
        <v>20</v>
      </c>
    </row>
    <row r="365" spans="1:19" x14ac:dyDescent="0.3">
      <c r="A365" t="s">
        <v>402</v>
      </c>
      <c r="B365">
        <v>19</v>
      </c>
      <c r="C365" t="s">
        <v>102</v>
      </c>
      <c r="D365">
        <v>2</v>
      </c>
      <c r="E365" t="s">
        <v>47</v>
      </c>
      <c r="F365">
        <v>5.3</v>
      </c>
      <c r="G365">
        <v>4.2</v>
      </c>
      <c r="H365">
        <v>1</v>
      </c>
      <c r="I365">
        <v>11</v>
      </c>
      <c r="J365">
        <v>7</v>
      </c>
      <c r="K365">
        <v>18</v>
      </c>
      <c r="L365">
        <v>28.8</v>
      </c>
      <c r="M365">
        <v>74</v>
      </c>
      <c r="N365">
        <v>4</v>
      </c>
      <c r="O365" t="s">
        <v>22</v>
      </c>
      <c r="P365">
        <v>3</v>
      </c>
      <c r="Q365" t="s">
        <v>26</v>
      </c>
      <c r="R365">
        <v>2.8</v>
      </c>
      <c r="S365" t="s">
        <v>20</v>
      </c>
    </row>
    <row r="366" spans="1:19" x14ac:dyDescent="0.3">
      <c r="A366" t="s">
        <v>403</v>
      </c>
      <c r="B366">
        <v>21</v>
      </c>
      <c r="C366" t="s">
        <v>20</v>
      </c>
      <c r="D366">
        <v>2</v>
      </c>
      <c r="E366" t="s">
        <v>35</v>
      </c>
      <c r="F366">
        <v>7.1</v>
      </c>
      <c r="G366">
        <v>4.8</v>
      </c>
      <c r="H366">
        <v>3</v>
      </c>
      <c r="I366">
        <v>3</v>
      </c>
      <c r="J366">
        <v>3</v>
      </c>
      <c r="K366">
        <v>7</v>
      </c>
      <c r="L366">
        <v>17.3</v>
      </c>
      <c r="M366">
        <v>90.7</v>
      </c>
      <c r="N366">
        <v>4</v>
      </c>
      <c r="O366" t="s">
        <v>22</v>
      </c>
      <c r="P366">
        <v>2</v>
      </c>
      <c r="Q366" t="s">
        <v>23</v>
      </c>
      <c r="R366">
        <v>3.28</v>
      </c>
      <c r="S366" t="s">
        <v>20</v>
      </c>
    </row>
    <row r="367" spans="1:19" x14ac:dyDescent="0.3">
      <c r="A367" t="s">
        <v>404</v>
      </c>
      <c r="B367">
        <v>25</v>
      </c>
      <c r="C367" t="s">
        <v>20</v>
      </c>
      <c r="D367">
        <v>1</v>
      </c>
      <c r="E367" t="s">
        <v>30</v>
      </c>
      <c r="F367">
        <v>3.2</v>
      </c>
      <c r="G367">
        <v>7.9</v>
      </c>
      <c r="H367">
        <v>4</v>
      </c>
      <c r="I367">
        <v>9</v>
      </c>
      <c r="J367">
        <v>8</v>
      </c>
      <c r="K367">
        <v>15</v>
      </c>
      <c r="L367">
        <v>15</v>
      </c>
      <c r="M367">
        <v>100</v>
      </c>
      <c r="N367">
        <v>4</v>
      </c>
      <c r="O367" t="s">
        <v>33</v>
      </c>
      <c r="P367">
        <v>5</v>
      </c>
      <c r="Q367" t="s">
        <v>23</v>
      </c>
      <c r="R367">
        <v>2.77</v>
      </c>
      <c r="S367" t="s">
        <v>20</v>
      </c>
    </row>
    <row r="368" spans="1:19" x14ac:dyDescent="0.3">
      <c r="A368" t="s">
        <v>405</v>
      </c>
      <c r="B368">
        <v>20</v>
      </c>
      <c r="C368" t="s">
        <v>27</v>
      </c>
      <c r="D368">
        <v>1</v>
      </c>
      <c r="E368" t="s">
        <v>35</v>
      </c>
      <c r="F368">
        <v>3.8</v>
      </c>
      <c r="G368">
        <v>6</v>
      </c>
      <c r="H368">
        <v>1</v>
      </c>
      <c r="I368">
        <v>2</v>
      </c>
      <c r="J368">
        <v>2</v>
      </c>
      <c r="K368">
        <v>11</v>
      </c>
      <c r="L368">
        <v>18.8</v>
      </c>
      <c r="M368">
        <v>76.7</v>
      </c>
      <c r="N368">
        <v>4</v>
      </c>
      <c r="O368" t="s">
        <v>33</v>
      </c>
      <c r="P368">
        <v>3</v>
      </c>
      <c r="Q368" t="s">
        <v>26</v>
      </c>
      <c r="R368">
        <v>2.77</v>
      </c>
      <c r="S368" t="s">
        <v>27</v>
      </c>
    </row>
    <row r="369" spans="1:19" x14ac:dyDescent="0.3">
      <c r="A369" t="s">
        <v>406</v>
      </c>
      <c r="B369">
        <v>20</v>
      </c>
      <c r="C369" t="s">
        <v>27</v>
      </c>
      <c r="D369">
        <v>4</v>
      </c>
      <c r="E369" t="s">
        <v>30</v>
      </c>
      <c r="F369">
        <v>5.9</v>
      </c>
      <c r="G369">
        <v>6.8</v>
      </c>
      <c r="H369">
        <v>1</v>
      </c>
      <c r="I369">
        <v>2</v>
      </c>
      <c r="J369">
        <v>3</v>
      </c>
      <c r="K369">
        <v>1</v>
      </c>
      <c r="L369">
        <v>10.7</v>
      </c>
      <c r="M369">
        <v>53</v>
      </c>
      <c r="N369">
        <v>5</v>
      </c>
      <c r="O369" t="s">
        <v>22</v>
      </c>
      <c r="P369">
        <v>3</v>
      </c>
      <c r="Q369" t="s">
        <v>51</v>
      </c>
      <c r="R369">
        <v>2.36</v>
      </c>
      <c r="S369" t="s">
        <v>27</v>
      </c>
    </row>
    <row r="370" spans="1:19" x14ac:dyDescent="0.3">
      <c r="A370" t="s">
        <v>407</v>
      </c>
      <c r="B370">
        <v>22</v>
      </c>
      <c r="C370" t="s">
        <v>27</v>
      </c>
      <c r="D370">
        <v>2</v>
      </c>
      <c r="E370" t="s">
        <v>35</v>
      </c>
      <c r="F370">
        <v>8.5</v>
      </c>
      <c r="G370">
        <v>3.2</v>
      </c>
      <c r="H370">
        <v>6</v>
      </c>
      <c r="I370">
        <v>13</v>
      </c>
      <c r="J370">
        <v>12</v>
      </c>
      <c r="K370">
        <v>21</v>
      </c>
      <c r="L370">
        <v>17</v>
      </c>
      <c r="M370">
        <v>89.5</v>
      </c>
      <c r="N370">
        <v>2</v>
      </c>
      <c r="O370" t="s">
        <v>33</v>
      </c>
      <c r="P370">
        <v>3</v>
      </c>
      <c r="Q370" t="s">
        <v>23</v>
      </c>
      <c r="R370">
        <v>2.68</v>
      </c>
      <c r="S370" t="s">
        <v>27</v>
      </c>
    </row>
    <row r="371" spans="1:19" x14ac:dyDescent="0.3">
      <c r="A371" t="s">
        <v>408</v>
      </c>
      <c r="B371">
        <v>23</v>
      </c>
      <c r="C371" t="s">
        <v>39</v>
      </c>
      <c r="D371">
        <v>5</v>
      </c>
      <c r="E371" t="s">
        <v>35</v>
      </c>
      <c r="F371">
        <v>5.6</v>
      </c>
      <c r="G371">
        <v>6.5</v>
      </c>
      <c r="H371">
        <v>2</v>
      </c>
      <c r="I371">
        <v>4</v>
      </c>
      <c r="J371">
        <v>4</v>
      </c>
      <c r="K371">
        <v>8</v>
      </c>
      <c r="L371">
        <v>7.6</v>
      </c>
      <c r="M371">
        <v>75.099999999999994</v>
      </c>
      <c r="N371">
        <v>2</v>
      </c>
      <c r="O371" t="s">
        <v>33</v>
      </c>
      <c r="P371">
        <v>2</v>
      </c>
      <c r="Q371" t="s">
        <v>51</v>
      </c>
      <c r="R371">
        <v>2.61</v>
      </c>
      <c r="S371" t="s">
        <v>27</v>
      </c>
    </row>
    <row r="372" spans="1:19" x14ac:dyDescent="0.3">
      <c r="A372" t="s">
        <v>409</v>
      </c>
      <c r="B372">
        <v>22</v>
      </c>
      <c r="C372" t="s">
        <v>45</v>
      </c>
      <c r="D372">
        <v>3</v>
      </c>
      <c r="E372" t="s">
        <v>30</v>
      </c>
      <c r="F372">
        <v>6.3</v>
      </c>
      <c r="G372">
        <v>4.8</v>
      </c>
      <c r="H372">
        <v>1</v>
      </c>
      <c r="I372">
        <v>3</v>
      </c>
      <c r="J372">
        <v>3</v>
      </c>
      <c r="K372">
        <v>6</v>
      </c>
      <c r="L372">
        <v>15.1</v>
      </c>
      <c r="M372">
        <v>75.7</v>
      </c>
      <c r="N372">
        <v>4</v>
      </c>
      <c r="O372" t="s">
        <v>22</v>
      </c>
      <c r="P372">
        <v>2</v>
      </c>
      <c r="Q372" t="s">
        <v>23</v>
      </c>
      <c r="R372">
        <v>3.18</v>
      </c>
      <c r="S372" t="s">
        <v>20</v>
      </c>
    </row>
    <row r="373" spans="1:19" x14ac:dyDescent="0.3">
      <c r="A373" t="s">
        <v>410</v>
      </c>
      <c r="B373">
        <v>24</v>
      </c>
      <c r="C373" t="s">
        <v>45</v>
      </c>
      <c r="D373">
        <v>1</v>
      </c>
      <c r="E373" t="s">
        <v>49</v>
      </c>
      <c r="F373">
        <v>7.2</v>
      </c>
      <c r="G373">
        <v>7.4</v>
      </c>
      <c r="H373">
        <v>2</v>
      </c>
      <c r="I373">
        <v>8</v>
      </c>
      <c r="J373">
        <v>7</v>
      </c>
      <c r="K373">
        <v>14</v>
      </c>
      <c r="L373">
        <v>24.8</v>
      </c>
      <c r="M373">
        <v>87.2</v>
      </c>
      <c r="N373">
        <v>3</v>
      </c>
      <c r="O373" t="s">
        <v>33</v>
      </c>
      <c r="P373">
        <v>5</v>
      </c>
      <c r="Q373" t="s">
        <v>23</v>
      </c>
      <c r="R373">
        <v>2.8</v>
      </c>
      <c r="S373" t="s">
        <v>20</v>
      </c>
    </row>
    <row r="374" spans="1:19" x14ac:dyDescent="0.3">
      <c r="A374" t="s">
        <v>411</v>
      </c>
      <c r="B374">
        <v>23</v>
      </c>
      <c r="C374" t="s">
        <v>29</v>
      </c>
      <c r="D374">
        <v>1</v>
      </c>
      <c r="E374" t="s">
        <v>63</v>
      </c>
      <c r="F374">
        <v>8.6</v>
      </c>
      <c r="G374">
        <v>2.6</v>
      </c>
      <c r="H374">
        <v>2</v>
      </c>
      <c r="I374">
        <v>10</v>
      </c>
      <c r="J374">
        <v>8</v>
      </c>
      <c r="K374">
        <v>19</v>
      </c>
      <c r="L374">
        <v>18.8</v>
      </c>
      <c r="M374">
        <v>75.8</v>
      </c>
      <c r="O374" t="s">
        <v>22</v>
      </c>
      <c r="P374">
        <v>4</v>
      </c>
      <c r="Q374" t="s">
        <v>51</v>
      </c>
      <c r="R374">
        <v>3.23</v>
      </c>
      <c r="S374" t="s">
        <v>29</v>
      </c>
    </row>
    <row r="375" spans="1:19" x14ac:dyDescent="0.3">
      <c r="A375" t="s">
        <v>412</v>
      </c>
      <c r="B375">
        <v>23</v>
      </c>
      <c r="C375" t="s">
        <v>29</v>
      </c>
      <c r="D375">
        <v>1</v>
      </c>
      <c r="E375" t="s">
        <v>35</v>
      </c>
      <c r="F375">
        <v>5</v>
      </c>
      <c r="G375">
        <v>7</v>
      </c>
      <c r="H375">
        <v>3</v>
      </c>
      <c r="I375">
        <v>6</v>
      </c>
      <c r="J375">
        <v>2</v>
      </c>
      <c r="K375">
        <v>13</v>
      </c>
      <c r="L375">
        <v>8.6</v>
      </c>
      <c r="M375">
        <v>76.900000000000006</v>
      </c>
      <c r="N375">
        <v>4</v>
      </c>
      <c r="O375" t="s">
        <v>22</v>
      </c>
      <c r="P375">
        <v>2</v>
      </c>
      <c r="Q375" t="s">
        <v>51</v>
      </c>
      <c r="S375" t="s">
        <v>29</v>
      </c>
    </row>
    <row r="376" spans="1:19" x14ac:dyDescent="0.3">
      <c r="A376" t="s">
        <v>413</v>
      </c>
      <c r="B376">
        <v>23</v>
      </c>
      <c r="C376" t="s">
        <v>102</v>
      </c>
      <c r="D376">
        <v>5</v>
      </c>
      <c r="E376" t="s">
        <v>63</v>
      </c>
      <c r="F376">
        <v>6.2</v>
      </c>
      <c r="G376">
        <v>3.5</v>
      </c>
      <c r="H376">
        <v>5</v>
      </c>
      <c r="I376">
        <v>5</v>
      </c>
      <c r="J376">
        <v>6</v>
      </c>
      <c r="K376">
        <v>10</v>
      </c>
      <c r="L376">
        <v>22.1</v>
      </c>
      <c r="M376">
        <v>76.3</v>
      </c>
      <c r="N376">
        <v>3</v>
      </c>
      <c r="O376" t="s">
        <v>33</v>
      </c>
      <c r="P376">
        <v>4</v>
      </c>
      <c r="Q376" t="s">
        <v>51</v>
      </c>
      <c r="R376">
        <v>3.33</v>
      </c>
      <c r="S376" t="s">
        <v>20</v>
      </c>
    </row>
    <row r="377" spans="1:19" x14ac:dyDescent="0.3">
      <c r="A377" t="s">
        <v>414</v>
      </c>
      <c r="B377">
        <v>26</v>
      </c>
      <c r="C377" t="s">
        <v>27</v>
      </c>
      <c r="D377">
        <v>1</v>
      </c>
      <c r="E377" t="s">
        <v>32</v>
      </c>
      <c r="F377">
        <v>7.8</v>
      </c>
      <c r="G377">
        <v>7.1</v>
      </c>
      <c r="H377">
        <v>7</v>
      </c>
      <c r="I377">
        <v>0</v>
      </c>
      <c r="J377">
        <v>1</v>
      </c>
      <c r="K377">
        <v>8</v>
      </c>
      <c r="L377">
        <v>16.399999999999999</v>
      </c>
      <c r="M377">
        <v>100</v>
      </c>
      <c r="N377">
        <v>4</v>
      </c>
      <c r="O377" t="s">
        <v>22</v>
      </c>
      <c r="P377">
        <v>3</v>
      </c>
      <c r="Q377" t="s">
        <v>23</v>
      </c>
      <c r="R377">
        <v>3.45</v>
      </c>
      <c r="S377" t="s">
        <v>27</v>
      </c>
    </row>
    <row r="378" spans="1:19" x14ac:dyDescent="0.3">
      <c r="A378" t="s">
        <v>415</v>
      </c>
      <c r="B378">
        <v>21</v>
      </c>
      <c r="C378" t="s">
        <v>27</v>
      </c>
      <c r="D378">
        <v>3</v>
      </c>
      <c r="E378" t="s">
        <v>30</v>
      </c>
      <c r="F378">
        <v>4.5</v>
      </c>
      <c r="G378">
        <v>5.2</v>
      </c>
      <c r="H378">
        <v>3</v>
      </c>
      <c r="I378">
        <v>2</v>
      </c>
      <c r="J378">
        <v>6</v>
      </c>
      <c r="K378">
        <v>11</v>
      </c>
      <c r="L378">
        <v>19.600000000000001</v>
      </c>
      <c r="M378">
        <v>82.4</v>
      </c>
      <c r="O378" t="s">
        <v>22</v>
      </c>
      <c r="P378">
        <v>1</v>
      </c>
      <c r="Q378" t="s">
        <v>23</v>
      </c>
      <c r="R378">
        <v>3.14</v>
      </c>
      <c r="S378" t="s">
        <v>27</v>
      </c>
    </row>
    <row r="379" spans="1:19" x14ac:dyDescent="0.3">
      <c r="A379" t="s">
        <v>416</v>
      </c>
      <c r="B379">
        <v>17</v>
      </c>
      <c r="C379" t="s">
        <v>27</v>
      </c>
      <c r="D379">
        <v>5</v>
      </c>
      <c r="E379" t="s">
        <v>47</v>
      </c>
      <c r="F379">
        <v>7.9</v>
      </c>
      <c r="G379">
        <v>4.5</v>
      </c>
      <c r="H379">
        <v>4</v>
      </c>
      <c r="I379">
        <v>3</v>
      </c>
      <c r="J379">
        <v>5</v>
      </c>
      <c r="K379">
        <v>9</v>
      </c>
      <c r="L379">
        <v>22.7</v>
      </c>
      <c r="M379">
        <v>62.8</v>
      </c>
      <c r="N379">
        <v>5</v>
      </c>
      <c r="O379" t="s">
        <v>22</v>
      </c>
      <c r="P379">
        <v>3</v>
      </c>
      <c r="Q379" t="s">
        <v>26</v>
      </c>
      <c r="R379">
        <v>3.64</v>
      </c>
      <c r="S379" t="s">
        <v>27</v>
      </c>
    </row>
    <row r="380" spans="1:19" x14ac:dyDescent="0.3">
      <c r="A380" t="s">
        <v>417</v>
      </c>
      <c r="B380">
        <v>25</v>
      </c>
      <c r="C380" t="s">
        <v>20</v>
      </c>
      <c r="D380">
        <v>5</v>
      </c>
      <c r="E380" t="s">
        <v>32</v>
      </c>
      <c r="F380">
        <v>4.9000000000000004</v>
      </c>
      <c r="G380">
        <v>3.6</v>
      </c>
      <c r="H380">
        <v>2</v>
      </c>
      <c r="I380">
        <v>12</v>
      </c>
      <c r="J380">
        <v>12</v>
      </c>
      <c r="K380">
        <v>16</v>
      </c>
      <c r="L380">
        <v>17.5</v>
      </c>
      <c r="M380">
        <v>68.2</v>
      </c>
      <c r="N380">
        <v>2</v>
      </c>
      <c r="O380" t="s">
        <v>33</v>
      </c>
      <c r="P380">
        <v>2</v>
      </c>
      <c r="Q380" t="s">
        <v>26</v>
      </c>
      <c r="R380">
        <v>2.52</v>
      </c>
      <c r="S380" t="s">
        <v>20</v>
      </c>
    </row>
    <row r="381" spans="1:19" x14ac:dyDescent="0.3">
      <c r="A381" t="s">
        <v>418</v>
      </c>
      <c r="B381">
        <v>21</v>
      </c>
      <c r="C381" t="s">
        <v>27</v>
      </c>
      <c r="D381">
        <v>2</v>
      </c>
      <c r="E381" t="s">
        <v>32</v>
      </c>
      <c r="F381">
        <v>6.5</v>
      </c>
      <c r="G381">
        <v>4.2</v>
      </c>
      <c r="H381">
        <v>5</v>
      </c>
      <c r="I381">
        <v>14</v>
      </c>
      <c r="J381">
        <v>9</v>
      </c>
      <c r="K381">
        <v>16</v>
      </c>
      <c r="L381">
        <v>10.4</v>
      </c>
      <c r="M381">
        <v>78.5</v>
      </c>
      <c r="N381">
        <v>4</v>
      </c>
      <c r="O381" t="s">
        <v>22</v>
      </c>
      <c r="P381">
        <v>2</v>
      </c>
      <c r="Q381" t="s">
        <v>51</v>
      </c>
      <c r="R381">
        <v>2.59</v>
      </c>
      <c r="S381" t="s">
        <v>27</v>
      </c>
    </row>
    <row r="382" spans="1:19" x14ac:dyDescent="0.3">
      <c r="A382" t="s">
        <v>419</v>
      </c>
      <c r="B382">
        <v>22</v>
      </c>
      <c r="C382" t="s">
        <v>25</v>
      </c>
      <c r="D382">
        <v>1</v>
      </c>
      <c r="E382" t="s">
        <v>21</v>
      </c>
      <c r="F382">
        <v>5.8</v>
      </c>
      <c r="G382">
        <v>3.3</v>
      </c>
      <c r="H382">
        <v>1</v>
      </c>
      <c r="I382">
        <v>6</v>
      </c>
      <c r="J382">
        <v>5</v>
      </c>
      <c r="K382">
        <v>14</v>
      </c>
      <c r="L382">
        <v>31.8</v>
      </c>
      <c r="M382">
        <v>66.599999999999994</v>
      </c>
      <c r="N382">
        <v>5</v>
      </c>
      <c r="O382" t="s">
        <v>33</v>
      </c>
      <c r="P382">
        <v>4</v>
      </c>
      <c r="Q382" t="s">
        <v>26</v>
      </c>
      <c r="R382">
        <v>2.48</v>
      </c>
      <c r="S382" t="s">
        <v>27</v>
      </c>
    </row>
    <row r="383" spans="1:19" x14ac:dyDescent="0.3">
      <c r="A383" t="s">
        <v>420</v>
      </c>
      <c r="B383">
        <v>24</v>
      </c>
      <c r="C383" t="s">
        <v>20</v>
      </c>
      <c r="D383">
        <v>1</v>
      </c>
      <c r="E383" t="s">
        <v>32</v>
      </c>
      <c r="F383">
        <v>5.0999999999999996</v>
      </c>
      <c r="G383">
        <v>3.6</v>
      </c>
      <c r="H383">
        <v>0</v>
      </c>
      <c r="I383">
        <v>3</v>
      </c>
      <c r="J383">
        <v>1</v>
      </c>
      <c r="K383">
        <v>7</v>
      </c>
      <c r="L383">
        <v>16.100000000000001</v>
      </c>
      <c r="M383">
        <v>62</v>
      </c>
      <c r="N383">
        <v>3</v>
      </c>
      <c r="O383" t="s">
        <v>22</v>
      </c>
      <c r="P383">
        <v>2</v>
      </c>
      <c r="Q383" t="s">
        <v>23</v>
      </c>
      <c r="R383">
        <v>3.24</v>
      </c>
      <c r="S383" t="s">
        <v>20</v>
      </c>
    </row>
    <row r="384" spans="1:19" x14ac:dyDescent="0.3">
      <c r="A384" t="s">
        <v>421</v>
      </c>
      <c r="B384">
        <v>18</v>
      </c>
      <c r="C384" t="s">
        <v>20</v>
      </c>
      <c r="D384">
        <v>1</v>
      </c>
      <c r="E384" t="s">
        <v>30</v>
      </c>
      <c r="F384">
        <v>4.7</v>
      </c>
      <c r="G384">
        <v>5.9</v>
      </c>
      <c r="H384">
        <v>6</v>
      </c>
      <c r="I384">
        <v>19</v>
      </c>
      <c r="J384">
        <v>13</v>
      </c>
      <c r="K384">
        <v>20</v>
      </c>
      <c r="L384">
        <v>15.9</v>
      </c>
      <c r="M384">
        <v>83.3</v>
      </c>
      <c r="N384">
        <v>3</v>
      </c>
      <c r="O384" t="s">
        <v>33</v>
      </c>
      <c r="P384">
        <v>5</v>
      </c>
      <c r="Q384" t="s">
        <v>51</v>
      </c>
      <c r="R384">
        <v>3.04</v>
      </c>
      <c r="S384" t="s">
        <v>20</v>
      </c>
    </row>
    <row r="385" spans="1:19" x14ac:dyDescent="0.3">
      <c r="A385" t="s">
        <v>422</v>
      </c>
      <c r="B385">
        <v>19</v>
      </c>
      <c r="C385" t="s">
        <v>27</v>
      </c>
      <c r="D385">
        <v>1</v>
      </c>
      <c r="E385" t="s">
        <v>49</v>
      </c>
      <c r="F385">
        <v>7.2</v>
      </c>
      <c r="G385">
        <v>1.1000000000000001</v>
      </c>
      <c r="H385">
        <v>5</v>
      </c>
      <c r="I385">
        <v>5</v>
      </c>
      <c r="J385">
        <v>8</v>
      </c>
      <c r="K385">
        <v>7</v>
      </c>
      <c r="L385">
        <v>14</v>
      </c>
      <c r="M385">
        <v>91.9</v>
      </c>
      <c r="N385">
        <v>3</v>
      </c>
      <c r="O385" t="s">
        <v>22</v>
      </c>
      <c r="P385">
        <v>4</v>
      </c>
      <c r="Q385" t="s">
        <v>51</v>
      </c>
      <c r="R385">
        <v>2.92</v>
      </c>
      <c r="S385" t="s">
        <v>27</v>
      </c>
    </row>
    <row r="386" spans="1:19" x14ac:dyDescent="0.3">
      <c r="A386" t="s">
        <v>423</v>
      </c>
      <c r="B386">
        <v>18</v>
      </c>
      <c r="C386" t="s">
        <v>27</v>
      </c>
      <c r="D386">
        <v>3</v>
      </c>
      <c r="E386" t="s">
        <v>30</v>
      </c>
      <c r="F386">
        <v>7</v>
      </c>
      <c r="G386">
        <v>7</v>
      </c>
      <c r="H386">
        <v>2</v>
      </c>
      <c r="I386">
        <v>7</v>
      </c>
      <c r="J386">
        <v>10</v>
      </c>
      <c r="K386">
        <v>16</v>
      </c>
      <c r="L386">
        <v>25.6</v>
      </c>
      <c r="M386">
        <v>70.900000000000006</v>
      </c>
      <c r="N386">
        <v>3</v>
      </c>
      <c r="O386" t="s">
        <v>33</v>
      </c>
      <c r="P386">
        <v>4</v>
      </c>
      <c r="Q386" t="s">
        <v>51</v>
      </c>
      <c r="R386">
        <v>2.84</v>
      </c>
      <c r="S386" t="s">
        <v>27</v>
      </c>
    </row>
    <row r="387" spans="1:19" x14ac:dyDescent="0.3">
      <c r="A387" t="s">
        <v>424</v>
      </c>
      <c r="B387">
        <v>20</v>
      </c>
      <c r="C387" t="s">
        <v>27</v>
      </c>
      <c r="D387">
        <v>4</v>
      </c>
      <c r="E387" t="s">
        <v>49</v>
      </c>
      <c r="F387">
        <v>6.1</v>
      </c>
      <c r="G387">
        <v>7.1</v>
      </c>
      <c r="H387">
        <v>3</v>
      </c>
      <c r="I387">
        <v>8</v>
      </c>
      <c r="J387">
        <v>5</v>
      </c>
      <c r="K387">
        <v>11</v>
      </c>
      <c r="L387">
        <v>11.2</v>
      </c>
      <c r="M387">
        <v>80.599999999999994</v>
      </c>
      <c r="N387">
        <v>3</v>
      </c>
      <c r="O387" t="s">
        <v>22</v>
      </c>
      <c r="P387">
        <v>3</v>
      </c>
      <c r="Q387" t="s">
        <v>23</v>
      </c>
      <c r="R387">
        <v>2.91</v>
      </c>
      <c r="S387" t="s">
        <v>27</v>
      </c>
    </row>
    <row r="388" spans="1:19" x14ac:dyDescent="0.3">
      <c r="A388" t="s">
        <v>425</v>
      </c>
      <c r="B388">
        <v>22</v>
      </c>
      <c r="C388" t="s">
        <v>25</v>
      </c>
      <c r="D388">
        <v>3</v>
      </c>
      <c r="E388" t="s">
        <v>47</v>
      </c>
      <c r="F388">
        <v>6.4</v>
      </c>
      <c r="G388">
        <v>3.7</v>
      </c>
      <c r="H388">
        <v>3</v>
      </c>
      <c r="I388">
        <v>4</v>
      </c>
      <c r="J388">
        <v>4</v>
      </c>
      <c r="K388">
        <v>10</v>
      </c>
      <c r="L388">
        <v>10.9</v>
      </c>
      <c r="M388">
        <v>84.8</v>
      </c>
      <c r="N388">
        <v>2</v>
      </c>
      <c r="O388" t="s">
        <v>22</v>
      </c>
      <c r="P388">
        <v>5</v>
      </c>
      <c r="Q388" t="s">
        <v>23</v>
      </c>
      <c r="R388">
        <v>3.38</v>
      </c>
      <c r="S388" t="s">
        <v>27</v>
      </c>
    </row>
    <row r="389" spans="1:19" x14ac:dyDescent="0.3">
      <c r="A389" t="s">
        <v>426</v>
      </c>
      <c r="B389">
        <v>23</v>
      </c>
      <c r="C389" t="s">
        <v>20</v>
      </c>
      <c r="D389">
        <v>3</v>
      </c>
      <c r="E389" t="s">
        <v>21</v>
      </c>
      <c r="F389">
        <v>6.7</v>
      </c>
      <c r="G389">
        <v>4.9000000000000004</v>
      </c>
      <c r="H389">
        <v>2</v>
      </c>
      <c r="I389">
        <v>5</v>
      </c>
      <c r="J389">
        <v>5</v>
      </c>
      <c r="K389">
        <v>14</v>
      </c>
      <c r="L389">
        <v>13.8</v>
      </c>
      <c r="M389">
        <v>92.4</v>
      </c>
      <c r="N389">
        <v>5</v>
      </c>
      <c r="O389" t="s">
        <v>22</v>
      </c>
      <c r="P389">
        <v>3</v>
      </c>
      <c r="Q389" t="s">
        <v>51</v>
      </c>
      <c r="R389">
        <v>2.85</v>
      </c>
      <c r="S389" t="s">
        <v>20</v>
      </c>
    </row>
    <row r="390" spans="1:19" x14ac:dyDescent="0.3">
      <c r="A390" t="s">
        <v>427</v>
      </c>
      <c r="B390">
        <v>22</v>
      </c>
      <c r="C390" t="s">
        <v>39</v>
      </c>
      <c r="D390">
        <v>1</v>
      </c>
      <c r="E390" t="s">
        <v>21</v>
      </c>
      <c r="F390">
        <v>5</v>
      </c>
      <c r="G390">
        <v>2.2000000000000002</v>
      </c>
      <c r="H390">
        <v>2</v>
      </c>
      <c r="I390">
        <v>6</v>
      </c>
      <c r="J390">
        <v>7</v>
      </c>
      <c r="K390">
        <v>8</v>
      </c>
      <c r="L390">
        <v>24.3</v>
      </c>
      <c r="M390">
        <v>87.2</v>
      </c>
      <c r="O390" t="s">
        <v>33</v>
      </c>
      <c r="P390">
        <v>3</v>
      </c>
      <c r="Q390" t="s">
        <v>26</v>
      </c>
      <c r="R390">
        <v>2.4500000000000002</v>
      </c>
      <c r="S390" t="s">
        <v>27</v>
      </c>
    </row>
    <row r="391" spans="1:19" x14ac:dyDescent="0.3">
      <c r="A391" t="s">
        <v>428</v>
      </c>
      <c r="B391">
        <v>19</v>
      </c>
      <c r="C391" t="s">
        <v>27</v>
      </c>
      <c r="D391">
        <v>4</v>
      </c>
      <c r="E391" t="s">
        <v>21</v>
      </c>
      <c r="F391">
        <v>7.1</v>
      </c>
      <c r="G391">
        <v>5.7</v>
      </c>
      <c r="H391">
        <v>1</v>
      </c>
      <c r="I391">
        <v>13</v>
      </c>
      <c r="J391">
        <v>7</v>
      </c>
      <c r="K391">
        <v>17</v>
      </c>
      <c r="L391">
        <v>23.2</v>
      </c>
      <c r="M391">
        <v>39.6</v>
      </c>
      <c r="N391">
        <v>3</v>
      </c>
      <c r="O391" t="s">
        <v>22</v>
      </c>
      <c r="P391">
        <v>3</v>
      </c>
      <c r="Q391" t="s">
        <v>26</v>
      </c>
      <c r="R391">
        <v>3.32</v>
      </c>
      <c r="S391" t="s">
        <v>27</v>
      </c>
    </row>
    <row r="392" spans="1:19" x14ac:dyDescent="0.3">
      <c r="A392" t="s">
        <v>429</v>
      </c>
      <c r="B392">
        <v>17</v>
      </c>
      <c r="C392" t="s">
        <v>20</v>
      </c>
      <c r="D392">
        <v>3</v>
      </c>
      <c r="E392" t="s">
        <v>63</v>
      </c>
      <c r="F392">
        <v>7.8</v>
      </c>
      <c r="G392">
        <v>2.4</v>
      </c>
      <c r="H392">
        <v>3</v>
      </c>
      <c r="I392">
        <v>5</v>
      </c>
      <c r="J392">
        <v>2</v>
      </c>
      <c r="K392">
        <v>9</v>
      </c>
      <c r="L392">
        <v>16.399999999999999</v>
      </c>
      <c r="M392">
        <v>78.099999999999994</v>
      </c>
      <c r="N392">
        <v>4</v>
      </c>
      <c r="O392" t="s">
        <v>22</v>
      </c>
      <c r="P392">
        <v>5</v>
      </c>
      <c r="Q392" t="s">
        <v>51</v>
      </c>
      <c r="R392">
        <v>3.21</v>
      </c>
      <c r="S392" t="s">
        <v>20</v>
      </c>
    </row>
    <row r="393" spans="1:19" x14ac:dyDescent="0.3">
      <c r="A393" t="s">
        <v>430</v>
      </c>
      <c r="B393">
        <v>22</v>
      </c>
      <c r="C393" t="s">
        <v>20</v>
      </c>
      <c r="D393">
        <v>4</v>
      </c>
      <c r="E393" t="s">
        <v>49</v>
      </c>
      <c r="F393">
        <v>9.9</v>
      </c>
      <c r="G393">
        <v>1</v>
      </c>
      <c r="H393">
        <v>2</v>
      </c>
      <c r="I393">
        <v>5</v>
      </c>
      <c r="J393">
        <v>6</v>
      </c>
      <c r="K393">
        <v>12</v>
      </c>
      <c r="L393">
        <v>29.9</v>
      </c>
      <c r="M393">
        <v>87.9</v>
      </c>
      <c r="N393">
        <v>1</v>
      </c>
      <c r="O393" t="s">
        <v>22</v>
      </c>
      <c r="P393">
        <v>2</v>
      </c>
      <c r="Q393" t="s">
        <v>23</v>
      </c>
      <c r="R393">
        <v>3.32</v>
      </c>
      <c r="S393" t="s">
        <v>20</v>
      </c>
    </row>
    <row r="394" spans="1:19" x14ac:dyDescent="0.3">
      <c r="A394" t="s">
        <v>431</v>
      </c>
      <c r="B394">
        <v>21</v>
      </c>
      <c r="C394" t="s">
        <v>39</v>
      </c>
      <c r="D394">
        <v>5</v>
      </c>
      <c r="E394" t="s">
        <v>21</v>
      </c>
      <c r="F394">
        <v>5.9</v>
      </c>
      <c r="G394">
        <v>9.1999999999999993</v>
      </c>
      <c r="H394">
        <v>3</v>
      </c>
      <c r="I394">
        <v>1</v>
      </c>
      <c r="J394">
        <v>0</v>
      </c>
      <c r="K394">
        <v>9</v>
      </c>
      <c r="L394">
        <v>24.2</v>
      </c>
      <c r="M394">
        <v>76</v>
      </c>
      <c r="N394">
        <v>2</v>
      </c>
      <c r="O394" t="s">
        <v>22</v>
      </c>
      <c r="P394">
        <v>3</v>
      </c>
      <c r="Q394" t="s">
        <v>23</v>
      </c>
      <c r="R394">
        <v>3</v>
      </c>
      <c r="S394" t="s">
        <v>27</v>
      </c>
    </row>
    <row r="395" spans="1:19" x14ac:dyDescent="0.3">
      <c r="A395" t="s">
        <v>432</v>
      </c>
      <c r="B395">
        <v>22</v>
      </c>
      <c r="C395" t="s">
        <v>39</v>
      </c>
      <c r="D395">
        <v>2</v>
      </c>
      <c r="E395" t="s">
        <v>30</v>
      </c>
      <c r="F395">
        <v>6.4</v>
      </c>
      <c r="G395">
        <v>2</v>
      </c>
      <c r="H395">
        <v>1</v>
      </c>
      <c r="I395">
        <v>1</v>
      </c>
      <c r="J395">
        <v>2</v>
      </c>
      <c r="K395">
        <v>3</v>
      </c>
      <c r="L395">
        <v>21.1</v>
      </c>
      <c r="M395">
        <v>85.1</v>
      </c>
      <c r="O395" t="s">
        <v>33</v>
      </c>
      <c r="P395">
        <v>4</v>
      </c>
      <c r="Q395" t="s">
        <v>26</v>
      </c>
      <c r="R395">
        <v>3.34</v>
      </c>
      <c r="S395" t="s">
        <v>27</v>
      </c>
    </row>
    <row r="396" spans="1:19" x14ac:dyDescent="0.3">
      <c r="A396" t="s">
        <v>433</v>
      </c>
      <c r="B396">
        <v>23</v>
      </c>
      <c r="C396" t="s">
        <v>27</v>
      </c>
      <c r="D396">
        <v>1</v>
      </c>
      <c r="E396" t="s">
        <v>30</v>
      </c>
      <c r="F396">
        <v>7.1</v>
      </c>
      <c r="G396">
        <v>4.2</v>
      </c>
      <c r="H396">
        <v>5</v>
      </c>
      <c r="I396">
        <v>1</v>
      </c>
      <c r="J396">
        <v>3</v>
      </c>
      <c r="K396">
        <v>9</v>
      </c>
      <c r="L396">
        <v>20.6</v>
      </c>
      <c r="M396">
        <v>90.7</v>
      </c>
      <c r="N396">
        <v>4</v>
      </c>
      <c r="O396" t="s">
        <v>22</v>
      </c>
      <c r="P396">
        <v>3</v>
      </c>
      <c r="Q396" t="s">
        <v>23</v>
      </c>
      <c r="R396">
        <v>2.95</v>
      </c>
      <c r="S396" t="s">
        <v>27</v>
      </c>
    </row>
    <row r="397" spans="1:19" x14ac:dyDescent="0.3">
      <c r="A397" t="s">
        <v>434</v>
      </c>
      <c r="B397">
        <v>22</v>
      </c>
      <c r="C397" t="s">
        <v>102</v>
      </c>
      <c r="D397">
        <v>2</v>
      </c>
      <c r="E397" t="s">
        <v>21</v>
      </c>
      <c r="F397">
        <v>7.1</v>
      </c>
      <c r="G397">
        <v>5</v>
      </c>
      <c r="H397">
        <v>3</v>
      </c>
      <c r="I397">
        <v>3</v>
      </c>
      <c r="J397">
        <v>5</v>
      </c>
      <c r="K397">
        <v>12</v>
      </c>
      <c r="L397">
        <v>21.8</v>
      </c>
      <c r="M397">
        <v>76.7</v>
      </c>
      <c r="N397">
        <v>1</v>
      </c>
      <c r="O397" t="s">
        <v>33</v>
      </c>
      <c r="P397">
        <v>5</v>
      </c>
      <c r="Q397" t="s">
        <v>51</v>
      </c>
      <c r="R397">
        <v>2.9</v>
      </c>
      <c r="S397" t="s">
        <v>20</v>
      </c>
    </row>
    <row r="398" spans="1:19" x14ac:dyDescent="0.3">
      <c r="A398" t="s">
        <v>435</v>
      </c>
      <c r="B398">
        <v>23</v>
      </c>
      <c r="C398" t="s">
        <v>27</v>
      </c>
      <c r="D398">
        <v>2</v>
      </c>
      <c r="E398" t="s">
        <v>35</v>
      </c>
      <c r="F398">
        <v>5.6</v>
      </c>
      <c r="G398">
        <v>5.9</v>
      </c>
      <c r="H398">
        <v>5</v>
      </c>
      <c r="I398">
        <v>11</v>
      </c>
      <c r="J398">
        <v>9</v>
      </c>
      <c r="K398">
        <v>16</v>
      </c>
      <c r="L398">
        <v>8</v>
      </c>
      <c r="M398">
        <v>93.5</v>
      </c>
      <c r="N398">
        <v>4</v>
      </c>
      <c r="O398" t="s">
        <v>33</v>
      </c>
      <c r="P398">
        <v>3</v>
      </c>
      <c r="Q398" t="s">
        <v>23</v>
      </c>
      <c r="R398">
        <v>2.66</v>
      </c>
      <c r="S398" t="s">
        <v>27</v>
      </c>
    </row>
    <row r="399" spans="1:19" x14ac:dyDescent="0.3">
      <c r="A399" t="s">
        <v>436</v>
      </c>
      <c r="B399">
        <v>22</v>
      </c>
      <c r="C399" t="s">
        <v>45</v>
      </c>
      <c r="D399">
        <v>5</v>
      </c>
      <c r="E399" t="s">
        <v>49</v>
      </c>
      <c r="F399">
        <v>5.5</v>
      </c>
      <c r="G399">
        <v>4.4000000000000004</v>
      </c>
      <c r="H399">
        <v>0</v>
      </c>
      <c r="I399">
        <v>8</v>
      </c>
      <c r="J399">
        <v>6</v>
      </c>
      <c r="K399">
        <v>13</v>
      </c>
      <c r="L399">
        <v>16.600000000000001</v>
      </c>
      <c r="M399">
        <v>94.7</v>
      </c>
      <c r="N399">
        <v>3</v>
      </c>
      <c r="O399" t="s">
        <v>33</v>
      </c>
      <c r="P399">
        <v>2</v>
      </c>
      <c r="Q399" t="s">
        <v>26</v>
      </c>
      <c r="R399">
        <v>2.3199999999999998</v>
      </c>
      <c r="S399" t="s">
        <v>20</v>
      </c>
    </row>
    <row r="400" spans="1:19" x14ac:dyDescent="0.3">
      <c r="A400" t="s">
        <v>437</v>
      </c>
      <c r="B400">
        <v>23</v>
      </c>
      <c r="C400" t="s">
        <v>27</v>
      </c>
      <c r="D400">
        <v>2</v>
      </c>
      <c r="E400" t="s">
        <v>30</v>
      </c>
      <c r="F400">
        <v>7.2</v>
      </c>
      <c r="G400">
        <v>5.3</v>
      </c>
      <c r="H400">
        <v>3</v>
      </c>
      <c r="I400">
        <v>10</v>
      </c>
      <c r="J400">
        <v>10</v>
      </c>
      <c r="K400">
        <v>17</v>
      </c>
      <c r="L400">
        <v>21.6</v>
      </c>
      <c r="M400">
        <v>72.099999999999994</v>
      </c>
      <c r="N400">
        <v>1</v>
      </c>
      <c r="O400" t="s">
        <v>22</v>
      </c>
      <c r="P400">
        <v>3</v>
      </c>
      <c r="Q400" t="s">
        <v>23</v>
      </c>
      <c r="R400">
        <v>2.95</v>
      </c>
      <c r="S400" t="s">
        <v>27</v>
      </c>
    </row>
    <row r="401" spans="1:19" x14ac:dyDescent="0.3">
      <c r="A401" t="s">
        <v>438</v>
      </c>
      <c r="B401">
        <v>20</v>
      </c>
      <c r="C401" t="s">
        <v>27</v>
      </c>
      <c r="D401">
        <v>4</v>
      </c>
      <c r="E401" t="s">
        <v>47</v>
      </c>
      <c r="F401">
        <v>5.5</v>
      </c>
      <c r="G401">
        <v>3.6</v>
      </c>
      <c r="H401">
        <v>4</v>
      </c>
      <c r="K401">
        <v>9</v>
      </c>
      <c r="L401">
        <v>8.4</v>
      </c>
      <c r="M401">
        <v>75.400000000000006</v>
      </c>
      <c r="N401">
        <v>4</v>
      </c>
      <c r="O401" t="s">
        <v>22</v>
      </c>
      <c r="P401">
        <v>3</v>
      </c>
      <c r="Q401" t="s">
        <v>51</v>
      </c>
      <c r="R401">
        <v>2.63</v>
      </c>
      <c r="S401" t="s">
        <v>27</v>
      </c>
    </row>
    <row r="402" spans="1:19" x14ac:dyDescent="0.3">
      <c r="A402" t="s">
        <v>439</v>
      </c>
      <c r="B402">
        <v>21</v>
      </c>
      <c r="C402" t="s">
        <v>25</v>
      </c>
      <c r="D402">
        <v>3</v>
      </c>
      <c r="E402" t="s">
        <v>21</v>
      </c>
      <c r="F402">
        <v>6.2</v>
      </c>
      <c r="G402">
        <v>1.3</v>
      </c>
      <c r="H402">
        <v>2</v>
      </c>
      <c r="I402">
        <v>5</v>
      </c>
      <c r="J402">
        <v>4</v>
      </c>
      <c r="K402">
        <v>12</v>
      </c>
      <c r="L402">
        <v>16.8</v>
      </c>
      <c r="M402">
        <v>35.799999999999997</v>
      </c>
      <c r="N402">
        <v>3</v>
      </c>
      <c r="O402" t="s">
        <v>22</v>
      </c>
      <c r="P402">
        <v>1</v>
      </c>
      <c r="Q402" t="s">
        <v>51</v>
      </c>
      <c r="R402">
        <v>2.7</v>
      </c>
      <c r="S402" t="s">
        <v>27</v>
      </c>
    </row>
    <row r="403" spans="1:19" x14ac:dyDescent="0.3">
      <c r="A403" t="s">
        <v>440</v>
      </c>
      <c r="B403">
        <v>22</v>
      </c>
      <c r="C403" t="s">
        <v>27</v>
      </c>
      <c r="D403">
        <v>1</v>
      </c>
      <c r="E403" t="s">
        <v>47</v>
      </c>
      <c r="F403">
        <v>6.6</v>
      </c>
      <c r="G403">
        <v>4.3</v>
      </c>
      <c r="H403">
        <v>1</v>
      </c>
      <c r="I403">
        <v>1</v>
      </c>
      <c r="J403">
        <v>3</v>
      </c>
      <c r="K403">
        <v>9</v>
      </c>
      <c r="L403">
        <v>20</v>
      </c>
      <c r="M403">
        <v>82</v>
      </c>
      <c r="N403">
        <v>2</v>
      </c>
      <c r="O403" t="s">
        <v>33</v>
      </c>
      <c r="P403">
        <v>1</v>
      </c>
      <c r="Q403" t="s">
        <v>26</v>
      </c>
      <c r="R403">
        <v>3.03</v>
      </c>
      <c r="S403" t="s">
        <v>27</v>
      </c>
    </row>
    <row r="404" spans="1:19" x14ac:dyDescent="0.3">
      <c r="A404" t="s">
        <v>441</v>
      </c>
      <c r="B404">
        <v>23</v>
      </c>
      <c r="C404" t="s">
        <v>20</v>
      </c>
      <c r="D404">
        <v>2</v>
      </c>
      <c r="E404" t="s">
        <v>30</v>
      </c>
      <c r="F404">
        <v>7.7</v>
      </c>
      <c r="G404">
        <v>6.4</v>
      </c>
      <c r="H404">
        <v>2</v>
      </c>
      <c r="I404">
        <v>3</v>
      </c>
      <c r="J404">
        <v>5</v>
      </c>
      <c r="K404">
        <v>6</v>
      </c>
      <c r="L404">
        <v>28.5</v>
      </c>
      <c r="M404">
        <v>70.3</v>
      </c>
      <c r="N404">
        <v>5</v>
      </c>
      <c r="O404" t="s">
        <v>33</v>
      </c>
      <c r="P404">
        <v>2</v>
      </c>
      <c r="Q404" t="s">
        <v>23</v>
      </c>
      <c r="R404">
        <v>2.89</v>
      </c>
      <c r="S404" t="s">
        <v>20</v>
      </c>
    </row>
    <row r="405" spans="1:19" x14ac:dyDescent="0.3">
      <c r="A405" t="s">
        <v>442</v>
      </c>
      <c r="B405">
        <v>21</v>
      </c>
      <c r="C405" t="s">
        <v>20</v>
      </c>
      <c r="D405">
        <v>3</v>
      </c>
      <c r="E405" t="s">
        <v>32</v>
      </c>
      <c r="F405">
        <v>5.9</v>
      </c>
      <c r="G405">
        <v>2.1</v>
      </c>
      <c r="H405">
        <v>2</v>
      </c>
      <c r="I405">
        <v>12</v>
      </c>
      <c r="J405">
        <v>13</v>
      </c>
      <c r="K405">
        <v>22</v>
      </c>
      <c r="L405">
        <v>2.9</v>
      </c>
      <c r="M405">
        <v>74.900000000000006</v>
      </c>
      <c r="N405">
        <v>3</v>
      </c>
      <c r="O405" t="s">
        <v>22</v>
      </c>
      <c r="P405">
        <v>4</v>
      </c>
      <c r="Q405" t="s">
        <v>26</v>
      </c>
      <c r="R405">
        <v>1.83</v>
      </c>
      <c r="S405" t="s">
        <v>20</v>
      </c>
    </row>
    <row r="406" spans="1:19" x14ac:dyDescent="0.3">
      <c r="A406" t="s">
        <v>443</v>
      </c>
      <c r="B406">
        <v>23</v>
      </c>
      <c r="C406" t="s">
        <v>27</v>
      </c>
      <c r="D406">
        <v>3</v>
      </c>
      <c r="E406" t="s">
        <v>35</v>
      </c>
      <c r="F406">
        <v>4</v>
      </c>
      <c r="G406">
        <v>5</v>
      </c>
      <c r="H406">
        <v>2</v>
      </c>
      <c r="I406">
        <v>7</v>
      </c>
      <c r="J406">
        <v>8</v>
      </c>
      <c r="K406">
        <v>17</v>
      </c>
      <c r="L406">
        <v>12.8</v>
      </c>
      <c r="M406">
        <v>81.400000000000006</v>
      </c>
      <c r="N406">
        <v>3</v>
      </c>
      <c r="O406" t="s">
        <v>22</v>
      </c>
      <c r="P406">
        <v>5</v>
      </c>
      <c r="Q406" t="s">
        <v>23</v>
      </c>
      <c r="R406">
        <v>2.82</v>
      </c>
      <c r="S406" t="s">
        <v>27</v>
      </c>
    </row>
    <row r="407" spans="1:19" x14ac:dyDescent="0.3">
      <c r="A407" t="s">
        <v>444</v>
      </c>
      <c r="B407">
        <v>21</v>
      </c>
      <c r="C407" t="s">
        <v>39</v>
      </c>
      <c r="D407">
        <v>2</v>
      </c>
      <c r="E407" t="s">
        <v>30</v>
      </c>
      <c r="F407">
        <v>3.5</v>
      </c>
      <c r="G407">
        <v>12.5</v>
      </c>
      <c r="H407">
        <v>2</v>
      </c>
      <c r="I407">
        <v>2</v>
      </c>
      <c r="J407">
        <v>6</v>
      </c>
      <c r="K407">
        <v>9</v>
      </c>
      <c r="L407">
        <v>19.5</v>
      </c>
      <c r="M407">
        <v>88.2</v>
      </c>
      <c r="N407">
        <v>3</v>
      </c>
      <c r="O407" t="s">
        <v>33</v>
      </c>
      <c r="P407">
        <v>3</v>
      </c>
      <c r="Q407" t="s">
        <v>26</v>
      </c>
      <c r="R407">
        <v>2.87</v>
      </c>
      <c r="S407" t="s">
        <v>27</v>
      </c>
    </row>
    <row r="408" spans="1:19" x14ac:dyDescent="0.3">
      <c r="A408" t="s">
        <v>445</v>
      </c>
      <c r="B408">
        <v>21</v>
      </c>
      <c r="C408" t="s">
        <v>25</v>
      </c>
      <c r="D408">
        <v>2</v>
      </c>
      <c r="E408" t="s">
        <v>49</v>
      </c>
      <c r="F408">
        <v>5.0999999999999996</v>
      </c>
      <c r="G408">
        <v>4.0999999999999996</v>
      </c>
      <c r="H408">
        <v>2</v>
      </c>
      <c r="I408">
        <v>3</v>
      </c>
      <c r="J408">
        <v>3</v>
      </c>
      <c r="K408">
        <v>4</v>
      </c>
      <c r="L408">
        <v>25</v>
      </c>
      <c r="M408">
        <v>100</v>
      </c>
      <c r="N408">
        <v>4</v>
      </c>
      <c r="O408" t="s">
        <v>22</v>
      </c>
      <c r="P408">
        <v>1</v>
      </c>
      <c r="Q408" t="s">
        <v>23</v>
      </c>
      <c r="R408">
        <v>2.86</v>
      </c>
      <c r="S408" t="s">
        <v>27</v>
      </c>
    </row>
    <row r="409" spans="1:19" x14ac:dyDescent="0.3">
      <c r="A409" t="s">
        <v>446</v>
      </c>
      <c r="B409">
        <v>23</v>
      </c>
      <c r="C409" t="s">
        <v>45</v>
      </c>
      <c r="D409">
        <v>4</v>
      </c>
      <c r="E409" t="s">
        <v>63</v>
      </c>
      <c r="F409">
        <v>4.5999999999999996</v>
      </c>
      <c r="G409">
        <v>4.3</v>
      </c>
      <c r="H409">
        <v>3</v>
      </c>
      <c r="I409">
        <v>16</v>
      </c>
      <c r="J409">
        <v>11</v>
      </c>
      <c r="K409">
        <v>20</v>
      </c>
      <c r="L409">
        <v>13.3</v>
      </c>
      <c r="M409">
        <v>80.900000000000006</v>
      </c>
      <c r="N409">
        <v>4</v>
      </c>
      <c r="O409" t="s">
        <v>22</v>
      </c>
      <c r="P409">
        <v>3</v>
      </c>
      <c r="Q409" t="s">
        <v>23</v>
      </c>
      <c r="R409">
        <v>2.68</v>
      </c>
      <c r="S409" t="s">
        <v>20</v>
      </c>
    </row>
    <row r="410" spans="1:19" x14ac:dyDescent="0.3">
      <c r="A410" t="s">
        <v>447</v>
      </c>
      <c r="B410">
        <v>17</v>
      </c>
      <c r="C410" t="s">
        <v>20</v>
      </c>
      <c r="D410">
        <v>1</v>
      </c>
      <c r="E410" t="s">
        <v>30</v>
      </c>
      <c r="F410">
        <v>6.5</v>
      </c>
      <c r="G410">
        <v>1.2</v>
      </c>
      <c r="H410">
        <v>0</v>
      </c>
      <c r="I410">
        <v>16</v>
      </c>
      <c r="J410">
        <v>12</v>
      </c>
      <c r="K410">
        <v>22</v>
      </c>
      <c r="L410">
        <v>30.8</v>
      </c>
      <c r="M410">
        <v>100</v>
      </c>
      <c r="N410">
        <v>5</v>
      </c>
      <c r="O410" t="s">
        <v>22</v>
      </c>
      <c r="P410">
        <v>4</v>
      </c>
      <c r="Q410" t="s">
        <v>26</v>
      </c>
      <c r="R410">
        <v>3.19</v>
      </c>
      <c r="S410" t="s">
        <v>20</v>
      </c>
    </row>
    <row r="411" spans="1:19" x14ac:dyDescent="0.3">
      <c r="A411" t="s">
        <v>448</v>
      </c>
      <c r="B411">
        <v>19</v>
      </c>
      <c r="C411" t="s">
        <v>20</v>
      </c>
      <c r="D411">
        <v>5</v>
      </c>
      <c r="E411" t="s">
        <v>30</v>
      </c>
      <c r="F411">
        <v>5.2</v>
      </c>
      <c r="G411">
        <v>1.9</v>
      </c>
      <c r="H411">
        <v>2</v>
      </c>
      <c r="I411">
        <v>9</v>
      </c>
      <c r="J411">
        <v>8</v>
      </c>
      <c r="K411">
        <v>11</v>
      </c>
      <c r="L411">
        <v>20.8</v>
      </c>
      <c r="M411">
        <v>81.900000000000006</v>
      </c>
      <c r="N411">
        <v>2</v>
      </c>
      <c r="O411" t="s">
        <v>22</v>
      </c>
      <c r="P411">
        <v>4</v>
      </c>
      <c r="Q411" t="s">
        <v>26</v>
      </c>
      <c r="R411">
        <v>2.78</v>
      </c>
      <c r="S411" t="s">
        <v>20</v>
      </c>
    </row>
    <row r="412" spans="1:19" x14ac:dyDescent="0.3">
      <c r="A412" t="s">
        <v>449</v>
      </c>
      <c r="B412">
        <v>18</v>
      </c>
      <c r="C412" t="s">
        <v>27</v>
      </c>
      <c r="D412">
        <v>1</v>
      </c>
      <c r="E412" t="s">
        <v>49</v>
      </c>
      <c r="F412">
        <v>5.8</v>
      </c>
      <c r="G412">
        <v>2.4</v>
      </c>
      <c r="H412">
        <v>4</v>
      </c>
      <c r="I412">
        <v>4</v>
      </c>
      <c r="J412">
        <v>3</v>
      </c>
      <c r="K412">
        <v>8</v>
      </c>
      <c r="L412">
        <v>14.6</v>
      </c>
      <c r="M412">
        <v>58.5</v>
      </c>
      <c r="N412">
        <v>4</v>
      </c>
      <c r="O412" t="s">
        <v>33</v>
      </c>
      <c r="P412">
        <v>2</v>
      </c>
      <c r="Q412" t="s">
        <v>26</v>
      </c>
      <c r="R412">
        <v>2.1</v>
      </c>
      <c r="S412" t="s">
        <v>27</v>
      </c>
    </row>
    <row r="413" spans="1:19" x14ac:dyDescent="0.3">
      <c r="A413" t="s">
        <v>450</v>
      </c>
      <c r="B413">
        <v>17</v>
      </c>
      <c r="C413" t="s">
        <v>27</v>
      </c>
      <c r="D413">
        <v>1</v>
      </c>
      <c r="E413" t="s">
        <v>21</v>
      </c>
      <c r="F413">
        <v>4.7</v>
      </c>
      <c r="G413">
        <v>6.3</v>
      </c>
      <c r="H413">
        <v>1</v>
      </c>
      <c r="I413">
        <v>0</v>
      </c>
      <c r="J413">
        <v>5</v>
      </c>
      <c r="K413">
        <v>3</v>
      </c>
      <c r="L413">
        <v>19.3</v>
      </c>
      <c r="M413">
        <v>77.400000000000006</v>
      </c>
      <c r="N413">
        <v>4</v>
      </c>
      <c r="O413" t="s">
        <v>22</v>
      </c>
      <c r="P413">
        <v>2</v>
      </c>
      <c r="Q413" t="s">
        <v>26</v>
      </c>
      <c r="R413">
        <v>3.14</v>
      </c>
      <c r="S413" t="s">
        <v>27</v>
      </c>
    </row>
    <row r="414" spans="1:19" x14ac:dyDescent="0.3">
      <c r="A414" t="s">
        <v>451</v>
      </c>
      <c r="B414">
        <v>20</v>
      </c>
      <c r="C414" t="s">
        <v>27</v>
      </c>
      <c r="D414">
        <v>3</v>
      </c>
      <c r="E414" t="s">
        <v>30</v>
      </c>
      <c r="F414">
        <v>5.5</v>
      </c>
      <c r="G414">
        <v>2.2000000000000002</v>
      </c>
      <c r="H414">
        <v>1</v>
      </c>
      <c r="I414">
        <v>2</v>
      </c>
      <c r="J414">
        <v>5</v>
      </c>
      <c r="K414">
        <v>10</v>
      </c>
      <c r="L414">
        <v>17.100000000000001</v>
      </c>
      <c r="M414">
        <v>65.8</v>
      </c>
      <c r="N414">
        <v>3</v>
      </c>
      <c r="O414" t="s">
        <v>33</v>
      </c>
      <c r="P414">
        <v>5</v>
      </c>
      <c r="Q414" t="s">
        <v>23</v>
      </c>
      <c r="R414">
        <v>2.4300000000000002</v>
      </c>
      <c r="S414" t="s">
        <v>27</v>
      </c>
    </row>
    <row r="415" spans="1:19" x14ac:dyDescent="0.3">
      <c r="A415" t="s">
        <v>452</v>
      </c>
      <c r="B415">
        <v>23</v>
      </c>
      <c r="C415" t="s">
        <v>102</v>
      </c>
      <c r="D415">
        <v>3</v>
      </c>
      <c r="E415" t="s">
        <v>21</v>
      </c>
      <c r="F415">
        <v>8</v>
      </c>
      <c r="G415">
        <v>1</v>
      </c>
      <c r="H415">
        <v>1</v>
      </c>
      <c r="I415">
        <v>0</v>
      </c>
      <c r="J415">
        <v>1</v>
      </c>
      <c r="K415">
        <v>6</v>
      </c>
      <c r="L415">
        <v>27.2</v>
      </c>
      <c r="M415">
        <v>90.4</v>
      </c>
      <c r="N415">
        <v>1</v>
      </c>
      <c r="O415" t="s">
        <v>22</v>
      </c>
      <c r="P415">
        <v>4</v>
      </c>
      <c r="Q415" t="s">
        <v>26</v>
      </c>
      <c r="R415">
        <v>3.45</v>
      </c>
      <c r="S415" t="s">
        <v>20</v>
      </c>
    </row>
    <row r="416" spans="1:19" x14ac:dyDescent="0.3">
      <c r="A416" t="s">
        <v>453</v>
      </c>
      <c r="B416">
        <v>21</v>
      </c>
      <c r="C416" t="s">
        <v>45</v>
      </c>
      <c r="D416">
        <v>3</v>
      </c>
      <c r="E416" t="s">
        <v>49</v>
      </c>
      <c r="F416">
        <v>6.6</v>
      </c>
      <c r="G416">
        <v>5.6</v>
      </c>
      <c r="H416">
        <v>0</v>
      </c>
      <c r="I416">
        <v>1</v>
      </c>
      <c r="J416">
        <v>4</v>
      </c>
      <c r="K416">
        <v>2</v>
      </c>
      <c r="L416">
        <v>6.2</v>
      </c>
      <c r="M416">
        <v>65.5</v>
      </c>
      <c r="N416">
        <v>4</v>
      </c>
      <c r="O416" t="s">
        <v>22</v>
      </c>
      <c r="P416">
        <v>1</v>
      </c>
      <c r="Q416" t="s">
        <v>26</v>
      </c>
      <c r="R416">
        <v>2.61</v>
      </c>
      <c r="S416" t="s">
        <v>20</v>
      </c>
    </row>
    <row r="417" spans="1:19" x14ac:dyDescent="0.3">
      <c r="A417" t="s">
        <v>454</v>
      </c>
      <c r="B417">
        <v>22</v>
      </c>
      <c r="C417" t="s">
        <v>39</v>
      </c>
      <c r="D417">
        <v>2</v>
      </c>
      <c r="E417" t="s">
        <v>30</v>
      </c>
      <c r="F417">
        <v>6.3</v>
      </c>
      <c r="G417">
        <v>2.6</v>
      </c>
      <c r="H417">
        <v>3</v>
      </c>
      <c r="I417">
        <v>11</v>
      </c>
      <c r="J417">
        <v>10</v>
      </c>
      <c r="K417">
        <v>18</v>
      </c>
      <c r="L417">
        <v>78</v>
      </c>
      <c r="M417">
        <v>84.1</v>
      </c>
      <c r="N417">
        <v>2</v>
      </c>
      <c r="O417" t="s">
        <v>33</v>
      </c>
      <c r="P417">
        <v>4</v>
      </c>
      <c r="Q417" t="s">
        <v>51</v>
      </c>
      <c r="R417">
        <v>3.29</v>
      </c>
      <c r="S417" t="s">
        <v>27</v>
      </c>
    </row>
    <row r="418" spans="1:19" x14ac:dyDescent="0.3">
      <c r="A418" t="s">
        <v>455</v>
      </c>
      <c r="B418">
        <v>24</v>
      </c>
      <c r="C418" t="s">
        <v>20</v>
      </c>
      <c r="D418">
        <v>5</v>
      </c>
      <c r="E418" t="s">
        <v>21</v>
      </c>
      <c r="F418">
        <v>6.3</v>
      </c>
      <c r="G418">
        <v>1.2</v>
      </c>
      <c r="H418">
        <v>0</v>
      </c>
      <c r="I418">
        <v>6</v>
      </c>
      <c r="J418">
        <v>7</v>
      </c>
      <c r="K418">
        <v>12</v>
      </c>
      <c r="L418">
        <v>24.7</v>
      </c>
      <c r="M418">
        <v>81.5</v>
      </c>
      <c r="N418">
        <v>4</v>
      </c>
      <c r="O418" t="s">
        <v>22</v>
      </c>
      <c r="P418">
        <v>1</v>
      </c>
      <c r="Q418" t="s">
        <v>26</v>
      </c>
      <c r="R418">
        <v>3.5</v>
      </c>
      <c r="S418" t="s">
        <v>20</v>
      </c>
    </row>
    <row r="419" spans="1:19" x14ac:dyDescent="0.3">
      <c r="A419" t="s">
        <v>456</v>
      </c>
      <c r="B419">
        <v>24</v>
      </c>
      <c r="C419" t="s">
        <v>20</v>
      </c>
      <c r="D419">
        <v>3</v>
      </c>
      <c r="E419" t="s">
        <v>47</v>
      </c>
      <c r="F419">
        <v>5.4</v>
      </c>
      <c r="G419">
        <v>6.8</v>
      </c>
      <c r="H419">
        <v>2</v>
      </c>
      <c r="I419">
        <v>8</v>
      </c>
      <c r="J419">
        <v>5</v>
      </c>
      <c r="K419">
        <v>14</v>
      </c>
      <c r="L419">
        <v>30.5</v>
      </c>
      <c r="M419">
        <v>79</v>
      </c>
      <c r="N419">
        <v>3</v>
      </c>
      <c r="O419" t="s">
        <v>33</v>
      </c>
      <c r="P419">
        <v>1</v>
      </c>
      <c r="Q419" t="s">
        <v>51</v>
      </c>
      <c r="R419">
        <v>3.06</v>
      </c>
      <c r="S419" t="s">
        <v>20</v>
      </c>
    </row>
    <row r="420" spans="1:19" x14ac:dyDescent="0.3">
      <c r="A420" t="s">
        <v>457</v>
      </c>
      <c r="B420">
        <v>21</v>
      </c>
      <c r="C420" t="s">
        <v>20</v>
      </c>
      <c r="D420">
        <v>3</v>
      </c>
      <c r="E420" t="s">
        <v>32</v>
      </c>
      <c r="F420">
        <v>6.9</v>
      </c>
      <c r="G420">
        <v>3.3</v>
      </c>
      <c r="H420">
        <v>7</v>
      </c>
      <c r="I420">
        <v>6</v>
      </c>
      <c r="J420">
        <v>6</v>
      </c>
      <c r="K420">
        <v>10</v>
      </c>
      <c r="L420">
        <v>1.6</v>
      </c>
      <c r="M420">
        <v>83.6</v>
      </c>
      <c r="N420">
        <v>1</v>
      </c>
      <c r="O420" t="s">
        <v>33</v>
      </c>
      <c r="P420">
        <v>4</v>
      </c>
      <c r="Q420" t="s">
        <v>23</v>
      </c>
      <c r="R420">
        <v>2.8</v>
      </c>
      <c r="S420" t="s">
        <v>20</v>
      </c>
    </row>
    <row r="421" spans="1:19" x14ac:dyDescent="0.3">
      <c r="A421" t="s">
        <v>458</v>
      </c>
      <c r="B421">
        <v>24</v>
      </c>
      <c r="C421" t="s">
        <v>20</v>
      </c>
      <c r="D421">
        <v>2</v>
      </c>
      <c r="E421" t="s">
        <v>47</v>
      </c>
      <c r="F421">
        <v>6.4</v>
      </c>
      <c r="G421">
        <v>6</v>
      </c>
      <c r="H421">
        <v>5</v>
      </c>
      <c r="I421">
        <v>2</v>
      </c>
      <c r="J421">
        <v>3</v>
      </c>
      <c r="K421">
        <v>5</v>
      </c>
      <c r="L421">
        <v>28.1</v>
      </c>
      <c r="M421">
        <v>98.3</v>
      </c>
      <c r="N421">
        <v>5</v>
      </c>
      <c r="O421" t="s">
        <v>22</v>
      </c>
      <c r="P421">
        <v>3</v>
      </c>
      <c r="Q421" t="s">
        <v>23</v>
      </c>
      <c r="R421">
        <v>3.54</v>
      </c>
      <c r="S421" t="s">
        <v>20</v>
      </c>
    </row>
    <row r="422" spans="1:19" x14ac:dyDescent="0.3">
      <c r="A422" t="s">
        <v>459</v>
      </c>
      <c r="B422">
        <v>22</v>
      </c>
      <c r="C422" t="s">
        <v>20</v>
      </c>
      <c r="D422">
        <v>1</v>
      </c>
      <c r="E422" t="s">
        <v>21</v>
      </c>
      <c r="F422">
        <v>5.4</v>
      </c>
      <c r="G422">
        <v>1.2</v>
      </c>
      <c r="H422">
        <v>1</v>
      </c>
      <c r="I422">
        <v>6</v>
      </c>
      <c r="J422">
        <v>7</v>
      </c>
      <c r="K422">
        <v>10</v>
      </c>
      <c r="L422">
        <v>85.3</v>
      </c>
      <c r="M422">
        <v>100</v>
      </c>
      <c r="N422">
        <v>4</v>
      </c>
      <c r="O422" t="s">
        <v>22</v>
      </c>
      <c r="P422">
        <v>3</v>
      </c>
      <c r="Q422" t="s">
        <v>23</v>
      </c>
      <c r="R422">
        <v>3.57</v>
      </c>
      <c r="S422" t="s">
        <v>20</v>
      </c>
    </row>
    <row r="423" spans="1:19" x14ac:dyDescent="0.3">
      <c r="A423" t="s">
        <v>460</v>
      </c>
      <c r="B423">
        <v>20</v>
      </c>
      <c r="C423" t="s">
        <v>27</v>
      </c>
      <c r="D423">
        <v>3</v>
      </c>
      <c r="E423" t="s">
        <v>35</v>
      </c>
      <c r="F423">
        <v>6.9</v>
      </c>
      <c r="G423">
        <v>1</v>
      </c>
      <c r="H423">
        <v>2</v>
      </c>
      <c r="I423">
        <v>2</v>
      </c>
      <c r="J423">
        <v>2</v>
      </c>
      <c r="K423">
        <v>6</v>
      </c>
      <c r="L423">
        <v>3.7</v>
      </c>
      <c r="M423">
        <v>77.400000000000006</v>
      </c>
      <c r="N423">
        <v>3</v>
      </c>
      <c r="O423" t="s">
        <v>22</v>
      </c>
      <c r="P423">
        <v>5</v>
      </c>
      <c r="Q423" t="s">
        <v>26</v>
      </c>
      <c r="R423">
        <v>2.35</v>
      </c>
      <c r="S423" t="s">
        <v>27</v>
      </c>
    </row>
    <row r="424" spans="1:19" x14ac:dyDescent="0.3">
      <c r="A424" t="s">
        <v>461</v>
      </c>
      <c r="B424">
        <v>20</v>
      </c>
      <c r="C424" t="s">
        <v>27</v>
      </c>
      <c r="D424">
        <v>2</v>
      </c>
      <c r="E424" t="s">
        <v>49</v>
      </c>
      <c r="F424">
        <v>4</v>
      </c>
      <c r="G424">
        <v>4.7</v>
      </c>
      <c r="H424">
        <v>3</v>
      </c>
      <c r="I424">
        <v>12</v>
      </c>
      <c r="J424">
        <v>5</v>
      </c>
      <c r="K424">
        <v>15</v>
      </c>
      <c r="L424">
        <v>1</v>
      </c>
      <c r="M424">
        <v>91.9</v>
      </c>
      <c r="N424">
        <v>4</v>
      </c>
      <c r="O424" t="s">
        <v>22</v>
      </c>
      <c r="P424">
        <v>4</v>
      </c>
      <c r="Q424" t="s">
        <v>51</v>
      </c>
      <c r="R424">
        <v>2.2200000000000002</v>
      </c>
      <c r="S424" t="s">
        <v>27</v>
      </c>
    </row>
    <row r="425" spans="1:19" x14ac:dyDescent="0.3">
      <c r="A425" t="s">
        <v>462</v>
      </c>
      <c r="B425">
        <v>18</v>
      </c>
      <c r="C425" t="s">
        <v>102</v>
      </c>
      <c r="D425">
        <v>3</v>
      </c>
      <c r="E425" t="s">
        <v>30</v>
      </c>
      <c r="F425">
        <v>6.6</v>
      </c>
      <c r="G425">
        <v>1.8</v>
      </c>
      <c r="H425">
        <v>4</v>
      </c>
      <c r="I425">
        <v>0</v>
      </c>
      <c r="J425">
        <v>0</v>
      </c>
      <c r="K425">
        <v>5</v>
      </c>
      <c r="L425">
        <v>8.9</v>
      </c>
      <c r="M425">
        <v>59.2</v>
      </c>
      <c r="N425">
        <v>3</v>
      </c>
      <c r="O425" t="s">
        <v>33</v>
      </c>
      <c r="P425">
        <v>1</v>
      </c>
      <c r="Q425" t="s">
        <v>23</v>
      </c>
      <c r="R425">
        <v>2.76</v>
      </c>
      <c r="S425" t="s">
        <v>20</v>
      </c>
    </row>
    <row r="426" spans="1:19" x14ac:dyDescent="0.3">
      <c r="A426" t="s">
        <v>463</v>
      </c>
      <c r="B426">
        <v>20</v>
      </c>
      <c r="C426" t="s">
        <v>20</v>
      </c>
      <c r="D426">
        <v>1</v>
      </c>
      <c r="E426" t="s">
        <v>47</v>
      </c>
      <c r="F426">
        <v>7.2</v>
      </c>
      <c r="G426">
        <v>4.7</v>
      </c>
      <c r="H426">
        <v>4</v>
      </c>
      <c r="I426">
        <v>3</v>
      </c>
      <c r="J426">
        <v>4</v>
      </c>
      <c r="K426">
        <v>8</v>
      </c>
      <c r="L426">
        <v>19.8</v>
      </c>
      <c r="M426">
        <v>60.4</v>
      </c>
      <c r="N426">
        <v>4</v>
      </c>
      <c r="O426" t="s">
        <v>22</v>
      </c>
      <c r="P426">
        <v>3</v>
      </c>
      <c r="Q426" t="s">
        <v>26</v>
      </c>
      <c r="R426">
        <v>3.35</v>
      </c>
      <c r="S426" t="s">
        <v>20</v>
      </c>
    </row>
    <row r="427" spans="1:19" x14ac:dyDescent="0.3">
      <c r="A427" t="s">
        <v>464</v>
      </c>
      <c r="B427">
        <v>21</v>
      </c>
      <c r="C427" t="s">
        <v>102</v>
      </c>
      <c r="D427">
        <v>5</v>
      </c>
      <c r="E427" t="s">
        <v>21</v>
      </c>
      <c r="F427">
        <v>6.6</v>
      </c>
      <c r="G427">
        <v>4.7</v>
      </c>
      <c r="H427">
        <v>1</v>
      </c>
      <c r="I427">
        <v>11</v>
      </c>
      <c r="J427">
        <v>9</v>
      </c>
      <c r="K427">
        <v>15</v>
      </c>
      <c r="L427">
        <v>15.7</v>
      </c>
      <c r="M427">
        <v>60.7</v>
      </c>
      <c r="N427">
        <v>2</v>
      </c>
      <c r="O427" t="s">
        <v>22</v>
      </c>
      <c r="P427">
        <v>4</v>
      </c>
      <c r="Q427" t="s">
        <v>23</v>
      </c>
      <c r="R427">
        <v>2.72</v>
      </c>
      <c r="S427" t="s">
        <v>20</v>
      </c>
    </row>
    <row r="428" spans="1:19" x14ac:dyDescent="0.3">
      <c r="A428" t="s">
        <v>465</v>
      </c>
      <c r="B428">
        <v>23</v>
      </c>
      <c r="C428" t="s">
        <v>27</v>
      </c>
      <c r="D428">
        <v>2</v>
      </c>
      <c r="E428" t="s">
        <v>30</v>
      </c>
      <c r="F428">
        <v>8.4</v>
      </c>
      <c r="G428">
        <v>4.4000000000000004</v>
      </c>
      <c r="H428">
        <v>1</v>
      </c>
      <c r="I428">
        <v>10</v>
      </c>
      <c r="J428">
        <v>12</v>
      </c>
      <c r="K428">
        <v>16</v>
      </c>
      <c r="L428">
        <v>24.9</v>
      </c>
      <c r="M428">
        <v>80.7</v>
      </c>
      <c r="N428">
        <v>3</v>
      </c>
      <c r="O428" t="s">
        <v>33</v>
      </c>
      <c r="P428">
        <v>3</v>
      </c>
      <c r="Q428" t="s">
        <v>23</v>
      </c>
      <c r="R428">
        <v>3.11</v>
      </c>
      <c r="S428" t="s">
        <v>27</v>
      </c>
    </row>
    <row r="429" spans="1:19" x14ac:dyDescent="0.3">
      <c r="A429" t="s">
        <v>466</v>
      </c>
      <c r="B429">
        <v>25</v>
      </c>
      <c r="C429" t="s">
        <v>20</v>
      </c>
      <c r="D429">
        <v>4</v>
      </c>
      <c r="E429" t="s">
        <v>30</v>
      </c>
      <c r="F429">
        <v>4.5</v>
      </c>
      <c r="G429">
        <v>8.3000000000000007</v>
      </c>
      <c r="H429">
        <v>2</v>
      </c>
      <c r="I429">
        <v>12</v>
      </c>
      <c r="J429">
        <v>11</v>
      </c>
      <c r="K429">
        <v>25</v>
      </c>
      <c r="L429">
        <v>12.9</v>
      </c>
      <c r="M429">
        <v>91.1</v>
      </c>
      <c r="N429">
        <v>3</v>
      </c>
      <c r="O429" t="s">
        <v>22</v>
      </c>
      <c r="P429">
        <v>5</v>
      </c>
      <c r="Q429" t="s">
        <v>51</v>
      </c>
      <c r="R429">
        <v>4.3</v>
      </c>
      <c r="S429" t="s">
        <v>20</v>
      </c>
    </row>
    <row r="430" spans="1:19" x14ac:dyDescent="0.3">
      <c r="A430" t="s">
        <v>467</v>
      </c>
      <c r="B430">
        <v>19</v>
      </c>
      <c r="C430" t="s">
        <v>27</v>
      </c>
      <c r="D430">
        <v>3</v>
      </c>
      <c r="E430" t="s">
        <v>49</v>
      </c>
      <c r="F430">
        <v>5.0999999999999996</v>
      </c>
      <c r="G430">
        <v>16</v>
      </c>
      <c r="H430">
        <v>5</v>
      </c>
      <c r="I430">
        <v>8</v>
      </c>
      <c r="J430">
        <v>7</v>
      </c>
      <c r="K430">
        <v>11</v>
      </c>
      <c r="L430">
        <v>7.7</v>
      </c>
      <c r="M430">
        <v>68</v>
      </c>
      <c r="N430">
        <v>3</v>
      </c>
      <c r="O430" t="s">
        <v>22</v>
      </c>
      <c r="P430">
        <v>4</v>
      </c>
      <c r="Q430" t="s">
        <v>23</v>
      </c>
      <c r="R430">
        <v>2.84</v>
      </c>
      <c r="S430" t="s">
        <v>27</v>
      </c>
    </row>
    <row r="431" spans="1:19" x14ac:dyDescent="0.3">
      <c r="A431" t="s">
        <v>468</v>
      </c>
      <c r="B431">
        <v>22</v>
      </c>
      <c r="C431" t="s">
        <v>27</v>
      </c>
      <c r="D431">
        <v>1</v>
      </c>
      <c r="E431" t="s">
        <v>30</v>
      </c>
      <c r="F431">
        <v>6.1</v>
      </c>
      <c r="G431">
        <v>5.6</v>
      </c>
      <c r="H431">
        <v>5</v>
      </c>
      <c r="I431">
        <v>1</v>
      </c>
      <c r="J431">
        <v>3</v>
      </c>
      <c r="K431">
        <v>5</v>
      </c>
      <c r="L431">
        <v>17.600000000000001</v>
      </c>
      <c r="M431">
        <v>72.2</v>
      </c>
      <c r="N431">
        <v>3</v>
      </c>
      <c r="O431" t="s">
        <v>33</v>
      </c>
      <c r="P431">
        <v>1</v>
      </c>
      <c r="Q431" t="s">
        <v>26</v>
      </c>
      <c r="R431">
        <v>3.03</v>
      </c>
      <c r="S431" t="s">
        <v>27</v>
      </c>
    </row>
    <row r="432" spans="1:19" x14ac:dyDescent="0.3">
      <c r="A432" t="s">
        <v>469</v>
      </c>
      <c r="B432">
        <v>19</v>
      </c>
      <c r="C432" t="s">
        <v>27</v>
      </c>
      <c r="D432">
        <v>4</v>
      </c>
      <c r="E432" t="s">
        <v>30</v>
      </c>
      <c r="F432">
        <v>5.0999999999999996</v>
      </c>
      <c r="G432">
        <v>12.5</v>
      </c>
      <c r="H432">
        <v>0</v>
      </c>
      <c r="I432">
        <v>10</v>
      </c>
      <c r="J432">
        <v>11</v>
      </c>
      <c r="K432">
        <v>26</v>
      </c>
      <c r="L432">
        <v>19.3</v>
      </c>
      <c r="M432">
        <v>72.2</v>
      </c>
      <c r="N432">
        <v>2</v>
      </c>
      <c r="O432" t="s">
        <v>22</v>
      </c>
      <c r="P432">
        <v>2</v>
      </c>
      <c r="Q432" t="s">
        <v>51</v>
      </c>
      <c r="R432">
        <v>2.97</v>
      </c>
      <c r="S432" t="s">
        <v>27</v>
      </c>
    </row>
    <row r="433" spans="1:19" x14ac:dyDescent="0.3">
      <c r="A433" t="s">
        <v>470</v>
      </c>
      <c r="B433">
        <v>22</v>
      </c>
      <c r="C433" t="s">
        <v>27</v>
      </c>
      <c r="D433">
        <v>3</v>
      </c>
      <c r="E433" t="s">
        <v>30</v>
      </c>
      <c r="F433">
        <v>6.2</v>
      </c>
      <c r="G433">
        <v>3.4</v>
      </c>
      <c r="H433">
        <v>3</v>
      </c>
      <c r="I433">
        <v>12</v>
      </c>
      <c r="J433">
        <v>9</v>
      </c>
      <c r="K433">
        <v>18</v>
      </c>
      <c r="L433">
        <v>24.5</v>
      </c>
      <c r="M433">
        <v>84.9</v>
      </c>
      <c r="N433">
        <v>5</v>
      </c>
      <c r="O433" t="s">
        <v>22</v>
      </c>
      <c r="P433">
        <v>4</v>
      </c>
      <c r="Q433" t="s">
        <v>51</v>
      </c>
      <c r="R433">
        <v>2.72</v>
      </c>
      <c r="S433" t="s">
        <v>27</v>
      </c>
    </row>
    <row r="434" spans="1:19" x14ac:dyDescent="0.3">
      <c r="A434" t="s">
        <v>471</v>
      </c>
      <c r="B434">
        <v>21</v>
      </c>
      <c r="C434" t="s">
        <v>45</v>
      </c>
      <c r="D434">
        <v>4</v>
      </c>
      <c r="E434" t="s">
        <v>21</v>
      </c>
      <c r="F434">
        <v>6.3</v>
      </c>
      <c r="G434">
        <v>1.6</v>
      </c>
      <c r="H434">
        <v>1</v>
      </c>
      <c r="I434">
        <v>13</v>
      </c>
      <c r="J434">
        <v>10</v>
      </c>
      <c r="K434">
        <v>14</v>
      </c>
      <c r="L434">
        <v>11</v>
      </c>
      <c r="M434">
        <v>66.2</v>
      </c>
      <c r="N434">
        <v>1</v>
      </c>
      <c r="O434" t="s">
        <v>33</v>
      </c>
      <c r="P434">
        <v>5</v>
      </c>
      <c r="Q434" t="s">
        <v>23</v>
      </c>
      <c r="R434">
        <v>2.29</v>
      </c>
      <c r="S434" t="s">
        <v>20</v>
      </c>
    </row>
    <row r="435" spans="1:19" x14ac:dyDescent="0.3">
      <c r="A435" t="s">
        <v>472</v>
      </c>
      <c r="B435">
        <v>18</v>
      </c>
      <c r="C435" t="s">
        <v>20</v>
      </c>
      <c r="D435">
        <v>2</v>
      </c>
      <c r="E435" t="s">
        <v>21</v>
      </c>
      <c r="F435">
        <v>7.2</v>
      </c>
      <c r="G435">
        <v>2.7</v>
      </c>
      <c r="H435">
        <v>4</v>
      </c>
      <c r="I435">
        <v>9</v>
      </c>
      <c r="J435">
        <v>6</v>
      </c>
      <c r="K435">
        <v>16</v>
      </c>
      <c r="L435">
        <v>19.7</v>
      </c>
      <c r="M435">
        <v>70.5</v>
      </c>
      <c r="N435">
        <v>1</v>
      </c>
      <c r="O435" t="s">
        <v>22</v>
      </c>
      <c r="P435">
        <v>1</v>
      </c>
      <c r="Q435" t="s">
        <v>26</v>
      </c>
      <c r="R435">
        <v>2.4700000000000002</v>
      </c>
      <c r="S435" t="s">
        <v>20</v>
      </c>
    </row>
    <row r="436" spans="1:19" x14ac:dyDescent="0.3">
      <c r="A436" t="s">
        <v>473</v>
      </c>
      <c r="B436">
        <v>23</v>
      </c>
      <c r="C436" t="s">
        <v>20</v>
      </c>
      <c r="D436">
        <v>3</v>
      </c>
      <c r="E436" t="s">
        <v>32</v>
      </c>
      <c r="F436">
        <v>8</v>
      </c>
      <c r="G436">
        <v>3.5</v>
      </c>
      <c r="H436">
        <v>5</v>
      </c>
      <c r="I436">
        <v>6</v>
      </c>
      <c r="J436">
        <v>9</v>
      </c>
      <c r="K436">
        <v>10</v>
      </c>
      <c r="L436">
        <v>13.6</v>
      </c>
      <c r="M436">
        <v>61.4</v>
      </c>
      <c r="N436">
        <v>3</v>
      </c>
      <c r="O436" t="s">
        <v>33</v>
      </c>
      <c r="P436">
        <v>1</v>
      </c>
      <c r="Q436" t="s">
        <v>23</v>
      </c>
      <c r="R436">
        <v>2.99</v>
      </c>
      <c r="S436" t="s">
        <v>20</v>
      </c>
    </row>
    <row r="437" spans="1:19" x14ac:dyDescent="0.3">
      <c r="A437" t="s">
        <v>474</v>
      </c>
      <c r="B437">
        <v>20</v>
      </c>
      <c r="C437" t="s">
        <v>20</v>
      </c>
      <c r="D437">
        <v>4</v>
      </c>
      <c r="E437" t="s">
        <v>30</v>
      </c>
      <c r="F437">
        <v>5.2</v>
      </c>
      <c r="G437">
        <v>13.2</v>
      </c>
      <c r="H437">
        <v>2</v>
      </c>
      <c r="I437">
        <v>16</v>
      </c>
      <c r="J437">
        <v>13</v>
      </c>
      <c r="K437">
        <v>24</v>
      </c>
      <c r="L437">
        <v>13.6</v>
      </c>
      <c r="M437">
        <v>68.3</v>
      </c>
      <c r="N437">
        <v>4</v>
      </c>
      <c r="O437" t="s">
        <v>33</v>
      </c>
      <c r="P437">
        <v>4</v>
      </c>
      <c r="Q437" t="s">
        <v>23</v>
      </c>
      <c r="R437">
        <v>2.64</v>
      </c>
      <c r="S437" t="s">
        <v>20</v>
      </c>
    </row>
    <row r="438" spans="1:19" x14ac:dyDescent="0.3">
      <c r="A438" t="s">
        <v>475</v>
      </c>
      <c r="B438">
        <v>20</v>
      </c>
      <c r="C438" t="s">
        <v>20</v>
      </c>
      <c r="D438">
        <v>3</v>
      </c>
      <c r="E438" t="s">
        <v>30</v>
      </c>
      <c r="F438">
        <v>7.1</v>
      </c>
      <c r="G438">
        <v>4.5</v>
      </c>
      <c r="H438">
        <v>0</v>
      </c>
      <c r="I438">
        <v>9</v>
      </c>
      <c r="J438">
        <v>6</v>
      </c>
      <c r="K438">
        <v>13</v>
      </c>
      <c r="L438">
        <v>15.6</v>
      </c>
      <c r="M438">
        <v>100</v>
      </c>
      <c r="N438">
        <v>2</v>
      </c>
      <c r="O438" t="s">
        <v>22</v>
      </c>
      <c r="P438">
        <v>1</v>
      </c>
      <c r="Q438" t="s">
        <v>26</v>
      </c>
      <c r="R438">
        <v>3.43</v>
      </c>
      <c r="S438" t="s">
        <v>20</v>
      </c>
    </row>
    <row r="439" spans="1:19" x14ac:dyDescent="0.3">
      <c r="A439" t="s">
        <v>476</v>
      </c>
      <c r="B439">
        <v>19</v>
      </c>
      <c r="C439" t="s">
        <v>20</v>
      </c>
      <c r="D439">
        <v>2</v>
      </c>
      <c r="E439" t="s">
        <v>32</v>
      </c>
      <c r="F439">
        <v>4.9000000000000004</v>
      </c>
      <c r="G439">
        <v>8.5</v>
      </c>
      <c r="H439">
        <v>3</v>
      </c>
      <c r="I439">
        <v>1</v>
      </c>
      <c r="J439">
        <v>2</v>
      </c>
      <c r="K439">
        <v>5</v>
      </c>
      <c r="L439">
        <v>22.9</v>
      </c>
      <c r="M439">
        <v>76.900000000000006</v>
      </c>
      <c r="N439">
        <v>3</v>
      </c>
      <c r="O439" t="s">
        <v>22</v>
      </c>
      <c r="P439">
        <v>1</v>
      </c>
      <c r="Q439" t="s">
        <v>51</v>
      </c>
      <c r="R439">
        <v>2.86</v>
      </c>
      <c r="S439" t="s">
        <v>20</v>
      </c>
    </row>
    <row r="440" spans="1:19" x14ac:dyDescent="0.3">
      <c r="A440" t="s">
        <v>477</v>
      </c>
      <c r="B440">
        <v>20</v>
      </c>
      <c r="C440" t="s">
        <v>27</v>
      </c>
      <c r="D440">
        <v>3</v>
      </c>
      <c r="E440" t="s">
        <v>21</v>
      </c>
      <c r="F440">
        <v>7.4</v>
      </c>
      <c r="G440">
        <v>3.2</v>
      </c>
      <c r="H440">
        <v>2</v>
      </c>
      <c r="I440">
        <v>4</v>
      </c>
      <c r="J440">
        <v>6</v>
      </c>
      <c r="K440">
        <v>15</v>
      </c>
      <c r="L440">
        <v>20</v>
      </c>
      <c r="M440">
        <v>71.900000000000006</v>
      </c>
      <c r="N440">
        <v>4</v>
      </c>
      <c r="O440" t="s">
        <v>33</v>
      </c>
      <c r="P440">
        <v>5</v>
      </c>
      <c r="Q440" t="s">
        <v>23</v>
      </c>
      <c r="R440">
        <v>2.89</v>
      </c>
      <c r="S440" t="s">
        <v>27</v>
      </c>
    </row>
    <row r="441" spans="1:19" x14ac:dyDescent="0.3">
      <c r="A441" t="s">
        <v>478</v>
      </c>
      <c r="B441">
        <v>22</v>
      </c>
      <c r="C441" t="s">
        <v>29</v>
      </c>
      <c r="D441">
        <v>3</v>
      </c>
      <c r="E441" t="s">
        <v>49</v>
      </c>
      <c r="F441">
        <v>5.8</v>
      </c>
      <c r="G441">
        <v>2.9</v>
      </c>
      <c r="H441">
        <v>4</v>
      </c>
      <c r="I441">
        <v>6</v>
      </c>
      <c r="J441">
        <v>5</v>
      </c>
      <c r="K441">
        <v>13</v>
      </c>
      <c r="L441">
        <v>10.1</v>
      </c>
      <c r="M441">
        <v>95.5</v>
      </c>
      <c r="N441">
        <v>2</v>
      </c>
      <c r="O441" t="s">
        <v>22</v>
      </c>
      <c r="P441">
        <v>4</v>
      </c>
      <c r="Q441" t="s">
        <v>51</v>
      </c>
      <c r="R441">
        <v>2.85</v>
      </c>
      <c r="S441" t="s">
        <v>29</v>
      </c>
    </row>
    <row r="442" spans="1:19" x14ac:dyDescent="0.3">
      <c r="A442" t="s">
        <v>479</v>
      </c>
      <c r="B442">
        <v>21</v>
      </c>
      <c r="C442" t="s">
        <v>25</v>
      </c>
      <c r="D442">
        <v>5</v>
      </c>
      <c r="E442" t="s">
        <v>30</v>
      </c>
      <c r="F442">
        <v>7.9</v>
      </c>
      <c r="G442">
        <v>1.1000000000000001</v>
      </c>
      <c r="H442">
        <v>2</v>
      </c>
      <c r="I442">
        <v>14</v>
      </c>
      <c r="J442">
        <v>10</v>
      </c>
      <c r="K442">
        <v>22</v>
      </c>
      <c r="L442">
        <v>26.7</v>
      </c>
      <c r="M442">
        <v>73.400000000000006</v>
      </c>
      <c r="N442">
        <v>5</v>
      </c>
      <c r="O442" t="s">
        <v>22</v>
      </c>
      <c r="P442">
        <v>5</v>
      </c>
      <c r="Q442" t="s">
        <v>23</v>
      </c>
      <c r="R442">
        <v>3.41</v>
      </c>
      <c r="S442" t="s">
        <v>27</v>
      </c>
    </row>
    <row r="443" spans="1:19" x14ac:dyDescent="0.3">
      <c r="A443" t="s">
        <v>480</v>
      </c>
      <c r="B443">
        <v>22</v>
      </c>
      <c r="C443" t="s">
        <v>39</v>
      </c>
      <c r="D443">
        <v>2</v>
      </c>
      <c r="E443" t="s">
        <v>30</v>
      </c>
      <c r="F443">
        <v>8</v>
      </c>
      <c r="G443">
        <v>12.9</v>
      </c>
      <c r="H443">
        <v>5</v>
      </c>
      <c r="I443">
        <v>5</v>
      </c>
      <c r="J443">
        <v>4</v>
      </c>
      <c r="K443">
        <v>11</v>
      </c>
      <c r="L443">
        <v>35.6</v>
      </c>
      <c r="M443">
        <v>100</v>
      </c>
      <c r="N443">
        <v>3</v>
      </c>
      <c r="O443" t="s">
        <v>22</v>
      </c>
      <c r="P443">
        <v>4</v>
      </c>
      <c r="Q443" t="s">
        <v>26</v>
      </c>
      <c r="R443">
        <v>3.92</v>
      </c>
      <c r="S443" t="s">
        <v>27</v>
      </c>
    </row>
    <row r="444" spans="1:19" x14ac:dyDescent="0.3">
      <c r="A444" t="s">
        <v>481</v>
      </c>
      <c r="B444">
        <v>22</v>
      </c>
      <c r="C444" t="s">
        <v>20</v>
      </c>
      <c r="D444">
        <v>2</v>
      </c>
      <c r="E444" t="s">
        <v>30</v>
      </c>
      <c r="F444">
        <v>5.3</v>
      </c>
      <c r="G444">
        <v>10.199999999999999</v>
      </c>
      <c r="H444">
        <v>2</v>
      </c>
      <c r="I444">
        <v>1</v>
      </c>
      <c r="J444">
        <v>3</v>
      </c>
      <c r="K444">
        <v>6</v>
      </c>
      <c r="L444">
        <v>23.5</v>
      </c>
      <c r="M444">
        <v>100</v>
      </c>
      <c r="N444">
        <v>4</v>
      </c>
      <c r="O444" t="s">
        <v>22</v>
      </c>
      <c r="P444">
        <v>3</v>
      </c>
      <c r="Q444" t="s">
        <v>51</v>
      </c>
      <c r="R444">
        <v>3.41</v>
      </c>
      <c r="S444" t="s">
        <v>20</v>
      </c>
    </row>
    <row r="445" spans="1:19" x14ac:dyDescent="0.3">
      <c r="A445" t="s">
        <v>482</v>
      </c>
      <c r="B445">
        <v>24</v>
      </c>
      <c r="C445" t="s">
        <v>27</v>
      </c>
      <c r="D445">
        <v>4</v>
      </c>
      <c r="E445" t="s">
        <v>21</v>
      </c>
      <c r="F445">
        <v>3.7</v>
      </c>
      <c r="G445">
        <v>5.0999999999999996</v>
      </c>
      <c r="H445">
        <v>1</v>
      </c>
      <c r="I445">
        <v>2</v>
      </c>
      <c r="J445">
        <v>3</v>
      </c>
      <c r="K445">
        <v>9</v>
      </c>
      <c r="L445">
        <v>29.8</v>
      </c>
      <c r="M445">
        <v>84.7</v>
      </c>
      <c r="N445">
        <v>2</v>
      </c>
      <c r="O445" t="s">
        <v>22</v>
      </c>
      <c r="P445">
        <v>5</v>
      </c>
      <c r="Q445" t="s">
        <v>23</v>
      </c>
      <c r="R445">
        <v>3.22</v>
      </c>
      <c r="S445" t="s">
        <v>27</v>
      </c>
    </row>
    <row r="446" spans="1:19" x14ac:dyDescent="0.3">
      <c r="A446" t="s">
        <v>483</v>
      </c>
      <c r="B446">
        <v>21</v>
      </c>
      <c r="C446" t="s">
        <v>45</v>
      </c>
      <c r="D446">
        <v>3</v>
      </c>
      <c r="E446" t="s">
        <v>21</v>
      </c>
      <c r="F446">
        <v>5.8</v>
      </c>
      <c r="G446">
        <v>3.7</v>
      </c>
      <c r="H446">
        <v>2</v>
      </c>
      <c r="I446">
        <v>3</v>
      </c>
      <c r="J446">
        <v>3</v>
      </c>
      <c r="K446">
        <v>12</v>
      </c>
      <c r="L446">
        <v>25.9</v>
      </c>
      <c r="M446">
        <v>59.1</v>
      </c>
      <c r="N446">
        <v>4</v>
      </c>
      <c r="O446" t="s">
        <v>33</v>
      </c>
      <c r="P446">
        <v>2</v>
      </c>
      <c r="Q446" t="s">
        <v>23</v>
      </c>
      <c r="R446">
        <v>3.14</v>
      </c>
      <c r="S446" t="s">
        <v>20</v>
      </c>
    </row>
    <row r="447" spans="1:19" x14ac:dyDescent="0.3">
      <c r="A447" t="s">
        <v>484</v>
      </c>
      <c r="B447">
        <v>18</v>
      </c>
      <c r="C447" t="s">
        <v>20</v>
      </c>
      <c r="D447">
        <v>4</v>
      </c>
      <c r="E447" t="s">
        <v>47</v>
      </c>
      <c r="F447">
        <v>8</v>
      </c>
      <c r="G447">
        <v>4.5999999999999996</v>
      </c>
      <c r="H447">
        <v>0</v>
      </c>
      <c r="I447">
        <v>1</v>
      </c>
      <c r="J447">
        <v>0</v>
      </c>
      <c r="K447">
        <v>6</v>
      </c>
      <c r="L447">
        <v>15.5</v>
      </c>
      <c r="M447">
        <v>100</v>
      </c>
      <c r="N447">
        <v>4</v>
      </c>
      <c r="O447" t="s">
        <v>22</v>
      </c>
      <c r="P447">
        <v>2</v>
      </c>
      <c r="Q447" t="s">
        <v>26</v>
      </c>
      <c r="R447">
        <v>3.29</v>
      </c>
      <c r="S447" t="s">
        <v>20</v>
      </c>
    </row>
    <row r="448" spans="1:19" x14ac:dyDescent="0.3">
      <c r="A448" t="s">
        <v>485</v>
      </c>
      <c r="B448">
        <v>24</v>
      </c>
      <c r="C448" t="s">
        <v>27</v>
      </c>
      <c r="D448">
        <v>2</v>
      </c>
      <c r="E448" t="s">
        <v>21</v>
      </c>
      <c r="F448">
        <v>7.5</v>
      </c>
      <c r="G448">
        <v>1.5</v>
      </c>
      <c r="H448">
        <v>2</v>
      </c>
      <c r="I448">
        <v>3</v>
      </c>
      <c r="J448">
        <v>4</v>
      </c>
      <c r="K448">
        <v>14</v>
      </c>
      <c r="L448">
        <v>19.899999999999999</v>
      </c>
      <c r="M448">
        <v>80.900000000000006</v>
      </c>
      <c r="N448">
        <v>2</v>
      </c>
      <c r="O448" t="s">
        <v>22</v>
      </c>
      <c r="P448">
        <v>5</v>
      </c>
      <c r="Q448" t="s">
        <v>26</v>
      </c>
      <c r="R448">
        <v>3.11</v>
      </c>
      <c r="S448" t="s">
        <v>27</v>
      </c>
    </row>
    <row r="449" spans="1:19" x14ac:dyDescent="0.3">
      <c r="A449" t="s">
        <v>486</v>
      </c>
      <c r="B449">
        <v>21</v>
      </c>
      <c r="C449" t="s">
        <v>20</v>
      </c>
      <c r="D449">
        <v>1</v>
      </c>
      <c r="E449" t="s">
        <v>32</v>
      </c>
      <c r="F449">
        <v>6.6</v>
      </c>
      <c r="G449">
        <v>5.9</v>
      </c>
      <c r="H449">
        <v>3</v>
      </c>
      <c r="I449">
        <v>5</v>
      </c>
      <c r="J449">
        <v>5</v>
      </c>
      <c r="K449">
        <v>13</v>
      </c>
      <c r="L449">
        <v>7</v>
      </c>
      <c r="M449">
        <v>75.7</v>
      </c>
      <c r="N449">
        <v>2</v>
      </c>
      <c r="O449" t="s">
        <v>22</v>
      </c>
      <c r="P449">
        <v>4</v>
      </c>
      <c r="Q449" t="s">
        <v>23</v>
      </c>
      <c r="R449">
        <v>2.84</v>
      </c>
      <c r="S449" t="s">
        <v>20</v>
      </c>
    </row>
    <row r="450" spans="1:19" x14ac:dyDescent="0.3">
      <c r="A450" t="s">
        <v>487</v>
      </c>
      <c r="B450">
        <v>24</v>
      </c>
      <c r="C450" t="s">
        <v>39</v>
      </c>
      <c r="D450">
        <v>4</v>
      </c>
      <c r="E450" t="s">
        <v>32</v>
      </c>
      <c r="F450">
        <v>6.8</v>
      </c>
      <c r="G450">
        <v>9.6999999999999993</v>
      </c>
      <c r="H450">
        <v>1</v>
      </c>
      <c r="I450">
        <v>7</v>
      </c>
      <c r="J450">
        <v>6</v>
      </c>
      <c r="K450">
        <v>13</v>
      </c>
      <c r="L450">
        <v>15.8</v>
      </c>
      <c r="M450">
        <v>92.4</v>
      </c>
      <c r="N450">
        <v>3</v>
      </c>
      <c r="O450" t="s">
        <v>33</v>
      </c>
      <c r="P450">
        <v>5</v>
      </c>
      <c r="Q450" t="s">
        <v>23</v>
      </c>
      <c r="R450">
        <v>2.85</v>
      </c>
      <c r="S450" t="s">
        <v>27</v>
      </c>
    </row>
    <row r="451" spans="1:19" x14ac:dyDescent="0.3">
      <c r="A451" t="s">
        <v>488</v>
      </c>
      <c r="B451">
        <v>22</v>
      </c>
      <c r="C451" t="s">
        <v>20</v>
      </c>
      <c r="D451">
        <v>1</v>
      </c>
      <c r="E451" t="s">
        <v>30</v>
      </c>
      <c r="F451">
        <v>6.3</v>
      </c>
      <c r="G451">
        <v>10</v>
      </c>
      <c r="H451">
        <v>0</v>
      </c>
      <c r="K451">
        <v>12</v>
      </c>
      <c r="L451">
        <v>13.1</v>
      </c>
      <c r="M451">
        <v>87.2</v>
      </c>
      <c r="N451">
        <v>1</v>
      </c>
      <c r="O451" t="s">
        <v>33</v>
      </c>
      <c r="P451">
        <v>2</v>
      </c>
      <c r="Q451" t="s">
        <v>51</v>
      </c>
      <c r="R451">
        <v>2.97</v>
      </c>
      <c r="S451" t="s">
        <v>20</v>
      </c>
    </row>
    <row r="452" spans="1:19" x14ac:dyDescent="0.3">
      <c r="A452" t="s">
        <v>489</v>
      </c>
      <c r="B452">
        <v>21</v>
      </c>
      <c r="C452" t="s">
        <v>39</v>
      </c>
      <c r="D452">
        <v>1</v>
      </c>
      <c r="E452" t="s">
        <v>32</v>
      </c>
      <c r="F452">
        <v>8.4</v>
      </c>
      <c r="G452">
        <v>1.2</v>
      </c>
      <c r="H452">
        <v>1</v>
      </c>
      <c r="I452">
        <v>16</v>
      </c>
      <c r="J452">
        <v>14</v>
      </c>
      <c r="K452">
        <v>22</v>
      </c>
      <c r="L452">
        <v>10.7</v>
      </c>
      <c r="M452">
        <v>93</v>
      </c>
      <c r="N452">
        <v>5</v>
      </c>
      <c r="O452" t="s">
        <v>33</v>
      </c>
      <c r="P452">
        <v>5</v>
      </c>
      <c r="Q452" t="s">
        <v>51</v>
      </c>
      <c r="R452">
        <v>2.5499999999999998</v>
      </c>
      <c r="S452" t="s">
        <v>27</v>
      </c>
    </row>
    <row r="453" spans="1:19" x14ac:dyDescent="0.3">
      <c r="A453" t="s">
        <v>490</v>
      </c>
      <c r="B453">
        <v>22</v>
      </c>
      <c r="C453" t="s">
        <v>39</v>
      </c>
      <c r="D453">
        <v>3</v>
      </c>
      <c r="E453" t="s">
        <v>21</v>
      </c>
      <c r="F453">
        <v>6.7</v>
      </c>
      <c r="G453">
        <v>8.4</v>
      </c>
      <c r="H453">
        <v>0</v>
      </c>
      <c r="I453">
        <v>5</v>
      </c>
      <c r="J453">
        <v>7</v>
      </c>
      <c r="K453">
        <v>8</v>
      </c>
      <c r="L453">
        <v>12.1</v>
      </c>
      <c r="M453">
        <v>69.2</v>
      </c>
      <c r="N453">
        <v>4</v>
      </c>
      <c r="O453" t="s">
        <v>22</v>
      </c>
      <c r="P453">
        <v>3</v>
      </c>
      <c r="Q453" t="s">
        <v>23</v>
      </c>
      <c r="R453">
        <v>3.19</v>
      </c>
      <c r="S453" t="s">
        <v>27</v>
      </c>
    </row>
    <row r="454" spans="1:19" x14ac:dyDescent="0.3">
      <c r="A454" t="s">
        <v>491</v>
      </c>
      <c r="B454">
        <v>26</v>
      </c>
      <c r="C454" t="s">
        <v>27</v>
      </c>
      <c r="D454">
        <v>4</v>
      </c>
      <c r="E454" t="s">
        <v>21</v>
      </c>
      <c r="F454">
        <v>8.3000000000000007</v>
      </c>
      <c r="G454">
        <v>1.5</v>
      </c>
      <c r="H454">
        <v>5</v>
      </c>
      <c r="I454">
        <v>6</v>
      </c>
      <c r="J454">
        <v>7</v>
      </c>
      <c r="K454">
        <v>12</v>
      </c>
      <c r="L454">
        <v>15.8</v>
      </c>
      <c r="M454">
        <v>87.7</v>
      </c>
      <c r="N454">
        <v>4</v>
      </c>
      <c r="O454" t="s">
        <v>22</v>
      </c>
      <c r="P454">
        <v>4</v>
      </c>
      <c r="Q454" t="s">
        <v>26</v>
      </c>
      <c r="R454">
        <v>3.28</v>
      </c>
      <c r="S454" t="s">
        <v>27</v>
      </c>
    </row>
    <row r="455" spans="1:19" x14ac:dyDescent="0.3">
      <c r="A455" t="s">
        <v>492</v>
      </c>
      <c r="B455">
        <v>26</v>
      </c>
      <c r="C455" t="s">
        <v>45</v>
      </c>
      <c r="D455">
        <v>4</v>
      </c>
      <c r="E455" t="s">
        <v>30</v>
      </c>
      <c r="F455">
        <v>7.2</v>
      </c>
      <c r="G455">
        <v>1</v>
      </c>
      <c r="H455">
        <v>6</v>
      </c>
      <c r="I455">
        <v>6</v>
      </c>
      <c r="J455">
        <v>5</v>
      </c>
      <c r="K455">
        <v>12</v>
      </c>
      <c r="L455">
        <v>20.399999999999999</v>
      </c>
      <c r="M455">
        <v>73.400000000000006</v>
      </c>
      <c r="N455">
        <v>5</v>
      </c>
      <c r="O455" t="s">
        <v>22</v>
      </c>
      <c r="P455">
        <v>5</v>
      </c>
      <c r="Q455" t="s">
        <v>23</v>
      </c>
      <c r="R455">
        <v>3.47</v>
      </c>
      <c r="S455" t="s">
        <v>20</v>
      </c>
    </row>
    <row r="456" spans="1:19" x14ac:dyDescent="0.3">
      <c r="A456" t="s">
        <v>493</v>
      </c>
      <c r="B456">
        <v>22</v>
      </c>
      <c r="C456" t="s">
        <v>20</v>
      </c>
      <c r="D456">
        <v>2</v>
      </c>
      <c r="E456" t="s">
        <v>47</v>
      </c>
      <c r="F456">
        <v>7</v>
      </c>
      <c r="G456">
        <v>8.6</v>
      </c>
      <c r="H456">
        <v>0</v>
      </c>
      <c r="I456">
        <v>2</v>
      </c>
      <c r="J456">
        <v>2</v>
      </c>
      <c r="K456">
        <v>6</v>
      </c>
      <c r="L456">
        <v>20.9</v>
      </c>
      <c r="M456">
        <v>94.6</v>
      </c>
      <c r="N456">
        <v>4</v>
      </c>
      <c r="O456" t="s">
        <v>22</v>
      </c>
      <c r="P456">
        <v>3</v>
      </c>
      <c r="Q456" t="s">
        <v>26</v>
      </c>
      <c r="R456">
        <v>2.95</v>
      </c>
      <c r="S456" t="s">
        <v>20</v>
      </c>
    </row>
    <row r="457" spans="1:19" x14ac:dyDescent="0.3">
      <c r="A457" t="s">
        <v>494</v>
      </c>
      <c r="B457">
        <v>22</v>
      </c>
      <c r="C457" t="s">
        <v>20</v>
      </c>
      <c r="D457">
        <v>1</v>
      </c>
      <c r="E457" t="s">
        <v>35</v>
      </c>
      <c r="F457">
        <v>5.8</v>
      </c>
      <c r="G457">
        <v>3</v>
      </c>
      <c r="H457">
        <v>4</v>
      </c>
      <c r="I457">
        <v>3</v>
      </c>
      <c r="J457">
        <v>2</v>
      </c>
      <c r="K457">
        <v>9</v>
      </c>
      <c r="L457">
        <v>2.9</v>
      </c>
      <c r="M457">
        <v>75.7</v>
      </c>
      <c r="N457">
        <v>4</v>
      </c>
      <c r="O457" t="s">
        <v>33</v>
      </c>
      <c r="P457">
        <v>4</v>
      </c>
      <c r="Q457" t="s">
        <v>23</v>
      </c>
      <c r="R457">
        <v>2.88</v>
      </c>
      <c r="S457" t="s">
        <v>20</v>
      </c>
    </row>
    <row r="458" spans="1:19" x14ac:dyDescent="0.3">
      <c r="A458" t="s">
        <v>495</v>
      </c>
      <c r="B458">
        <v>24</v>
      </c>
      <c r="C458" t="s">
        <v>27</v>
      </c>
      <c r="D458">
        <v>5</v>
      </c>
      <c r="E458" t="s">
        <v>30</v>
      </c>
      <c r="F458">
        <v>5.0999999999999996</v>
      </c>
      <c r="G458">
        <v>7.9</v>
      </c>
      <c r="H458">
        <v>4</v>
      </c>
      <c r="I458">
        <v>3</v>
      </c>
      <c r="J458">
        <v>3</v>
      </c>
      <c r="K458">
        <v>8</v>
      </c>
      <c r="L458">
        <v>17.899999999999999</v>
      </c>
      <c r="M458">
        <v>86.5</v>
      </c>
      <c r="N458">
        <v>3</v>
      </c>
      <c r="O458" t="s">
        <v>33</v>
      </c>
      <c r="P458">
        <v>4</v>
      </c>
      <c r="Q458" t="s">
        <v>23</v>
      </c>
      <c r="R458">
        <v>2.5299999999999998</v>
      </c>
      <c r="S458" t="s">
        <v>27</v>
      </c>
    </row>
    <row r="459" spans="1:19" x14ac:dyDescent="0.3">
      <c r="A459" t="s">
        <v>496</v>
      </c>
      <c r="B459">
        <v>20</v>
      </c>
      <c r="C459" t="s">
        <v>29</v>
      </c>
      <c r="D459">
        <v>1</v>
      </c>
      <c r="E459" t="s">
        <v>32</v>
      </c>
      <c r="F459">
        <v>7.9</v>
      </c>
      <c r="G459">
        <v>7.5</v>
      </c>
      <c r="H459">
        <v>7</v>
      </c>
      <c r="I459">
        <v>1</v>
      </c>
      <c r="J459">
        <v>3</v>
      </c>
      <c r="K459">
        <v>9</v>
      </c>
      <c r="L459">
        <v>6.5</v>
      </c>
      <c r="M459">
        <v>79</v>
      </c>
      <c r="N459">
        <v>3</v>
      </c>
      <c r="O459" t="s">
        <v>22</v>
      </c>
      <c r="P459">
        <v>4</v>
      </c>
      <c r="Q459" t="s">
        <v>51</v>
      </c>
      <c r="R459">
        <v>2.64</v>
      </c>
      <c r="S459" t="s">
        <v>29</v>
      </c>
    </row>
    <row r="460" spans="1:19" x14ac:dyDescent="0.3">
      <c r="A460" t="s">
        <v>497</v>
      </c>
      <c r="B460">
        <v>22</v>
      </c>
      <c r="C460" t="s">
        <v>27</v>
      </c>
      <c r="D460">
        <v>1</v>
      </c>
      <c r="E460" t="s">
        <v>49</v>
      </c>
      <c r="F460">
        <v>5.6</v>
      </c>
      <c r="G460">
        <v>6.9</v>
      </c>
      <c r="H460">
        <v>2</v>
      </c>
      <c r="K460">
        <v>12</v>
      </c>
      <c r="L460">
        <v>16.7</v>
      </c>
      <c r="M460">
        <v>73.599999999999994</v>
      </c>
      <c r="N460">
        <v>3</v>
      </c>
      <c r="O460" t="s">
        <v>22</v>
      </c>
      <c r="P460">
        <v>5</v>
      </c>
      <c r="Q460" t="s">
        <v>26</v>
      </c>
      <c r="R460">
        <v>2.7</v>
      </c>
      <c r="S460" t="s">
        <v>27</v>
      </c>
    </row>
    <row r="461" spans="1:19" x14ac:dyDescent="0.3">
      <c r="A461" t="s">
        <v>498</v>
      </c>
      <c r="B461">
        <v>21</v>
      </c>
      <c r="C461" t="s">
        <v>27</v>
      </c>
      <c r="D461">
        <v>2</v>
      </c>
      <c r="E461" t="s">
        <v>30</v>
      </c>
      <c r="F461">
        <v>7.1</v>
      </c>
      <c r="G461">
        <v>4.5999999999999996</v>
      </c>
      <c r="H461">
        <v>2</v>
      </c>
      <c r="I461">
        <v>3</v>
      </c>
      <c r="J461">
        <v>4</v>
      </c>
      <c r="K461">
        <v>9</v>
      </c>
      <c r="L461">
        <v>24.2</v>
      </c>
      <c r="M461">
        <v>66</v>
      </c>
      <c r="N461">
        <v>3</v>
      </c>
      <c r="O461" t="s">
        <v>22</v>
      </c>
      <c r="P461">
        <v>4</v>
      </c>
      <c r="Q461" t="s">
        <v>26</v>
      </c>
      <c r="R461">
        <v>3.47</v>
      </c>
      <c r="S461" t="s">
        <v>27</v>
      </c>
    </row>
    <row r="462" spans="1:19" x14ac:dyDescent="0.3">
      <c r="A462" t="s">
        <v>499</v>
      </c>
      <c r="B462">
        <v>22</v>
      </c>
      <c r="C462" t="s">
        <v>20</v>
      </c>
      <c r="D462">
        <v>3</v>
      </c>
      <c r="E462" t="s">
        <v>47</v>
      </c>
      <c r="F462">
        <v>6.7</v>
      </c>
      <c r="G462">
        <v>1.7</v>
      </c>
      <c r="H462">
        <v>2</v>
      </c>
      <c r="I462">
        <v>2</v>
      </c>
      <c r="J462">
        <v>1</v>
      </c>
      <c r="K462">
        <v>3</v>
      </c>
      <c r="L462">
        <v>20.7</v>
      </c>
      <c r="M462">
        <v>92.4</v>
      </c>
      <c r="N462">
        <v>3</v>
      </c>
      <c r="O462" t="s">
        <v>33</v>
      </c>
      <c r="P462">
        <v>1</v>
      </c>
      <c r="Q462" t="s">
        <v>51</v>
      </c>
      <c r="R462">
        <v>3.33</v>
      </c>
      <c r="S462" t="s">
        <v>20</v>
      </c>
    </row>
    <row r="463" spans="1:19" x14ac:dyDescent="0.3">
      <c r="A463" t="s">
        <v>500</v>
      </c>
      <c r="B463">
        <v>20</v>
      </c>
      <c r="C463" t="s">
        <v>27</v>
      </c>
      <c r="D463">
        <v>4</v>
      </c>
      <c r="E463" t="s">
        <v>49</v>
      </c>
      <c r="F463">
        <v>5.6</v>
      </c>
      <c r="G463">
        <v>3.6</v>
      </c>
      <c r="H463">
        <v>5</v>
      </c>
      <c r="I463">
        <v>6</v>
      </c>
      <c r="J463">
        <v>3</v>
      </c>
      <c r="K463">
        <v>16</v>
      </c>
      <c r="L463">
        <v>14.1</v>
      </c>
      <c r="M463">
        <v>100</v>
      </c>
      <c r="N463">
        <v>2</v>
      </c>
      <c r="O463" t="s">
        <v>22</v>
      </c>
      <c r="P463">
        <v>2</v>
      </c>
      <c r="Q463" t="s">
        <v>23</v>
      </c>
      <c r="R463">
        <v>2.95</v>
      </c>
      <c r="S463" t="s">
        <v>27</v>
      </c>
    </row>
    <row r="464" spans="1:19" x14ac:dyDescent="0.3">
      <c r="A464" t="s">
        <v>501</v>
      </c>
      <c r="B464">
        <v>18</v>
      </c>
      <c r="C464" t="s">
        <v>27</v>
      </c>
      <c r="D464">
        <v>4</v>
      </c>
      <c r="E464" t="s">
        <v>35</v>
      </c>
      <c r="F464">
        <v>6</v>
      </c>
      <c r="G464">
        <v>10.1</v>
      </c>
      <c r="H464">
        <v>4</v>
      </c>
      <c r="I464">
        <v>10</v>
      </c>
      <c r="J464">
        <v>10</v>
      </c>
      <c r="K464">
        <v>16</v>
      </c>
      <c r="L464">
        <v>18.2</v>
      </c>
      <c r="M464">
        <v>66</v>
      </c>
      <c r="N464">
        <v>3</v>
      </c>
      <c r="O464" t="s">
        <v>22</v>
      </c>
      <c r="P464">
        <v>5</v>
      </c>
      <c r="Q464" t="s">
        <v>51</v>
      </c>
      <c r="R464">
        <v>2.74</v>
      </c>
      <c r="S464" t="s">
        <v>27</v>
      </c>
    </row>
    <row r="465" spans="1:19" x14ac:dyDescent="0.3">
      <c r="A465" t="s">
        <v>502</v>
      </c>
      <c r="B465">
        <v>17</v>
      </c>
      <c r="C465" t="s">
        <v>20</v>
      </c>
      <c r="D465">
        <v>3</v>
      </c>
      <c r="E465" t="s">
        <v>63</v>
      </c>
      <c r="F465">
        <v>7.2</v>
      </c>
      <c r="G465">
        <v>8</v>
      </c>
      <c r="H465">
        <v>3</v>
      </c>
      <c r="I465">
        <v>5</v>
      </c>
      <c r="J465">
        <v>4</v>
      </c>
      <c r="K465">
        <v>10</v>
      </c>
      <c r="L465">
        <v>13.7</v>
      </c>
      <c r="M465">
        <v>84.8</v>
      </c>
      <c r="N465">
        <v>3</v>
      </c>
      <c r="O465" t="s">
        <v>33</v>
      </c>
      <c r="P465">
        <v>5</v>
      </c>
      <c r="Q465" t="s">
        <v>51</v>
      </c>
      <c r="R465">
        <v>2.7</v>
      </c>
      <c r="S465" t="s">
        <v>20</v>
      </c>
    </row>
    <row r="466" spans="1:19" x14ac:dyDescent="0.3">
      <c r="A466" t="s">
        <v>503</v>
      </c>
      <c r="B466">
        <v>19</v>
      </c>
      <c r="C466" t="s">
        <v>20</v>
      </c>
      <c r="D466">
        <v>1</v>
      </c>
      <c r="E466" t="s">
        <v>30</v>
      </c>
      <c r="F466">
        <v>6.8</v>
      </c>
      <c r="G466">
        <v>3.7</v>
      </c>
      <c r="H466">
        <v>1</v>
      </c>
      <c r="I466">
        <v>3</v>
      </c>
      <c r="J466">
        <v>2</v>
      </c>
      <c r="K466">
        <v>7</v>
      </c>
      <c r="L466">
        <v>13.8</v>
      </c>
      <c r="M466">
        <v>87.6</v>
      </c>
      <c r="N466">
        <v>3</v>
      </c>
      <c r="O466" t="s">
        <v>33</v>
      </c>
      <c r="P466">
        <v>5</v>
      </c>
      <c r="Q466" t="s">
        <v>23</v>
      </c>
      <c r="R466">
        <v>3.39</v>
      </c>
      <c r="S466" t="s">
        <v>20</v>
      </c>
    </row>
    <row r="467" spans="1:19" x14ac:dyDescent="0.3">
      <c r="A467" t="s">
        <v>504</v>
      </c>
      <c r="B467">
        <v>21</v>
      </c>
      <c r="C467" t="s">
        <v>45</v>
      </c>
      <c r="D467">
        <v>2</v>
      </c>
      <c r="E467" t="s">
        <v>21</v>
      </c>
      <c r="F467">
        <v>3.5</v>
      </c>
      <c r="G467">
        <v>3.7</v>
      </c>
      <c r="H467">
        <v>4</v>
      </c>
      <c r="I467">
        <v>1</v>
      </c>
      <c r="J467">
        <v>0</v>
      </c>
      <c r="K467">
        <v>4</v>
      </c>
      <c r="L467">
        <v>21</v>
      </c>
      <c r="M467">
        <v>82.1</v>
      </c>
      <c r="N467">
        <v>2</v>
      </c>
      <c r="O467" t="s">
        <v>22</v>
      </c>
      <c r="P467">
        <v>1</v>
      </c>
      <c r="Q467" t="s">
        <v>23</v>
      </c>
      <c r="R467">
        <v>3.26</v>
      </c>
      <c r="S467" t="s">
        <v>20</v>
      </c>
    </row>
    <row r="468" spans="1:19" x14ac:dyDescent="0.3">
      <c r="A468" t="s">
        <v>505</v>
      </c>
      <c r="B468">
        <v>21</v>
      </c>
      <c r="C468" t="s">
        <v>27</v>
      </c>
      <c r="D468">
        <v>3</v>
      </c>
      <c r="E468" t="s">
        <v>32</v>
      </c>
      <c r="F468">
        <v>5.6</v>
      </c>
      <c r="G468">
        <v>6.5</v>
      </c>
      <c r="H468">
        <v>5</v>
      </c>
      <c r="I468">
        <v>2</v>
      </c>
      <c r="J468">
        <v>4</v>
      </c>
      <c r="K468">
        <v>13</v>
      </c>
      <c r="L468">
        <v>20.8</v>
      </c>
      <c r="M468">
        <v>64.400000000000006</v>
      </c>
      <c r="N468">
        <v>3</v>
      </c>
      <c r="O468" t="s">
        <v>22</v>
      </c>
      <c r="P468">
        <v>3</v>
      </c>
      <c r="Q468" t="s">
        <v>23</v>
      </c>
      <c r="R468">
        <v>3.21</v>
      </c>
      <c r="S468" t="s">
        <v>27</v>
      </c>
    </row>
    <row r="469" spans="1:19" x14ac:dyDescent="0.3">
      <c r="A469" t="s">
        <v>506</v>
      </c>
      <c r="B469">
        <v>26</v>
      </c>
      <c r="C469" t="s">
        <v>39</v>
      </c>
      <c r="D469">
        <v>1</v>
      </c>
      <c r="E469" t="s">
        <v>30</v>
      </c>
      <c r="F469">
        <v>8.1999999999999993</v>
      </c>
      <c r="G469">
        <v>4.8</v>
      </c>
      <c r="H469">
        <v>2</v>
      </c>
      <c r="I469">
        <v>8</v>
      </c>
      <c r="J469">
        <v>10</v>
      </c>
      <c r="K469">
        <v>19</v>
      </c>
      <c r="L469">
        <v>27.3</v>
      </c>
      <c r="M469">
        <v>58.6</v>
      </c>
      <c r="O469" t="s">
        <v>22</v>
      </c>
      <c r="P469">
        <v>4</v>
      </c>
      <c r="Q469" t="s">
        <v>51</v>
      </c>
      <c r="R469">
        <v>3.11</v>
      </c>
      <c r="S469" t="s">
        <v>27</v>
      </c>
    </row>
    <row r="470" spans="1:19" x14ac:dyDescent="0.3">
      <c r="A470" t="s">
        <v>507</v>
      </c>
      <c r="B470">
        <v>24</v>
      </c>
      <c r="C470" t="s">
        <v>20</v>
      </c>
      <c r="D470">
        <v>2</v>
      </c>
      <c r="E470" t="s">
        <v>21</v>
      </c>
      <c r="F470">
        <v>5.9</v>
      </c>
      <c r="G470">
        <v>3.8</v>
      </c>
      <c r="H470">
        <v>3</v>
      </c>
      <c r="I470">
        <v>11</v>
      </c>
      <c r="J470">
        <v>8</v>
      </c>
      <c r="K470">
        <v>17</v>
      </c>
      <c r="L470">
        <v>9.9</v>
      </c>
      <c r="M470">
        <v>72.8</v>
      </c>
      <c r="N470">
        <v>4</v>
      </c>
      <c r="O470" t="s">
        <v>22</v>
      </c>
      <c r="P470">
        <v>4</v>
      </c>
      <c r="Q470" t="s">
        <v>51</v>
      </c>
      <c r="R470">
        <v>1.94</v>
      </c>
      <c r="S470" t="s">
        <v>20</v>
      </c>
    </row>
    <row r="471" spans="1:19" x14ac:dyDescent="0.3">
      <c r="A471" t="s">
        <v>508</v>
      </c>
      <c r="B471">
        <v>19</v>
      </c>
      <c r="C471" t="s">
        <v>20</v>
      </c>
      <c r="D471">
        <v>2</v>
      </c>
      <c r="E471" t="s">
        <v>63</v>
      </c>
      <c r="F471">
        <v>4.2</v>
      </c>
      <c r="G471">
        <v>6.1</v>
      </c>
      <c r="H471">
        <v>2</v>
      </c>
      <c r="I471">
        <v>3</v>
      </c>
      <c r="J471">
        <v>4</v>
      </c>
      <c r="K471">
        <v>8</v>
      </c>
      <c r="L471">
        <v>23.6</v>
      </c>
      <c r="M471">
        <v>47.3</v>
      </c>
      <c r="N471">
        <v>4</v>
      </c>
      <c r="O471" t="s">
        <v>22</v>
      </c>
      <c r="P471">
        <v>1</v>
      </c>
      <c r="Q471" t="s">
        <v>26</v>
      </c>
      <c r="R471">
        <v>2.4500000000000002</v>
      </c>
      <c r="S471" t="s">
        <v>20</v>
      </c>
    </row>
    <row r="472" spans="1:19" x14ac:dyDescent="0.3">
      <c r="A472" t="s">
        <v>509</v>
      </c>
      <c r="B472">
        <v>22</v>
      </c>
      <c r="C472" t="s">
        <v>20</v>
      </c>
      <c r="D472">
        <v>1</v>
      </c>
      <c r="E472" t="s">
        <v>30</v>
      </c>
      <c r="F472">
        <v>8.6</v>
      </c>
      <c r="G472">
        <v>6</v>
      </c>
      <c r="H472">
        <v>3</v>
      </c>
      <c r="I472">
        <v>2</v>
      </c>
      <c r="J472">
        <v>5</v>
      </c>
      <c r="K472">
        <v>10</v>
      </c>
      <c r="L472">
        <v>18.899999999999999</v>
      </c>
      <c r="M472">
        <v>94.8</v>
      </c>
      <c r="N472">
        <v>2</v>
      </c>
      <c r="O472" t="s">
        <v>33</v>
      </c>
      <c r="P472">
        <v>3</v>
      </c>
      <c r="Q472" t="s">
        <v>23</v>
      </c>
      <c r="R472">
        <v>3.35</v>
      </c>
      <c r="S472" t="s">
        <v>20</v>
      </c>
    </row>
    <row r="473" spans="1:19" x14ac:dyDescent="0.3">
      <c r="A473" t="s">
        <v>510</v>
      </c>
      <c r="B473">
        <v>21</v>
      </c>
      <c r="C473" t="s">
        <v>20</v>
      </c>
      <c r="D473">
        <v>3</v>
      </c>
      <c r="E473" t="s">
        <v>21</v>
      </c>
      <c r="F473">
        <v>7.3</v>
      </c>
      <c r="G473">
        <v>2.7</v>
      </c>
      <c r="H473">
        <v>3</v>
      </c>
      <c r="I473">
        <v>16</v>
      </c>
      <c r="J473">
        <v>9</v>
      </c>
      <c r="K473">
        <v>20</v>
      </c>
      <c r="L473">
        <v>21.2</v>
      </c>
      <c r="M473">
        <v>82.4</v>
      </c>
      <c r="N473">
        <v>1</v>
      </c>
      <c r="O473" t="s">
        <v>22</v>
      </c>
      <c r="P473">
        <v>2</v>
      </c>
      <c r="Q473" t="s">
        <v>26</v>
      </c>
      <c r="R473">
        <v>2.95</v>
      </c>
      <c r="S473" t="s">
        <v>20</v>
      </c>
    </row>
    <row r="474" spans="1:19" x14ac:dyDescent="0.3">
      <c r="A474" t="s">
        <v>511</v>
      </c>
      <c r="B474">
        <v>21</v>
      </c>
      <c r="C474" t="s">
        <v>102</v>
      </c>
      <c r="D474">
        <v>3</v>
      </c>
      <c r="E474" t="s">
        <v>47</v>
      </c>
      <c r="F474">
        <v>5.9</v>
      </c>
      <c r="G474">
        <v>5.5</v>
      </c>
      <c r="H474">
        <v>4</v>
      </c>
      <c r="I474">
        <v>9</v>
      </c>
      <c r="J474">
        <v>12</v>
      </c>
      <c r="K474">
        <v>16</v>
      </c>
      <c r="L474">
        <v>13.6</v>
      </c>
      <c r="M474">
        <v>74.2</v>
      </c>
      <c r="N474">
        <v>3</v>
      </c>
      <c r="O474" t="s">
        <v>22</v>
      </c>
      <c r="P474">
        <v>3</v>
      </c>
      <c r="Q474" t="s">
        <v>23</v>
      </c>
      <c r="R474">
        <v>2.5499999999999998</v>
      </c>
      <c r="S474" t="s">
        <v>20</v>
      </c>
    </row>
    <row r="475" spans="1:19" x14ac:dyDescent="0.3">
      <c r="A475" t="s">
        <v>512</v>
      </c>
      <c r="B475">
        <v>22</v>
      </c>
      <c r="C475" t="s">
        <v>20</v>
      </c>
      <c r="D475">
        <v>1</v>
      </c>
      <c r="E475" t="s">
        <v>21</v>
      </c>
      <c r="F475">
        <v>6</v>
      </c>
      <c r="G475">
        <v>5.8</v>
      </c>
      <c r="H475">
        <v>6</v>
      </c>
      <c r="I475">
        <v>2</v>
      </c>
      <c r="J475">
        <v>8</v>
      </c>
      <c r="K475">
        <v>11</v>
      </c>
      <c r="L475">
        <v>14.9</v>
      </c>
      <c r="M475">
        <v>49.6</v>
      </c>
      <c r="N475">
        <v>2</v>
      </c>
      <c r="O475" t="s">
        <v>22</v>
      </c>
      <c r="P475">
        <v>2</v>
      </c>
      <c r="Q475" t="s">
        <v>23</v>
      </c>
      <c r="R475">
        <v>2.59</v>
      </c>
      <c r="S475" t="s">
        <v>20</v>
      </c>
    </row>
    <row r="476" spans="1:19" x14ac:dyDescent="0.3">
      <c r="A476" t="s">
        <v>513</v>
      </c>
      <c r="B476">
        <v>23</v>
      </c>
      <c r="C476" t="s">
        <v>27</v>
      </c>
      <c r="D476">
        <v>3</v>
      </c>
      <c r="E476" t="s">
        <v>21</v>
      </c>
      <c r="F476">
        <v>7.6</v>
      </c>
      <c r="G476">
        <v>4.4000000000000004</v>
      </c>
      <c r="H476">
        <v>2</v>
      </c>
      <c r="I476">
        <v>4</v>
      </c>
      <c r="J476">
        <v>0</v>
      </c>
      <c r="K476">
        <v>6</v>
      </c>
      <c r="L476">
        <v>1</v>
      </c>
      <c r="M476">
        <v>51.2</v>
      </c>
      <c r="N476">
        <v>3</v>
      </c>
      <c r="O476" t="s">
        <v>22</v>
      </c>
      <c r="P476">
        <v>1</v>
      </c>
      <c r="Q476" t="s">
        <v>51</v>
      </c>
      <c r="R476">
        <v>2.57</v>
      </c>
      <c r="S476" t="s">
        <v>27</v>
      </c>
    </row>
    <row r="477" spans="1:19" x14ac:dyDescent="0.3">
      <c r="A477" t="s">
        <v>514</v>
      </c>
      <c r="B477">
        <v>21</v>
      </c>
      <c r="C477" t="s">
        <v>61</v>
      </c>
      <c r="D477">
        <v>4</v>
      </c>
      <c r="E477" t="s">
        <v>63</v>
      </c>
      <c r="F477">
        <v>5.6</v>
      </c>
      <c r="G477">
        <v>2.5</v>
      </c>
      <c r="H477">
        <v>2</v>
      </c>
      <c r="I477">
        <v>7</v>
      </c>
      <c r="J477">
        <v>6</v>
      </c>
      <c r="K477">
        <v>13</v>
      </c>
      <c r="L477">
        <v>18.399999999999999</v>
      </c>
      <c r="M477">
        <v>79</v>
      </c>
      <c r="N477">
        <v>5</v>
      </c>
      <c r="O477" t="s">
        <v>22</v>
      </c>
      <c r="P477">
        <v>1</v>
      </c>
      <c r="Q477" t="s">
        <v>23</v>
      </c>
      <c r="R477">
        <v>2.99</v>
      </c>
      <c r="S477" t="s">
        <v>61</v>
      </c>
    </row>
    <row r="478" spans="1:19" x14ac:dyDescent="0.3">
      <c r="A478" t="s">
        <v>515</v>
      </c>
      <c r="B478">
        <v>24</v>
      </c>
      <c r="C478" t="s">
        <v>25</v>
      </c>
      <c r="D478">
        <v>4</v>
      </c>
      <c r="E478" t="s">
        <v>21</v>
      </c>
      <c r="F478">
        <v>7.2</v>
      </c>
      <c r="G478">
        <v>3.5</v>
      </c>
      <c r="H478">
        <v>2</v>
      </c>
      <c r="I478">
        <v>4</v>
      </c>
      <c r="J478">
        <v>3</v>
      </c>
      <c r="K478">
        <v>10</v>
      </c>
      <c r="L478">
        <v>19.8</v>
      </c>
      <c r="M478">
        <v>100</v>
      </c>
      <c r="N478">
        <v>2</v>
      </c>
      <c r="O478" t="s">
        <v>33</v>
      </c>
      <c r="P478">
        <v>5</v>
      </c>
      <c r="Q478" t="s">
        <v>26</v>
      </c>
      <c r="R478">
        <v>3.4</v>
      </c>
      <c r="S478" t="s">
        <v>27</v>
      </c>
    </row>
    <row r="479" spans="1:19" x14ac:dyDescent="0.3">
      <c r="A479" t="s">
        <v>516</v>
      </c>
      <c r="B479">
        <v>19</v>
      </c>
      <c r="C479" t="s">
        <v>27</v>
      </c>
      <c r="D479">
        <v>4</v>
      </c>
      <c r="E479" t="s">
        <v>30</v>
      </c>
      <c r="F479">
        <v>7.1</v>
      </c>
      <c r="G479">
        <v>2.1</v>
      </c>
      <c r="H479">
        <v>1</v>
      </c>
      <c r="I479">
        <v>5</v>
      </c>
      <c r="J479">
        <v>5</v>
      </c>
      <c r="K479">
        <v>12</v>
      </c>
      <c r="L479">
        <v>16.5</v>
      </c>
      <c r="M479">
        <v>71.3</v>
      </c>
      <c r="N479">
        <v>3</v>
      </c>
      <c r="O479" t="s">
        <v>22</v>
      </c>
      <c r="P479">
        <v>4</v>
      </c>
      <c r="Q479" t="s">
        <v>26</v>
      </c>
      <c r="R479">
        <v>2.89</v>
      </c>
      <c r="S479" t="s">
        <v>27</v>
      </c>
    </row>
    <row r="480" spans="1:19" x14ac:dyDescent="0.3">
      <c r="A480" t="s">
        <v>517</v>
      </c>
      <c r="B480">
        <v>22</v>
      </c>
      <c r="C480" t="s">
        <v>20</v>
      </c>
      <c r="D480">
        <v>2</v>
      </c>
      <c r="E480" t="s">
        <v>30</v>
      </c>
      <c r="F480">
        <v>6.6</v>
      </c>
      <c r="G480">
        <v>5.6</v>
      </c>
      <c r="H480">
        <v>2</v>
      </c>
      <c r="I480">
        <v>4</v>
      </c>
      <c r="J480">
        <v>4</v>
      </c>
      <c r="K480">
        <v>8</v>
      </c>
      <c r="L480">
        <v>33.799999999999997</v>
      </c>
      <c r="M480">
        <v>94.7</v>
      </c>
      <c r="N480">
        <v>4</v>
      </c>
      <c r="O480" t="s">
        <v>22</v>
      </c>
      <c r="P480">
        <v>5</v>
      </c>
      <c r="Q480" t="s">
        <v>26</v>
      </c>
      <c r="R480">
        <v>3.5</v>
      </c>
      <c r="S480" t="s">
        <v>20</v>
      </c>
    </row>
    <row r="481" spans="1:19" x14ac:dyDescent="0.3">
      <c r="A481" t="s">
        <v>518</v>
      </c>
      <c r="B481">
        <v>27</v>
      </c>
      <c r="C481" t="s">
        <v>45</v>
      </c>
      <c r="D481">
        <v>4</v>
      </c>
      <c r="E481" t="s">
        <v>35</v>
      </c>
      <c r="F481">
        <v>7.5</v>
      </c>
      <c r="G481">
        <v>1.2</v>
      </c>
      <c r="H481">
        <v>0</v>
      </c>
      <c r="I481">
        <v>2</v>
      </c>
      <c r="J481">
        <v>5</v>
      </c>
      <c r="K481">
        <v>11</v>
      </c>
      <c r="L481">
        <v>6.9</v>
      </c>
      <c r="M481">
        <v>75.400000000000006</v>
      </c>
      <c r="N481">
        <v>3</v>
      </c>
      <c r="O481" t="s">
        <v>33</v>
      </c>
      <c r="P481">
        <v>3</v>
      </c>
      <c r="Q481" t="s">
        <v>26</v>
      </c>
      <c r="R481">
        <v>2.48</v>
      </c>
      <c r="S481" t="s">
        <v>20</v>
      </c>
    </row>
    <row r="482" spans="1:19" x14ac:dyDescent="0.3">
      <c r="A482" t="s">
        <v>519</v>
      </c>
      <c r="B482">
        <v>22</v>
      </c>
      <c r="C482" t="s">
        <v>39</v>
      </c>
      <c r="D482">
        <v>2</v>
      </c>
      <c r="E482" t="s">
        <v>30</v>
      </c>
      <c r="F482">
        <v>5.3</v>
      </c>
      <c r="G482">
        <v>10.7</v>
      </c>
      <c r="H482">
        <v>2</v>
      </c>
      <c r="I482">
        <v>0</v>
      </c>
      <c r="J482">
        <v>2</v>
      </c>
      <c r="K482">
        <v>3</v>
      </c>
      <c r="L482">
        <v>15.7</v>
      </c>
      <c r="M482">
        <v>81.400000000000006</v>
      </c>
      <c r="N482">
        <v>1</v>
      </c>
      <c r="O482" t="s">
        <v>33</v>
      </c>
      <c r="P482">
        <v>3</v>
      </c>
      <c r="Q482" t="s">
        <v>51</v>
      </c>
      <c r="R482">
        <v>2.86</v>
      </c>
      <c r="S482" t="s">
        <v>27</v>
      </c>
    </row>
    <row r="483" spans="1:19" x14ac:dyDescent="0.3">
      <c r="A483" t="s">
        <v>520</v>
      </c>
      <c r="B483">
        <v>25</v>
      </c>
      <c r="C483" t="s">
        <v>29</v>
      </c>
      <c r="D483">
        <v>2</v>
      </c>
      <c r="E483" t="s">
        <v>21</v>
      </c>
      <c r="F483">
        <v>6.7</v>
      </c>
      <c r="G483">
        <v>9.4</v>
      </c>
      <c r="H483">
        <v>1</v>
      </c>
      <c r="I483">
        <v>9</v>
      </c>
      <c r="J483">
        <v>6</v>
      </c>
      <c r="K483">
        <v>12</v>
      </c>
      <c r="L483">
        <v>10.5</v>
      </c>
      <c r="M483">
        <v>91.5</v>
      </c>
      <c r="N483">
        <v>2</v>
      </c>
      <c r="O483" t="s">
        <v>22</v>
      </c>
      <c r="P483">
        <v>3</v>
      </c>
      <c r="Q483" t="s">
        <v>26</v>
      </c>
      <c r="R483">
        <v>2.41</v>
      </c>
      <c r="S483" t="s">
        <v>29</v>
      </c>
    </row>
    <row r="484" spans="1:19" x14ac:dyDescent="0.3">
      <c r="A484" t="s">
        <v>521</v>
      </c>
      <c r="B484">
        <v>22</v>
      </c>
      <c r="C484" t="s">
        <v>20</v>
      </c>
      <c r="D484">
        <v>1</v>
      </c>
      <c r="E484" t="s">
        <v>30</v>
      </c>
      <c r="F484">
        <v>4.7</v>
      </c>
      <c r="G484">
        <v>5.9</v>
      </c>
      <c r="H484">
        <v>2</v>
      </c>
      <c r="I484">
        <v>6</v>
      </c>
      <c r="J484">
        <v>6</v>
      </c>
      <c r="K484">
        <v>10</v>
      </c>
      <c r="L484">
        <v>17.100000000000001</v>
      </c>
      <c r="M484">
        <v>69.7</v>
      </c>
      <c r="N484">
        <v>5</v>
      </c>
      <c r="O484" t="s">
        <v>33</v>
      </c>
      <c r="P484">
        <v>3</v>
      </c>
      <c r="Q484" t="s">
        <v>26</v>
      </c>
      <c r="R484">
        <v>2.33</v>
      </c>
      <c r="S484" t="s">
        <v>20</v>
      </c>
    </row>
    <row r="485" spans="1:19" x14ac:dyDescent="0.3">
      <c r="A485" t="s">
        <v>522</v>
      </c>
      <c r="B485">
        <v>23</v>
      </c>
      <c r="C485" t="s">
        <v>20</v>
      </c>
      <c r="D485">
        <v>2</v>
      </c>
      <c r="E485" t="s">
        <v>21</v>
      </c>
      <c r="F485">
        <v>4.0999999999999996</v>
      </c>
      <c r="G485">
        <v>7.7</v>
      </c>
      <c r="H485">
        <v>4</v>
      </c>
      <c r="I485">
        <v>12</v>
      </c>
      <c r="J485">
        <v>11</v>
      </c>
      <c r="K485">
        <v>15</v>
      </c>
      <c r="L485">
        <v>23.2</v>
      </c>
      <c r="M485">
        <v>68.900000000000006</v>
      </c>
      <c r="N485">
        <v>2</v>
      </c>
      <c r="O485" t="s">
        <v>33</v>
      </c>
      <c r="P485">
        <v>3</v>
      </c>
      <c r="Q485" t="s">
        <v>23</v>
      </c>
      <c r="R485">
        <v>2.6</v>
      </c>
      <c r="S485" t="s">
        <v>20</v>
      </c>
    </row>
    <row r="486" spans="1:19" x14ac:dyDescent="0.3">
      <c r="A486" t="s">
        <v>523</v>
      </c>
      <c r="B486">
        <v>21</v>
      </c>
      <c r="C486" t="s">
        <v>27</v>
      </c>
      <c r="D486">
        <v>2</v>
      </c>
      <c r="E486" t="s">
        <v>35</v>
      </c>
      <c r="F486">
        <v>6.1</v>
      </c>
      <c r="G486">
        <v>7.4</v>
      </c>
      <c r="H486">
        <v>1</v>
      </c>
      <c r="I486">
        <v>2</v>
      </c>
      <c r="J486">
        <v>1</v>
      </c>
      <c r="K486">
        <v>10</v>
      </c>
      <c r="L486">
        <v>28.5</v>
      </c>
      <c r="M486">
        <v>99.1</v>
      </c>
      <c r="N486">
        <v>4</v>
      </c>
      <c r="O486" t="s">
        <v>22</v>
      </c>
      <c r="P486">
        <v>4</v>
      </c>
      <c r="Q486" t="s">
        <v>26</v>
      </c>
      <c r="R486">
        <v>4</v>
      </c>
      <c r="S486" t="s">
        <v>27</v>
      </c>
    </row>
    <row r="487" spans="1:19" x14ac:dyDescent="0.3">
      <c r="A487" t="s">
        <v>524</v>
      </c>
      <c r="B487">
        <v>21</v>
      </c>
      <c r="C487" t="s">
        <v>102</v>
      </c>
      <c r="D487">
        <v>2</v>
      </c>
      <c r="E487" t="s">
        <v>21</v>
      </c>
      <c r="F487">
        <v>7.1</v>
      </c>
      <c r="G487">
        <v>4.9000000000000004</v>
      </c>
      <c r="H487">
        <v>3</v>
      </c>
      <c r="I487">
        <v>2</v>
      </c>
      <c r="J487">
        <v>0</v>
      </c>
      <c r="K487">
        <v>3</v>
      </c>
      <c r="L487">
        <v>13</v>
      </c>
      <c r="M487">
        <v>76.599999999999994</v>
      </c>
      <c r="N487">
        <v>4</v>
      </c>
      <c r="O487" t="s">
        <v>22</v>
      </c>
      <c r="P487">
        <v>4</v>
      </c>
      <c r="Q487" t="s">
        <v>26</v>
      </c>
      <c r="R487">
        <v>2.66</v>
      </c>
      <c r="S487" t="s">
        <v>20</v>
      </c>
    </row>
    <row r="488" spans="1:19" x14ac:dyDescent="0.3">
      <c r="A488" t="s">
        <v>525</v>
      </c>
      <c r="B488">
        <v>20</v>
      </c>
      <c r="C488" t="s">
        <v>20</v>
      </c>
      <c r="D488">
        <v>4</v>
      </c>
      <c r="E488" t="s">
        <v>63</v>
      </c>
      <c r="F488">
        <v>7.2</v>
      </c>
      <c r="G488">
        <v>3.9</v>
      </c>
      <c r="H488">
        <v>5</v>
      </c>
      <c r="I488">
        <v>16</v>
      </c>
      <c r="J488">
        <v>16</v>
      </c>
      <c r="K488">
        <v>21</v>
      </c>
      <c r="L488">
        <v>10.199999999999999</v>
      </c>
      <c r="M488">
        <v>92.1</v>
      </c>
      <c r="N488">
        <v>3</v>
      </c>
      <c r="O488" t="s">
        <v>22</v>
      </c>
      <c r="P488">
        <v>5</v>
      </c>
      <c r="Q488" t="s">
        <v>51</v>
      </c>
      <c r="R488">
        <v>4.0999999999999996</v>
      </c>
      <c r="S488" t="s">
        <v>20</v>
      </c>
    </row>
    <row r="489" spans="1:19" x14ac:dyDescent="0.3">
      <c r="A489" t="s">
        <v>526</v>
      </c>
      <c r="B489">
        <v>22</v>
      </c>
      <c r="C489" t="s">
        <v>39</v>
      </c>
      <c r="D489">
        <v>2</v>
      </c>
      <c r="E489" t="s">
        <v>30</v>
      </c>
      <c r="F489">
        <v>7</v>
      </c>
      <c r="G489">
        <v>3.6</v>
      </c>
      <c r="H489">
        <v>3</v>
      </c>
      <c r="I489">
        <v>8</v>
      </c>
      <c r="J489">
        <v>6</v>
      </c>
      <c r="K489">
        <v>17</v>
      </c>
      <c r="L489">
        <v>11.1</v>
      </c>
      <c r="M489">
        <v>62.9</v>
      </c>
      <c r="N489">
        <v>4</v>
      </c>
      <c r="O489" t="s">
        <v>22</v>
      </c>
      <c r="P489">
        <v>2</v>
      </c>
      <c r="Q489" t="s">
        <v>26</v>
      </c>
      <c r="R489">
        <v>2.89</v>
      </c>
      <c r="S489" t="s">
        <v>27</v>
      </c>
    </row>
    <row r="490" spans="1:19" x14ac:dyDescent="0.3">
      <c r="A490" t="s">
        <v>527</v>
      </c>
      <c r="B490">
        <v>20</v>
      </c>
      <c r="C490" t="s">
        <v>20</v>
      </c>
      <c r="D490">
        <v>2</v>
      </c>
      <c r="E490" t="s">
        <v>21</v>
      </c>
      <c r="F490">
        <v>5</v>
      </c>
      <c r="G490">
        <v>11</v>
      </c>
      <c r="H490">
        <v>1</v>
      </c>
      <c r="I490">
        <v>0</v>
      </c>
      <c r="J490">
        <v>2</v>
      </c>
      <c r="K490">
        <v>4</v>
      </c>
      <c r="L490">
        <v>26.3</v>
      </c>
      <c r="M490">
        <v>100</v>
      </c>
      <c r="N490">
        <v>2</v>
      </c>
      <c r="O490" t="s">
        <v>22</v>
      </c>
      <c r="P490">
        <v>3</v>
      </c>
      <c r="Q490" t="s">
        <v>26</v>
      </c>
      <c r="R490">
        <v>3.7</v>
      </c>
      <c r="S490" t="s">
        <v>20</v>
      </c>
    </row>
    <row r="491" spans="1:19" x14ac:dyDescent="0.3">
      <c r="A491" t="s">
        <v>528</v>
      </c>
      <c r="B491">
        <v>23</v>
      </c>
      <c r="C491" t="s">
        <v>20</v>
      </c>
      <c r="D491">
        <v>1</v>
      </c>
      <c r="E491" t="s">
        <v>47</v>
      </c>
      <c r="F491">
        <v>7.6</v>
      </c>
      <c r="G491">
        <v>2.5</v>
      </c>
      <c r="H491">
        <v>2</v>
      </c>
      <c r="I491">
        <v>25</v>
      </c>
      <c r="J491">
        <v>17</v>
      </c>
      <c r="K491">
        <v>29</v>
      </c>
      <c r="L491">
        <v>25.6</v>
      </c>
      <c r="M491">
        <v>79.900000000000006</v>
      </c>
      <c r="N491">
        <v>3</v>
      </c>
      <c r="O491" t="s">
        <v>22</v>
      </c>
      <c r="P491">
        <v>2</v>
      </c>
      <c r="Q491" t="s">
        <v>23</v>
      </c>
      <c r="R491">
        <v>2.95</v>
      </c>
      <c r="S491" t="s">
        <v>20</v>
      </c>
    </row>
    <row r="492" spans="1:19" x14ac:dyDescent="0.3">
      <c r="A492" t="s">
        <v>529</v>
      </c>
      <c r="B492">
        <v>24</v>
      </c>
      <c r="C492" t="s">
        <v>39</v>
      </c>
      <c r="D492">
        <v>2</v>
      </c>
      <c r="E492" t="s">
        <v>21</v>
      </c>
      <c r="F492">
        <v>6.5</v>
      </c>
      <c r="G492">
        <v>2.5</v>
      </c>
      <c r="H492">
        <v>3</v>
      </c>
      <c r="I492">
        <v>11</v>
      </c>
      <c r="J492">
        <v>10</v>
      </c>
      <c r="K492">
        <v>14</v>
      </c>
      <c r="L492">
        <v>16.399999999999999</v>
      </c>
      <c r="M492">
        <v>83.9</v>
      </c>
      <c r="N492">
        <v>3</v>
      </c>
      <c r="O492" t="s">
        <v>33</v>
      </c>
      <c r="P492">
        <v>1</v>
      </c>
      <c r="Q492" t="s">
        <v>26</v>
      </c>
      <c r="R492">
        <v>3.13</v>
      </c>
      <c r="S492" t="s">
        <v>27</v>
      </c>
    </row>
    <row r="493" spans="1:19" x14ac:dyDescent="0.3">
      <c r="A493" t="s">
        <v>530</v>
      </c>
      <c r="B493">
        <v>22</v>
      </c>
      <c r="C493" t="s">
        <v>20</v>
      </c>
      <c r="D493">
        <v>2</v>
      </c>
      <c r="E493" t="s">
        <v>30</v>
      </c>
      <c r="F493">
        <v>5</v>
      </c>
      <c r="G493">
        <v>8.1</v>
      </c>
      <c r="H493">
        <v>3</v>
      </c>
      <c r="I493">
        <v>5</v>
      </c>
      <c r="J493">
        <v>9</v>
      </c>
      <c r="K493">
        <v>15</v>
      </c>
      <c r="L493">
        <v>10.9</v>
      </c>
      <c r="M493">
        <v>77.400000000000006</v>
      </c>
      <c r="N493">
        <v>5</v>
      </c>
      <c r="O493" t="s">
        <v>22</v>
      </c>
      <c r="P493">
        <v>4</v>
      </c>
      <c r="Q493" t="s">
        <v>26</v>
      </c>
      <c r="R493">
        <v>2.65</v>
      </c>
      <c r="S493" t="s">
        <v>20</v>
      </c>
    </row>
    <row r="494" spans="1:19" x14ac:dyDescent="0.3">
      <c r="A494" t="s">
        <v>531</v>
      </c>
      <c r="B494">
        <v>21</v>
      </c>
      <c r="C494" t="s">
        <v>45</v>
      </c>
      <c r="D494">
        <v>2</v>
      </c>
      <c r="E494" t="s">
        <v>47</v>
      </c>
      <c r="F494">
        <v>6.1</v>
      </c>
      <c r="G494">
        <v>7.7</v>
      </c>
      <c r="H494">
        <v>1</v>
      </c>
      <c r="I494">
        <v>6</v>
      </c>
      <c r="J494">
        <v>7</v>
      </c>
      <c r="K494">
        <v>15</v>
      </c>
      <c r="L494">
        <v>8.6</v>
      </c>
      <c r="M494">
        <v>73.099999999999994</v>
      </c>
      <c r="N494">
        <v>2</v>
      </c>
      <c r="O494" t="s">
        <v>33</v>
      </c>
      <c r="P494">
        <v>3</v>
      </c>
      <c r="Q494" t="s">
        <v>26</v>
      </c>
      <c r="R494">
        <v>2.66</v>
      </c>
      <c r="S494" t="s">
        <v>20</v>
      </c>
    </row>
    <row r="495" spans="1:19" x14ac:dyDescent="0.3">
      <c r="A495" t="s">
        <v>532</v>
      </c>
      <c r="B495">
        <v>22</v>
      </c>
      <c r="C495" t="s">
        <v>20</v>
      </c>
      <c r="D495">
        <v>2</v>
      </c>
      <c r="E495" t="s">
        <v>21</v>
      </c>
      <c r="F495">
        <v>8.6999999999999993</v>
      </c>
      <c r="G495">
        <v>3.7</v>
      </c>
      <c r="H495">
        <v>2</v>
      </c>
      <c r="I495">
        <v>3</v>
      </c>
      <c r="J495">
        <v>1</v>
      </c>
      <c r="K495">
        <v>10</v>
      </c>
      <c r="L495">
        <v>16.7</v>
      </c>
      <c r="M495">
        <v>80.400000000000006</v>
      </c>
      <c r="N495">
        <v>2</v>
      </c>
      <c r="O495" t="s">
        <v>22</v>
      </c>
      <c r="P495">
        <v>4</v>
      </c>
      <c r="Q495" t="s">
        <v>26</v>
      </c>
      <c r="R495">
        <v>3.2</v>
      </c>
      <c r="S495" t="s">
        <v>20</v>
      </c>
    </row>
    <row r="496" spans="1:19" x14ac:dyDescent="0.3">
      <c r="A496" t="s">
        <v>533</v>
      </c>
      <c r="B496">
        <v>21</v>
      </c>
      <c r="C496" t="s">
        <v>20</v>
      </c>
      <c r="D496">
        <v>4</v>
      </c>
      <c r="E496" t="s">
        <v>32</v>
      </c>
      <c r="F496">
        <v>4.2</v>
      </c>
      <c r="G496">
        <v>6.3</v>
      </c>
      <c r="H496">
        <v>3</v>
      </c>
      <c r="I496">
        <v>2</v>
      </c>
      <c r="J496">
        <v>1</v>
      </c>
      <c r="K496">
        <v>8</v>
      </c>
      <c r="L496">
        <v>22.3</v>
      </c>
      <c r="M496">
        <v>73.599999999999994</v>
      </c>
      <c r="N496">
        <v>5</v>
      </c>
      <c r="O496" t="s">
        <v>22</v>
      </c>
      <c r="P496">
        <v>1</v>
      </c>
      <c r="Q496" t="s">
        <v>51</v>
      </c>
      <c r="R496">
        <v>2.82</v>
      </c>
      <c r="S496" t="s">
        <v>20</v>
      </c>
    </row>
    <row r="497" spans="1:19" x14ac:dyDescent="0.3">
      <c r="A497" t="s">
        <v>534</v>
      </c>
      <c r="B497">
        <v>23</v>
      </c>
      <c r="C497" t="s">
        <v>20</v>
      </c>
      <c r="D497">
        <v>5</v>
      </c>
      <c r="E497" t="s">
        <v>63</v>
      </c>
      <c r="F497">
        <v>5.9</v>
      </c>
      <c r="G497">
        <v>6.8</v>
      </c>
      <c r="H497">
        <v>2</v>
      </c>
      <c r="I497">
        <v>4</v>
      </c>
      <c r="J497">
        <v>4</v>
      </c>
      <c r="K497">
        <v>10</v>
      </c>
      <c r="L497">
        <v>5.9</v>
      </c>
      <c r="M497">
        <v>92</v>
      </c>
      <c r="N497">
        <v>2</v>
      </c>
      <c r="O497" t="s">
        <v>22</v>
      </c>
      <c r="P497">
        <v>5</v>
      </c>
      <c r="Q497" t="s">
        <v>23</v>
      </c>
      <c r="R497">
        <v>2.93</v>
      </c>
      <c r="S497" t="s">
        <v>20</v>
      </c>
    </row>
    <row r="498" spans="1:19" x14ac:dyDescent="0.3">
      <c r="A498" t="s">
        <v>535</v>
      </c>
      <c r="B498">
        <v>18</v>
      </c>
      <c r="C498" t="s">
        <v>20</v>
      </c>
      <c r="D498">
        <v>3</v>
      </c>
      <c r="E498" t="s">
        <v>30</v>
      </c>
      <c r="F498">
        <v>5</v>
      </c>
      <c r="G498">
        <v>1.6</v>
      </c>
      <c r="H498">
        <v>3</v>
      </c>
      <c r="I498">
        <v>5</v>
      </c>
      <c r="J498">
        <v>5</v>
      </c>
      <c r="K498">
        <v>9</v>
      </c>
      <c r="L498">
        <v>18.3</v>
      </c>
      <c r="M498">
        <v>72.3</v>
      </c>
      <c r="N498">
        <v>5</v>
      </c>
      <c r="O498" t="s">
        <v>22</v>
      </c>
      <c r="P498">
        <v>5</v>
      </c>
      <c r="Q498" t="s">
        <v>26</v>
      </c>
      <c r="R498">
        <v>2.46</v>
      </c>
      <c r="S498" t="s">
        <v>20</v>
      </c>
    </row>
    <row r="499" spans="1:19" x14ac:dyDescent="0.3">
      <c r="A499" t="s">
        <v>536</v>
      </c>
      <c r="B499">
        <v>21</v>
      </c>
      <c r="C499" t="s">
        <v>20</v>
      </c>
      <c r="D499">
        <v>3</v>
      </c>
      <c r="E499" t="s">
        <v>30</v>
      </c>
      <c r="F499">
        <v>5.9</v>
      </c>
      <c r="G499">
        <v>9.8000000000000007</v>
      </c>
      <c r="H499">
        <v>0</v>
      </c>
      <c r="I499">
        <v>4</v>
      </c>
      <c r="J499">
        <v>1</v>
      </c>
      <c r="K499">
        <v>6</v>
      </c>
      <c r="L499">
        <v>30.9</v>
      </c>
      <c r="M499">
        <v>57.1</v>
      </c>
      <c r="N499">
        <v>4</v>
      </c>
      <c r="O499" t="s">
        <v>22</v>
      </c>
      <c r="P499">
        <v>3</v>
      </c>
      <c r="Q499" t="s">
        <v>26</v>
      </c>
      <c r="R499">
        <v>3.14</v>
      </c>
      <c r="S499" t="s">
        <v>20</v>
      </c>
    </row>
    <row r="500" spans="1:19" x14ac:dyDescent="0.3">
      <c r="A500" t="s">
        <v>537</v>
      </c>
      <c r="B500">
        <v>17</v>
      </c>
      <c r="C500" t="s">
        <v>27</v>
      </c>
      <c r="D500">
        <v>4</v>
      </c>
      <c r="E500" t="s">
        <v>30</v>
      </c>
      <c r="F500">
        <v>5.5</v>
      </c>
      <c r="G500">
        <v>6.8</v>
      </c>
      <c r="H500">
        <v>2</v>
      </c>
      <c r="I500">
        <v>3</v>
      </c>
      <c r="J500">
        <v>6</v>
      </c>
      <c r="K500">
        <v>13</v>
      </c>
      <c r="L500">
        <v>19.5</v>
      </c>
      <c r="M500">
        <v>54.1</v>
      </c>
      <c r="N500">
        <v>4</v>
      </c>
      <c r="O500" t="s">
        <v>22</v>
      </c>
      <c r="P500">
        <v>5</v>
      </c>
      <c r="Q500" t="s">
        <v>51</v>
      </c>
      <c r="R500">
        <v>2.75</v>
      </c>
      <c r="S500" t="s">
        <v>27</v>
      </c>
    </row>
    <row r="501" spans="1:19" x14ac:dyDescent="0.3">
      <c r="A501" t="s">
        <v>538</v>
      </c>
      <c r="B501">
        <v>18</v>
      </c>
      <c r="C501" t="s">
        <v>27</v>
      </c>
      <c r="D501">
        <v>5</v>
      </c>
      <c r="E501" t="s">
        <v>21</v>
      </c>
      <c r="F501">
        <v>3.8</v>
      </c>
      <c r="G501">
        <v>5.9</v>
      </c>
      <c r="H501">
        <v>4</v>
      </c>
      <c r="I501">
        <v>25</v>
      </c>
      <c r="J501">
        <v>16</v>
      </c>
      <c r="K501">
        <v>31</v>
      </c>
      <c r="L501">
        <v>22.4</v>
      </c>
      <c r="M501">
        <v>51.9</v>
      </c>
      <c r="O501" t="s">
        <v>33</v>
      </c>
      <c r="P501">
        <v>2</v>
      </c>
      <c r="Q501" t="s">
        <v>26</v>
      </c>
      <c r="R501">
        <v>2.29</v>
      </c>
      <c r="S50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F3C0-2629-43EE-AE13-39480F309CD5}">
  <dimension ref="A1:Y504"/>
  <sheetViews>
    <sheetView tabSelected="1" zoomScale="80" zoomScaleNormal="80" workbookViewId="0"/>
  </sheetViews>
  <sheetFormatPr defaultRowHeight="14.4" x14ac:dyDescent="0.3"/>
  <cols>
    <col min="1" max="1" width="12.21875" bestFit="1" customWidth="1"/>
    <col min="2" max="2" width="6.21875" bestFit="1" customWidth="1"/>
    <col min="3" max="3" width="14.6640625" bestFit="1" customWidth="1"/>
    <col min="4" max="4" width="15.44140625" bestFit="1" customWidth="1"/>
    <col min="5" max="5" width="16.6640625" bestFit="1" customWidth="1"/>
    <col min="6" max="6" width="18.44140625" bestFit="1" customWidth="1"/>
    <col min="7" max="7" width="24.5546875" bestFit="1" customWidth="1"/>
    <col min="8" max="8" width="31.77734375" bestFit="1" customWidth="1"/>
    <col min="9" max="9" width="13" bestFit="1" customWidth="1"/>
    <col min="10" max="10" width="12.77734375" bestFit="1" customWidth="1"/>
    <col min="11" max="11" width="21.5546875" customWidth="1"/>
    <col min="12" max="12" width="22.44140625" bestFit="1" customWidth="1"/>
    <col min="13" max="13" width="25.77734375" customWidth="1"/>
    <col min="14" max="14" width="20.77734375" bestFit="1" customWidth="1"/>
    <col min="15" max="15" width="14.44140625" customWidth="1"/>
    <col min="16" max="16" width="25.44140625" bestFit="1" customWidth="1"/>
    <col min="17" max="17" width="27.109375" bestFit="1" customWidth="1"/>
    <col min="18" max="18" width="18.21875" bestFit="1" customWidth="1"/>
    <col min="19" max="19" width="19.21875" bestFit="1" customWidth="1"/>
    <col min="20" max="20" width="16.109375" bestFit="1" customWidth="1"/>
    <col min="21" max="21" width="15.6640625" bestFit="1" customWidth="1"/>
    <col min="22" max="22" width="7.21875" bestFit="1" customWidth="1"/>
    <col min="23" max="23" width="18.88671875" bestFit="1" customWidth="1"/>
    <col min="24" max="24" width="18" bestFit="1" customWidth="1"/>
    <col min="25" max="25" width="16.77734375" bestFit="1" customWidth="1"/>
    <col min="31" max="31" width="17.5546875" customWidth="1"/>
  </cols>
  <sheetData>
    <row r="1" spans="1:25" ht="18" x14ac:dyDescent="0.35">
      <c r="A1" s="25" t="s">
        <v>565</v>
      </c>
      <c r="B1" s="29"/>
      <c r="C1" s="29"/>
      <c r="D1" s="29"/>
      <c r="E1" s="29"/>
    </row>
    <row r="3" spans="1:25" s="30" customFormat="1" ht="12" x14ac:dyDescent="0.25">
      <c r="A3" s="30">
        <v>1</v>
      </c>
      <c r="B3" s="30">
        <v>2</v>
      </c>
      <c r="C3" s="30">
        <v>3</v>
      </c>
      <c r="D3" s="30">
        <v>4</v>
      </c>
      <c r="E3" s="30">
        <v>5</v>
      </c>
      <c r="F3" s="30">
        <v>6</v>
      </c>
      <c r="G3" s="30">
        <v>7</v>
      </c>
      <c r="H3" s="30">
        <v>8</v>
      </c>
      <c r="I3" s="30">
        <v>9</v>
      </c>
      <c r="J3" s="30">
        <v>10</v>
      </c>
      <c r="K3" s="30">
        <v>11</v>
      </c>
      <c r="L3" s="30">
        <v>12</v>
      </c>
      <c r="M3" s="30">
        <v>13</v>
      </c>
      <c r="N3" s="30">
        <v>14</v>
      </c>
      <c r="O3" s="30">
        <v>15</v>
      </c>
      <c r="P3" s="30">
        <v>16</v>
      </c>
      <c r="Q3" s="30">
        <v>17</v>
      </c>
      <c r="R3" s="30">
        <v>18</v>
      </c>
      <c r="S3" s="30">
        <v>19</v>
      </c>
      <c r="T3" s="30">
        <v>20</v>
      </c>
      <c r="U3" s="30">
        <v>21</v>
      </c>
      <c r="V3" s="30">
        <v>22</v>
      </c>
      <c r="W3" s="30">
        <v>23</v>
      </c>
      <c r="X3" s="30">
        <v>24</v>
      </c>
      <c r="Y3" s="30">
        <v>25</v>
      </c>
    </row>
    <row r="4" spans="1:25" x14ac:dyDescent="0.3">
      <c r="A4" s="5" t="s">
        <v>0</v>
      </c>
      <c r="B4" s="5" t="s">
        <v>1</v>
      </c>
      <c r="C4" s="5" t="s">
        <v>2</v>
      </c>
      <c r="D4" s="5" t="s">
        <v>3</v>
      </c>
      <c r="E4" s="5" t="s">
        <v>4</v>
      </c>
      <c r="F4" s="5" t="s">
        <v>5</v>
      </c>
      <c r="G4" s="5" t="s">
        <v>6</v>
      </c>
      <c r="H4" s="5" t="s">
        <v>7</v>
      </c>
      <c r="I4" s="5" t="s">
        <v>8</v>
      </c>
      <c r="J4" s="5" t="s">
        <v>9</v>
      </c>
      <c r="K4" s="5" t="s">
        <v>539</v>
      </c>
      <c r="L4" s="5" t="s">
        <v>10</v>
      </c>
      <c r="M4" s="5" t="s">
        <v>540</v>
      </c>
      <c r="N4" s="5" t="s">
        <v>11</v>
      </c>
      <c r="O4" s="5" t="s">
        <v>541</v>
      </c>
      <c r="P4" s="5" t="s">
        <v>12</v>
      </c>
      <c r="Q4" s="5" t="s">
        <v>13</v>
      </c>
      <c r="R4" s="5" t="s">
        <v>568</v>
      </c>
      <c r="S4" s="5" t="s">
        <v>14</v>
      </c>
      <c r="T4" s="5" t="s">
        <v>15</v>
      </c>
      <c r="U4" s="5" t="s">
        <v>16</v>
      </c>
      <c r="V4" s="5" t="s">
        <v>17</v>
      </c>
      <c r="W4" s="5" t="s">
        <v>566</v>
      </c>
      <c r="X4" s="5" t="s">
        <v>567</v>
      </c>
      <c r="Y4" s="5" t="s">
        <v>18</v>
      </c>
    </row>
    <row r="5" spans="1:25" x14ac:dyDescent="0.3">
      <c r="A5" t="s">
        <v>19</v>
      </c>
      <c r="B5">
        <v>22</v>
      </c>
      <c r="C5" t="s">
        <v>20</v>
      </c>
      <c r="D5">
        <v>3</v>
      </c>
      <c r="E5" t="s">
        <v>21</v>
      </c>
      <c r="F5">
        <v>6.1</v>
      </c>
      <c r="G5">
        <v>4.0999999999999996</v>
      </c>
      <c r="H5">
        <v>1</v>
      </c>
      <c r="I5">
        <v>17</v>
      </c>
      <c r="J5">
        <v>16</v>
      </c>
      <c r="K5" s="4" t="str" cm="1">
        <f t="array" ref="K5">_xlfn.IFS(stdsurvey[[#This Row],[phq9_score]]="","Answer Not Provided",stdsurvey[[#This Row],[phq9_score]]&lt;=4,"Minimal",stdsurvey[[#This Row],[phq9_score]]&lt;=9,"Mild",stdsurvey[[#This Row],[phq9_score]]&lt;=14,"Moderate",stdsurvey[[#This Row],[phq9_score]]&lt;=19,"Moderately Severe",stdsurvey[[#This Row],[phq9_score]]&lt;=27,"Severe")</f>
        <v>Moderately Severe</v>
      </c>
      <c r="L5">
        <v>26</v>
      </c>
      <c r="M5" s="4" t="str" cm="1">
        <f t="array" ref="M5">_xlfn.IFS(stdsurvey[[#This Row],[gad7_score]]="","Answer Not Provided",stdsurvey[[#This Row],[gad7_score]]&lt;=4,"Minimal",stdsurvey[[#This Row],[gad7_score]]&lt;=9,"Mild",stdsurvey[[#This Row],[gad7_score]]&lt;=14,"Moderate",stdsurvey[[#This Row],[gad7_score]]&lt;=21,"Severe")</f>
        <v>Severe</v>
      </c>
      <c r="N5">
        <v>6.3</v>
      </c>
      <c r="O5" s="4" t="str" cm="1">
        <f t="array" ref="O5">_xlfn.IFS(stdsurvey[[#This Row],[perceived_stress_scale]]="","Answer Not Provided",stdsurvey[[#This Row],[perceived_stress_scale]]&lt;=13,"Low Stress",stdsurvey[[#This Row],[perceived_stress_scale]]&lt;=26,"Moderate Stress",stdsurvey[[#This Row],[perceived_stress_scale]]&lt;=40,"High Stress")</f>
        <v>Moderate Stress</v>
      </c>
      <c r="P5">
        <v>63.9</v>
      </c>
      <c r="Q5">
        <v>5</v>
      </c>
      <c r="R5" s="4" t="str" cm="1">
        <f t="array" ref="R5">_xlfn.IFS(stdsurvey[[#This Row],[class_attendance_percent]]&lt;60,"Less than 0%",stdsurvey[[#This Row],[class_attendance_percent]]&lt;70,"60-70 %",stdsurvey[[#This Row],[class_attendance_percent]]&lt;80, "70-80%",stdsurvey[[#This Row],[class_attendance_percent]]&lt;90,"80-90%",TRUE,"More than 90%")</f>
        <v>60-70 %</v>
      </c>
      <c r="S5" t="s">
        <v>22</v>
      </c>
      <c r="T5">
        <v>1</v>
      </c>
      <c r="U5" t="s">
        <v>23</v>
      </c>
      <c r="V5">
        <v>2.46</v>
      </c>
      <c r="W5" s="4" t="str" cm="1">
        <f t="array" ref="W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 s="4" t="str" cm="1">
        <f t="array" ref="X5">_xlfn.IFS(stdsurvey[[#This Row],[daily_sleep_hours]]&lt;4,"&lt; 4 hrs",stdsurvey[[#This Row],[daily_sleep_hours]]&lt;=6,"4-6 hrs",stdsurvey[[#This Row],[daily_sleep_hours]]&lt;=8,"6-8 hrs",TRUE,"&gt; 8 hrs")</f>
        <v>6-8 hrs</v>
      </c>
      <c r="Y5" t="s">
        <v>20</v>
      </c>
    </row>
    <row r="6" spans="1:25" x14ac:dyDescent="0.3">
      <c r="A6" t="s">
        <v>24</v>
      </c>
      <c r="B6">
        <v>19</v>
      </c>
      <c r="C6" t="s">
        <v>25</v>
      </c>
      <c r="D6">
        <v>2</v>
      </c>
      <c r="E6" t="s">
        <v>21</v>
      </c>
      <c r="F6">
        <v>7</v>
      </c>
      <c r="G6">
        <v>2.2999999999999998</v>
      </c>
      <c r="H6">
        <v>3</v>
      </c>
      <c r="I6">
        <v>9</v>
      </c>
      <c r="J6">
        <v>7</v>
      </c>
      <c r="K6" s="4" t="str" cm="1">
        <f t="array" ref="K6">_xlfn.IFS(stdsurvey[[#This Row],[phq9_score]]="","Answer Not Provided",stdsurvey[[#This Row],[phq9_score]]&lt;=4,"Minimal",stdsurvey[[#This Row],[phq9_score]]&lt;=9,"Mild",stdsurvey[[#This Row],[phq9_score]]&lt;=14,"Moderate",stdsurvey[[#This Row],[phq9_score]]&lt;=19,"Moderately Severe",stdsurvey[[#This Row],[phq9_score]]&lt;=27,"Severe")</f>
        <v>Mild</v>
      </c>
      <c r="L6">
        <v>19</v>
      </c>
      <c r="M6" s="4" t="str" cm="1">
        <f t="array" ref="M6">_xlfn.IFS(stdsurvey[[#This Row],[gad7_score]]="","Answer Not Provided",stdsurvey[[#This Row],[gad7_score]]&lt;=4,"Minimal",stdsurvey[[#This Row],[gad7_score]]&lt;=9,"Mild",stdsurvey[[#This Row],[gad7_score]]&lt;=14,"Moderate",stdsurvey[[#This Row],[gad7_score]]&lt;=21,"Severe")</f>
        <v>Mild</v>
      </c>
      <c r="N6">
        <v>20.7</v>
      </c>
      <c r="O6" s="4" t="str" cm="1">
        <f t="array" ref="O6">_xlfn.IFS(stdsurvey[[#This Row],[perceived_stress_scale]]="","Answer Not Provided",stdsurvey[[#This Row],[perceived_stress_scale]]&lt;=13,"Low Stress",stdsurvey[[#This Row],[perceived_stress_scale]]&lt;=26,"Moderate Stress",stdsurvey[[#This Row],[perceived_stress_scale]]&lt;=40,"High Stress")</f>
        <v>Moderate Stress</v>
      </c>
      <c r="P6">
        <v>78.5</v>
      </c>
      <c r="Q6">
        <v>3</v>
      </c>
      <c r="R6" s="4" t="str" cm="1">
        <f t="array" ref="R6">_xlfn.IFS(stdsurvey[[#This Row],[class_attendance_percent]]&lt;60,"Less than 0%",stdsurvey[[#This Row],[class_attendance_percent]]&lt;70,"60-70 %",stdsurvey[[#This Row],[class_attendance_percent]]&lt;80, "70-80%",stdsurvey[[#This Row],[class_attendance_percent]]&lt;90,"80-90%",TRUE,"More than 90%")</f>
        <v>70-80%</v>
      </c>
      <c r="S6" t="s">
        <v>22</v>
      </c>
      <c r="T6">
        <v>4</v>
      </c>
      <c r="U6" t="s">
        <v>26</v>
      </c>
      <c r="V6">
        <v>2.98</v>
      </c>
      <c r="W6" s="4" t="str" cm="1">
        <f t="array" ref="W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 s="4" t="str" cm="1">
        <f t="array" ref="X6">_xlfn.IFS(stdsurvey[[#This Row],[daily_sleep_hours]]&lt;4,"&lt; 4 hrs",stdsurvey[[#This Row],[daily_sleep_hours]]&lt;=6,"4-6 hrs",stdsurvey[[#This Row],[daily_sleep_hours]]&lt;=8,"6-8 hrs",TRUE,"&gt; 8 hrs")</f>
        <v>6-8 hrs</v>
      </c>
      <c r="Y6" t="s">
        <v>27</v>
      </c>
    </row>
    <row r="7" spans="1:25" x14ac:dyDescent="0.3">
      <c r="A7" t="s">
        <v>28</v>
      </c>
      <c r="B7">
        <v>23</v>
      </c>
      <c r="C7" t="s">
        <v>29</v>
      </c>
      <c r="D7">
        <v>3</v>
      </c>
      <c r="E7" t="s">
        <v>30</v>
      </c>
      <c r="F7">
        <v>5</v>
      </c>
      <c r="G7">
        <v>9.1999999999999993</v>
      </c>
      <c r="H7">
        <v>1</v>
      </c>
      <c r="I7">
        <v>1</v>
      </c>
      <c r="J7">
        <v>2</v>
      </c>
      <c r="K7" s="4" t="str" cm="1">
        <f t="array" ref="K7">_xlfn.IFS(stdsurvey[[#This Row],[phq9_score]]="","Answer Not Provided",stdsurvey[[#This Row],[phq9_score]]&lt;=4,"Minimal",stdsurvey[[#This Row],[phq9_score]]&lt;=9,"Mild",stdsurvey[[#This Row],[phq9_score]]&lt;=14,"Moderate",stdsurvey[[#This Row],[phq9_score]]&lt;=19,"Moderately Severe",stdsurvey[[#This Row],[phq9_score]]&lt;=27,"Severe")</f>
        <v>Minimal</v>
      </c>
      <c r="L7">
        <v>10</v>
      </c>
      <c r="M7" s="4" t="str" cm="1">
        <f t="array" ref="M7">_xlfn.IFS(stdsurvey[[#This Row],[gad7_score]]="","Answer Not Provided",stdsurvey[[#This Row],[gad7_score]]&lt;=4,"Minimal",stdsurvey[[#This Row],[gad7_score]]&lt;=9,"Mild",stdsurvey[[#This Row],[gad7_score]]&lt;=14,"Moderate",stdsurvey[[#This Row],[gad7_score]]&lt;=21,"Severe")</f>
        <v>Minimal</v>
      </c>
      <c r="N7">
        <v>17.100000000000001</v>
      </c>
      <c r="O7" s="4" t="str" cm="1">
        <f t="array" ref="O7">_xlfn.IFS(stdsurvey[[#This Row],[perceived_stress_scale]]="","Answer Not Provided",stdsurvey[[#This Row],[perceived_stress_scale]]&lt;=13,"Low Stress",stdsurvey[[#This Row],[perceived_stress_scale]]&lt;=26,"Moderate Stress",stdsurvey[[#This Row],[perceived_stress_scale]]&lt;=40,"High Stress")</f>
        <v>Low Stress</v>
      </c>
      <c r="P7">
        <v>92.5</v>
      </c>
      <c r="Q7">
        <v>5</v>
      </c>
      <c r="R7" s="4" t="str" cm="1">
        <f t="array" ref="R7">_xlfn.IFS(stdsurvey[[#This Row],[class_attendance_percent]]&lt;60,"Less than 0%",stdsurvey[[#This Row],[class_attendance_percent]]&lt;70,"60-70 %",stdsurvey[[#This Row],[class_attendance_percent]]&lt;80, "70-80%",stdsurvey[[#This Row],[class_attendance_percent]]&lt;90,"80-90%",TRUE,"More than 90%")</f>
        <v>More than 90%</v>
      </c>
      <c r="S7" t="s">
        <v>22</v>
      </c>
      <c r="T7">
        <v>3</v>
      </c>
      <c r="U7" t="s">
        <v>23</v>
      </c>
      <c r="V7">
        <v>3.27</v>
      </c>
      <c r="W7" s="4" t="str" cm="1">
        <f t="array" ref="W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7" s="4" t="str" cm="1">
        <f t="array" ref="X7">_xlfn.IFS(stdsurvey[[#This Row],[daily_sleep_hours]]&lt;4,"&lt; 4 hrs",stdsurvey[[#This Row],[daily_sleep_hours]]&lt;=6,"4-6 hrs",stdsurvey[[#This Row],[daily_sleep_hours]]&lt;=8,"6-8 hrs",TRUE,"&gt; 8 hrs")</f>
        <v>4-6 hrs</v>
      </c>
      <c r="Y7" t="s">
        <v>29</v>
      </c>
    </row>
    <row r="8" spans="1:25" x14ac:dyDescent="0.3">
      <c r="A8" t="s">
        <v>31</v>
      </c>
      <c r="B8">
        <v>23</v>
      </c>
      <c r="C8" t="s">
        <v>27</v>
      </c>
      <c r="D8">
        <v>2</v>
      </c>
      <c r="E8" t="s">
        <v>32</v>
      </c>
      <c r="F8">
        <v>3.8</v>
      </c>
      <c r="G8">
        <v>2</v>
      </c>
      <c r="H8">
        <v>6</v>
      </c>
      <c r="I8">
        <v>4</v>
      </c>
      <c r="J8">
        <v>6</v>
      </c>
      <c r="K8" s="4" t="str" cm="1">
        <f t="array" ref="K8">_xlfn.IFS(stdsurvey[[#This Row],[phq9_score]]="","Answer Not Provided",stdsurvey[[#This Row],[phq9_score]]&lt;=4,"Minimal",stdsurvey[[#This Row],[phq9_score]]&lt;=9,"Mild",stdsurvey[[#This Row],[phq9_score]]&lt;=14,"Moderate",stdsurvey[[#This Row],[phq9_score]]&lt;=19,"Moderately Severe",stdsurvey[[#This Row],[phq9_score]]&lt;=27,"Severe")</f>
        <v>Minimal</v>
      </c>
      <c r="L8">
        <v>9</v>
      </c>
      <c r="M8" s="4" t="str" cm="1">
        <f t="array" ref="M8">_xlfn.IFS(stdsurvey[[#This Row],[gad7_score]]="","Answer Not Provided",stdsurvey[[#This Row],[gad7_score]]&lt;=4,"Minimal",stdsurvey[[#This Row],[gad7_score]]&lt;=9,"Mild",stdsurvey[[#This Row],[gad7_score]]&lt;=14,"Moderate",stdsurvey[[#This Row],[gad7_score]]&lt;=21,"Severe")</f>
        <v>Mild</v>
      </c>
      <c r="N8">
        <v>25.2</v>
      </c>
      <c r="O8" s="4" t="str" cm="1">
        <f t="array" ref="O8">_xlfn.IFS(stdsurvey[[#This Row],[perceived_stress_scale]]="","Answer Not Provided",stdsurvey[[#This Row],[perceived_stress_scale]]&lt;=13,"Low Stress",stdsurvey[[#This Row],[perceived_stress_scale]]&lt;=26,"Moderate Stress",stdsurvey[[#This Row],[perceived_stress_scale]]&lt;=40,"High Stress")</f>
        <v>Low Stress</v>
      </c>
      <c r="P8">
        <v>86.5</v>
      </c>
      <c r="Q8">
        <v>3</v>
      </c>
      <c r="R8" s="4" t="str" cm="1">
        <f t="array" ref="R8">_xlfn.IFS(stdsurvey[[#This Row],[class_attendance_percent]]&lt;60,"Less than 0%",stdsurvey[[#This Row],[class_attendance_percent]]&lt;70,"60-70 %",stdsurvey[[#This Row],[class_attendance_percent]]&lt;80, "70-80%",stdsurvey[[#This Row],[class_attendance_percent]]&lt;90,"80-90%",TRUE,"More than 90%")</f>
        <v>80-90%</v>
      </c>
      <c r="S8" t="s">
        <v>33</v>
      </c>
      <c r="T8">
        <v>2</v>
      </c>
      <c r="U8" t="s">
        <v>23</v>
      </c>
      <c r="V8">
        <v>3.09</v>
      </c>
      <c r="W8" s="4" t="str" cm="1">
        <f t="array" ref="W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 s="4" t="str" cm="1">
        <f t="array" ref="X8">_xlfn.IFS(stdsurvey[[#This Row],[daily_sleep_hours]]&lt;4,"&lt; 4 hrs",stdsurvey[[#This Row],[daily_sleep_hours]]&lt;=6,"4-6 hrs",stdsurvey[[#This Row],[daily_sleep_hours]]&lt;=8,"6-8 hrs",TRUE,"&gt; 8 hrs")</f>
        <v>&lt; 4 hrs</v>
      </c>
      <c r="Y8" t="s">
        <v>27</v>
      </c>
    </row>
    <row r="9" spans="1:25" x14ac:dyDescent="0.3">
      <c r="A9" t="s">
        <v>34</v>
      </c>
      <c r="B9">
        <v>17</v>
      </c>
      <c r="C9" t="s">
        <v>20</v>
      </c>
      <c r="D9">
        <v>5</v>
      </c>
      <c r="E9" t="s">
        <v>35</v>
      </c>
      <c r="F9">
        <v>5.8</v>
      </c>
      <c r="G9">
        <v>4.0999999999999996</v>
      </c>
      <c r="H9">
        <v>0</v>
      </c>
      <c r="I9">
        <v>10</v>
      </c>
      <c r="J9">
        <v>6</v>
      </c>
      <c r="K9" s="4" t="str" cm="1">
        <f t="array" ref="K9">_xlfn.IFS(stdsurvey[[#This Row],[phq9_score]]="","Answer Not Provided",stdsurvey[[#This Row],[phq9_score]]&lt;=4,"Minimal",stdsurvey[[#This Row],[phq9_score]]&lt;=9,"Mild",stdsurvey[[#This Row],[phq9_score]]&lt;=14,"Moderate",stdsurvey[[#This Row],[phq9_score]]&lt;=19,"Moderately Severe",stdsurvey[[#This Row],[phq9_score]]&lt;=27,"Severe")</f>
        <v>Moderate</v>
      </c>
      <c r="L9">
        <v>15</v>
      </c>
      <c r="M9" s="4" t="str" cm="1">
        <f t="array" ref="M9">_xlfn.IFS(stdsurvey[[#This Row],[gad7_score]]="","Answer Not Provided",stdsurvey[[#This Row],[gad7_score]]&lt;=4,"Minimal",stdsurvey[[#This Row],[gad7_score]]&lt;=9,"Mild",stdsurvey[[#This Row],[gad7_score]]&lt;=14,"Moderate",stdsurvey[[#This Row],[gad7_score]]&lt;=21,"Severe")</f>
        <v>Mild</v>
      </c>
      <c r="N9">
        <v>4.5999999999999996</v>
      </c>
      <c r="O9" s="4" t="str" cm="1">
        <f t="array" ref="O9">_xlfn.IFS(stdsurvey[[#This Row],[perceived_stress_scale]]="","Answer Not Provided",stdsurvey[[#This Row],[perceived_stress_scale]]&lt;=13,"Low Stress",stdsurvey[[#This Row],[perceived_stress_scale]]&lt;=26,"Moderate Stress",stdsurvey[[#This Row],[perceived_stress_scale]]&lt;=40,"High Stress")</f>
        <v>Moderate Stress</v>
      </c>
      <c r="P9">
        <v>83.9</v>
      </c>
      <c r="Q9">
        <v>5</v>
      </c>
      <c r="R9" s="4" t="str" cm="1">
        <f t="array" ref="R9">_xlfn.IFS(stdsurvey[[#This Row],[class_attendance_percent]]&lt;60,"Less than 0%",stdsurvey[[#This Row],[class_attendance_percent]]&lt;70,"60-70 %",stdsurvey[[#This Row],[class_attendance_percent]]&lt;80, "70-80%",stdsurvey[[#This Row],[class_attendance_percent]]&lt;90,"80-90%",TRUE,"More than 90%")</f>
        <v>80-90%</v>
      </c>
      <c r="S9" t="s">
        <v>33</v>
      </c>
      <c r="T9">
        <v>3</v>
      </c>
      <c r="U9" t="s">
        <v>23</v>
      </c>
      <c r="V9">
        <v>2.2799999999999998</v>
      </c>
      <c r="W9" s="4" t="str" cm="1">
        <f t="array" ref="W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9" s="4" t="str" cm="1">
        <f t="array" ref="X9">_xlfn.IFS(stdsurvey[[#This Row],[daily_sleep_hours]]&lt;4,"&lt; 4 hrs",stdsurvey[[#This Row],[daily_sleep_hours]]&lt;=6,"4-6 hrs",stdsurvey[[#This Row],[daily_sleep_hours]]&lt;=8,"6-8 hrs",TRUE,"&gt; 8 hrs")</f>
        <v>4-6 hrs</v>
      </c>
      <c r="Y9" t="s">
        <v>20</v>
      </c>
    </row>
    <row r="10" spans="1:25" x14ac:dyDescent="0.3">
      <c r="A10" t="s">
        <v>36</v>
      </c>
      <c r="B10">
        <v>19</v>
      </c>
      <c r="C10" t="s">
        <v>20</v>
      </c>
      <c r="D10">
        <v>2</v>
      </c>
      <c r="E10" t="s">
        <v>21</v>
      </c>
      <c r="F10">
        <v>5.2</v>
      </c>
      <c r="G10">
        <v>5.8</v>
      </c>
      <c r="H10">
        <v>4</v>
      </c>
      <c r="I10">
        <v>5</v>
      </c>
      <c r="J10">
        <v>5</v>
      </c>
      <c r="K10" s="4" t="str" cm="1">
        <f t="array" ref="K10">_xlfn.IFS(stdsurvey[[#This Row],[phq9_score]]="","Answer Not Provided",stdsurvey[[#This Row],[phq9_score]]&lt;=4,"Minimal",stdsurvey[[#This Row],[phq9_score]]&lt;=9,"Mild",stdsurvey[[#This Row],[phq9_score]]&lt;=14,"Moderate",stdsurvey[[#This Row],[phq9_score]]&lt;=19,"Moderately Severe",stdsurvey[[#This Row],[phq9_score]]&lt;=27,"Severe")</f>
        <v>Mild</v>
      </c>
      <c r="L10">
        <v>8</v>
      </c>
      <c r="M10" s="4" t="str" cm="1">
        <f t="array" ref="M10">_xlfn.IFS(stdsurvey[[#This Row],[gad7_score]]="","Answer Not Provided",stdsurvey[[#This Row],[gad7_score]]&lt;=4,"Minimal",stdsurvey[[#This Row],[gad7_score]]&lt;=9,"Mild",stdsurvey[[#This Row],[gad7_score]]&lt;=14,"Moderate",stdsurvey[[#This Row],[gad7_score]]&lt;=21,"Severe")</f>
        <v>Mild</v>
      </c>
      <c r="N10">
        <v>12.5</v>
      </c>
      <c r="O10" s="4" t="str" cm="1">
        <f t="array" ref="O10">_xlfn.IFS(stdsurvey[[#This Row],[perceived_stress_scale]]="","Answer Not Provided",stdsurvey[[#This Row],[perceived_stress_scale]]&lt;=13,"Low Stress",stdsurvey[[#This Row],[perceived_stress_scale]]&lt;=26,"Moderate Stress",stdsurvey[[#This Row],[perceived_stress_scale]]&lt;=40,"High Stress")</f>
        <v>Low Stress</v>
      </c>
      <c r="P10">
        <v>78.400000000000006</v>
      </c>
      <c r="Q10">
        <v>2</v>
      </c>
      <c r="R10" s="4" t="str" cm="1">
        <f t="array" ref="R10">_xlfn.IFS(stdsurvey[[#This Row],[class_attendance_percent]]&lt;60,"Less than 0%",stdsurvey[[#This Row],[class_attendance_percent]]&lt;70,"60-70 %",stdsurvey[[#This Row],[class_attendance_percent]]&lt;80, "70-80%",stdsurvey[[#This Row],[class_attendance_percent]]&lt;90,"80-90%",TRUE,"More than 90%")</f>
        <v>70-80%</v>
      </c>
      <c r="S10" t="s">
        <v>22</v>
      </c>
      <c r="T10">
        <v>3</v>
      </c>
      <c r="U10" t="s">
        <v>23</v>
      </c>
      <c r="V10">
        <v>2.69</v>
      </c>
      <c r="W10" s="4" t="str" cm="1">
        <f t="array" ref="W1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0" s="4" t="str" cm="1">
        <f t="array" ref="X10">_xlfn.IFS(stdsurvey[[#This Row],[daily_sleep_hours]]&lt;4,"&lt; 4 hrs",stdsurvey[[#This Row],[daily_sleep_hours]]&lt;=6,"4-6 hrs",stdsurvey[[#This Row],[daily_sleep_hours]]&lt;=8,"6-8 hrs",TRUE,"&gt; 8 hrs")</f>
        <v>4-6 hrs</v>
      </c>
      <c r="Y10" t="s">
        <v>20</v>
      </c>
    </row>
    <row r="11" spans="1:25" x14ac:dyDescent="0.3">
      <c r="A11" t="s">
        <v>37</v>
      </c>
      <c r="B11">
        <v>22</v>
      </c>
      <c r="C11" t="s">
        <v>27</v>
      </c>
      <c r="D11">
        <v>3</v>
      </c>
      <c r="E11" t="s">
        <v>32</v>
      </c>
      <c r="F11">
        <v>4.3</v>
      </c>
      <c r="G11">
        <v>4.5999999999999996</v>
      </c>
      <c r="H11">
        <v>4</v>
      </c>
      <c r="I11">
        <v>3</v>
      </c>
      <c r="J11">
        <v>3</v>
      </c>
      <c r="K11" s="4" t="str" cm="1">
        <f t="array" ref="K11">_xlfn.IFS(stdsurvey[[#This Row],[phq9_score]]="","Answer Not Provided",stdsurvey[[#This Row],[phq9_score]]&lt;=4,"Minimal",stdsurvey[[#This Row],[phq9_score]]&lt;=9,"Mild",stdsurvey[[#This Row],[phq9_score]]&lt;=14,"Moderate",stdsurvey[[#This Row],[phq9_score]]&lt;=19,"Moderately Severe",stdsurvey[[#This Row],[phq9_score]]&lt;=27,"Severe")</f>
        <v>Minimal</v>
      </c>
      <c r="L11">
        <v>5</v>
      </c>
      <c r="M11" s="4" t="str" cm="1">
        <f t="array" ref="M11">_xlfn.IFS(stdsurvey[[#This Row],[gad7_score]]="","Answer Not Provided",stdsurvey[[#This Row],[gad7_score]]&lt;=4,"Minimal",stdsurvey[[#This Row],[gad7_score]]&lt;=9,"Mild",stdsurvey[[#This Row],[gad7_score]]&lt;=14,"Moderate",stdsurvey[[#This Row],[gad7_score]]&lt;=21,"Severe")</f>
        <v>Minimal</v>
      </c>
      <c r="N11">
        <v>20.8</v>
      </c>
      <c r="O11" s="4" t="str" cm="1">
        <f t="array" ref="O11">_xlfn.IFS(stdsurvey[[#This Row],[perceived_stress_scale]]="","Answer Not Provided",stdsurvey[[#This Row],[perceived_stress_scale]]&lt;=13,"Low Stress",stdsurvey[[#This Row],[perceived_stress_scale]]&lt;=26,"Moderate Stress",stdsurvey[[#This Row],[perceived_stress_scale]]&lt;=40,"High Stress")</f>
        <v>Low Stress</v>
      </c>
      <c r="P11">
        <v>75.5</v>
      </c>
      <c r="Q11">
        <v>4</v>
      </c>
      <c r="R11" s="4" t="str" cm="1">
        <f t="array" ref="R11">_xlfn.IFS(stdsurvey[[#This Row],[class_attendance_percent]]&lt;60,"Less than 0%",stdsurvey[[#This Row],[class_attendance_percent]]&lt;70,"60-70 %",stdsurvey[[#This Row],[class_attendance_percent]]&lt;80, "70-80%",stdsurvey[[#This Row],[class_attendance_percent]]&lt;90,"80-90%",TRUE,"More than 90%")</f>
        <v>70-80%</v>
      </c>
      <c r="S11" t="s">
        <v>22</v>
      </c>
      <c r="T11">
        <v>3</v>
      </c>
      <c r="U11" t="s">
        <v>26</v>
      </c>
      <c r="V11">
        <v>2.9</v>
      </c>
      <c r="W11" s="4" t="str" cm="1">
        <f t="array" ref="W1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1" s="4" t="str" cm="1">
        <f t="array" ref="X11">_xlfn.IFS(stdsurvey[[#This Row],[daily_sleep_hours]]&lt;4,"&lt; 4 hrs",stdsurvey[[#This Row],[daily_sleep_hours]]&lt;=6,"4-6 hrs",stdsurvey[[#This Row],[daily_sleep_hours]]&lt;=8,"6-8 hrs",TRUE,"&gt; 8 hrs")</f>
        <v>4-6 hrs</v>
      </c>
      <c r="Y11" t="s">
        <v>27</v>
      </c>
    </row>
    <row r="12" spans="1:25" x14ac:dyDescent="0.3">
      <c r="A12" t="s">
        <v>38</v>
      </c>
      <c r="B12">
        <v>21</v>
      </c>
      <c r="C12" t="s">
        <v>39</v>
      </c>
      <c r="D12">
        <v>1</v>
      </c>
      <c r="E12" t="s">
        <v>30</v>
      </c>
      <c r="F12">
        <v>8.3000000000000007</v>
      </c>
      <c r="G12">
        <v>5.3</v>
      </c>
      <c r="H12">
        <v>0</v>
      </c>
      <c r="I12">
        <v>27</v>
      </c>
      <c r="J12">
        <v>19</v>
      </c>
      <c r="K12" s="4" t="str" cm="1">
        <f t="array" ref="K12">_xlfn.IFS(stdsurvey[[#This Row],[phq9_score]]="","Answer Not Provided",stdsurvey[[#This Row],[phq9_score]]&lt;=4,"Minimal",stdsurvey[[#This Row],[phq9_score]]&lt;=9,"Mild",stdsurvey[[#This Row],[phq9_score]]&lt;=14,"Moderate",stdsurvey[[#This Row],[phq9_score]]&lt;=19,"Moderately Severe",stdsurvey[[#This Row],[phq9_score]]&lt;=27,"Severe")</f>
        <v>Severe</v>
      </c>
      <c r="L12">
        <v>28</v>
      </c>
      <c r="M12" s="4" t="str" cm="1">
        <f t="array" ref="M12">_xlfn.IFS(stdsurvey[[#This Row],[gad7_score]]="","Answer Not Provided",stdsurvey[[#This Row],[gad7_score]]&lt;=4,"Minimal",stdsurvey[[#This Row],[gad7_score]]&lt;=9,"Mild",stdsurvey[[#This Row],[gad7_score]]&lt;=14,"Moderate",stdsurvey[[#This Row],[gad7_score]]&lt;=21,"Severe")</f>
        <v>Severe</v>
      </c>
      <c r="N12">
        <v>24.6</v>
      </c>
      <c r="O12" s="4" t="str" cm="1">
        <f t="array" ref="O12">_xlfn.IFS(stdsurvey[[#This Row],[perceived_stress_scale]]="","Answer Not Provided",stdsurvey[[#This Row],[perceived_stress_scale]]&lt;=13,"Low Stress",stdsurvey[[#This Row],[perceived_stress_scale]]&lt;=26,"Moderate Stress",stdsurvey[[#This Row],[perceived_stress_scale]]&lt;=40,"High Stress")</f>
        <v>High Stress</v>
      </c>
      <c r="P12">
        <v>71.2</v>
      </c>
      <c r="Q12">
        <v>2</v>
      </c>
      <c r="R12" s="4" t="str" cm="1">
        <f t="array" ref="R12">_xlfn.IFS(stdsurvey[[#This Row],[class_attendance_percent]]&lt;60,"Less than 0%",stdsurvey[[#This Row],[class_attendance_percent]]&lt;70,"60-70 %",stdsurvey[[#This Row],[class_attendance_percent]]&lt;80, "70-80%",stdsurvey[[#This Row],[class_attendance_percent]]&lt;90,"80-90%",TRUE,"More than 90%")</f>
        <v>70-80%</v>
      </c>
      <c r="S12" t="s">
        <v>22</v>
      </c>
      <c r="T12">
        <v>5</v>
      </c>
      <c r="U12" t="s">
        <v>26</v>
      </c>
      <c r="W12" s="4" t="str" cm="1">
        <f t="array" ref="W1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2" s="4" t="str" cm="1">
        <f t="array" ref="X12">_xlfn.IFS(stdsurvey[[#This Row],[daily_sleep_hours]]&lt;4,"&lt; 4 hrs",stdsurvey[[#This Row],[daily_sleep_hours]]&lt;=6,"4-6 hrs",stdsurvey[[#This Row],[daily_sleep_hours]]&lt;=8,"6-8 hrs",TRUE,"&gt; 8 hrs")</f>
        <v>&gt; 8 hrs</v>
      </c>
      <c r="Y12" t="s">
        <v>27</v>
      </c>
    </row>
    <row r="13" spans="1:25" x14ac:dyDescent="0.3">
      <c r="A13" t="s">
        <v>40</v>
      </c>
      <c r="B13">
        <v>21</v>
      </c>
      <c r="C13" t="s">
        <v>20</v>
      </c>
      <c r="D13">
        <v>2</v>
      </c>
      <c r="E13" t="s">
        <v>30</v>
      </c>
      <c r="F13">
        <v>6.8</v>
      </c>
      <c r="G13">
        <v>2.2999999999999998</v>
      </c>
      <c r="H13">
        <v>1</v>
      </c>
      <c r="I13">
        <v>7</v>
      </c>
      <c r="J13">
        <v>8</v>
      </c>
      <c r="K13" s="4" t="str" cm="1">
        <f t="array" ref="K13">_xlfn.IFS(stdsurvey[[#This Row],[phq9_score]]="","Answer Not Provided",stdsurvey[[#This Row],[phq9_score]]&lt;=4,"Minimal",stdsurvey[[#This Row],[phq9_score]]&lt;=9,"Mild",stdsurvey[[#This Row],[phq9_score]]&lt;=14,"Moderate",stdsurvey[[#This Row],[phq9_score]]&lt;=19,"Moderately Severe",stdsurvey[[#This Row],[phq9_score]]&lt;=27,"Severe")</f>
        <v>Mild</v>
      </c>
      <c r="L13">
        <v>12</v>
      </c>
      <c r="M13" s="4" t="str" cm="1">
        <f t="array" ref="M13">_xlfn.IFS(stdsurvey[[#This Row],[gad7_score]]="","Answer Not Provided",stdsurvey[[#This Row],[gad7_score]]&lt;=4,"Minimal",stdsurvey[[#This Row],[gad7_score]]&lt;=9,"Mild",stdsurvey[[#This Row],[gad7_score]]&lt;=14,"Moderate",stdsurvey[[#This Row],[gad7_score]]&lt;=21,"Severe")</f>
        <v>Mild</v>
      </c>
      <c r="N13">
        <v>32.700000000000003</v>
      </c>
      <c r="O13" s="4" t="str" cm="1">
        <f t="array" ref="O13">_xlfn.IFS(stdsurvey[[#This Row],[perceived_stress_scale]]="","Answer Not Provided",stdsurvey[[#This Row],[perceived_stress_scale]]&lt;=13,"Low Stress",stdsurvey[[#This Row],[perceived_stress_scale]]&lt;=26,"Moderate Stress",stdsurvey[[#This Row],[perceived_stress_scale]]&lt;=40,"High Stress")</f>
        <v>Low Stress</v>
      </c>
      <c r="P13">
        <v>96</v>
      </c>
      <c r="Q13">
        <v>5</v>
      </c>
      <c r="R13" s="4" t="str" cm="1">
        <f t="array" ref="R13">_xlfn.IFS(stdsurvey[[#This Row],[class_attendance_percent]]&lt;60,"Less than 0%",stdsurvey[[#This Row],[class_attendance_percent]]&lt;70,"60-70 %",stdsurvey[[#This Row],[class_attendance_percent]]&lt;80, "70-80%",stdsurvey[[#This Row],[class_attendance_percent]]&lt;90,"80-90%",TRUE,"More than 90%")</f>
        <v>More than 90%</v>
      </c>
      <c r="S13" t="s">
        <v>22</v>
      </c>
      <c r="T13">
        <v>4</v>
      </c>
      <c r="U13" t="s">
        <v>23</v>
      </c>
      <c r="V13">
        <v>3.18</v>
      </c>
      <c r="W13" s="4" t="str" cm="1">
        <f t="array" ref="W1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3" s="4" t="str" cm="1">
        <f t="array" ref="X13">_xlfn.IFS(stdsurvey[[#This Row],[daily_sleep_hours]]&lt;4,"&lt; 4 hrs",stdsurvey[[#This Row],[daily_sleep_hours]]&lt;=6,"4-6 hrs",stdsurvey[[#This Row],[daily_sleep_hours]]&lt;=8,"6-8 hrs",TRUE,"&gt; 8 hrs")</f>
        <v>6-8 hrs</v>
      </c>
      <c r="Y13" t="s">
        <v>20</v>
      </c>
    </row>
    <row r="14" spans="1:25" x14ac:dyDescent="0.3">
      <c r="A14" t="s">
        <v>41</v>
      </c>
      <c r="B14">
        <v>20</v>
      </c>
      <c r="C14" t="s">
        <v>20</v>
      </c>
      <c r="D14">
        <v>4</v>
      </c>
      <c r="E14" t="s">
        <v>30</v>
      </c>
      <c r="F14">
        <v>6.6</v>
      </c>
      <c r="G14">
        <v>5.9</v>
      </c>
      <c r="H14">
        <v>2</v>
      </c>
      <c r="I14">
        <v>6</v>
      </c>
      <c r="J14">
        <v>7</v>
      </c>
      <c r="K14" s="4" t="str" cm="1">
        <f t="array" ref="K14">_xlfn.IFS(stdsurvey[[#This Row],[phq9_score]]="","Answer Not Provided",stdsurvey[[#This Row],[phq9_score]]&lt;=4,"Minimal",stdsurvey[[#This Row],[phq9_score]]&lt;=9,"Mild",stdsurvey[[#This Row],[phq9_score]]&lt;=14,"Moderate",stdsurvey[[#This Row],[phq9_score]]&lt;=19,"Moderately Severe",stdsurvey[[#This Row],[phq9_score]]&lt;=27,"Severe")</f>
        <v>Mild</v>
      </c>
      <c r="L14">
        <v>13</v>
      </c>
      <c r="M14" s="4" t="str" cm="1">
        <f t="array" ref="M14">_xlfn.IFS(stdsurvey[[#This Row],[gad7_score]]="","Answer Not Provided",stdsurvey[[#This Row],[gad7_score]]&lt;=4,"Minimal",stdsurvey[[#This Row],[gad7_score]]&lt;=9,"Mild",stdsurvey[[#This Row],[gad7_score]]&lt;=14,"Moderate",stdsurvey[[#This Row],[gad7_score]]&lt;=21,"Severe")</f>
        <v>Mild</v>
      </c>
      <c r="N14">
        <v>20.8</v>
      </c>
      <c r="O14" s="4" t="str" cm="1">
        <f t="array" ref="O14">_xlfn.IFS(stdsurvey[[#This Row],[perceived_stress_scale]]="","Answer Not Provided",stdsurvey[[#This Row],[perceived_stress_scale]]&lt;=13,"Low Stress",stdsurvey[[#This Row],[perceived_stress_scale]]&lt;=26,"Moderate Stress",stdsurvey[[#This Row],[perceived_stress_scale]]&lt;=40,"High Stress")</f>
        <v>Low Stress</v>
      </c>
      <c r="P14">
        <v>97.1</v>
      </c>
      <c r="Q14">
        <v>5</v>
      </c>
      <c r="R14" s="4" t="str" cm="1">
        <f t="array" ref="R14">_xlfn.IFS(stdsurvey[[#This Row],[class_attendance_percent]]&lt;60,"Less than 0%",stdsurvey[[#This Row],[class_attendance_percent]]&lt;70,"60-70 %",stdsurvey[[#This Row],[class_attendance_percent]]&lt;80, "70-80%",stdsurvey[[#This Row],[class_attendance_percent]]&lt;90,"80-90%",TRUE,"More than 90%")</f>
        <v>More than 90%</v>
      </c>
      <c r="S14" t="s">
        <v>22</v>
      </c>
      <c r="T14">
        <v>4</v>
      </c>
      <c r="U14" t="s">
        <v>26</v>
      </c>
      <c r="V14">
        <v>3.11</v>
      </c>
      <c r="W14" s="4" t="str" cm="1">
        <f t="array" ref="W1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4" s="4" t="str" cm="1">
        <f t="array" ref="X14">_xlfn.IFS(stdsurvey[[#This Row],[daily_sleep_hours]]&lt;4,"&lt; 4 hrs",stdsurvey[[#This Row],[daily_sleep_hours]]&lt;=6,"4-6 hrs",stdsurvey[[#This Row],[daily_sleep_hours]]&lt;=8,"6-8 hrs",TRUE,"&gt; 8 hrs")</f>
        <v>6-8 hrs</v>
      </c>
      <c r="Y14" t="s">
        <v>20</v>
      </c>
    </row>
    <row r="15" spans="1:25" x14ac:dyDescent="0.3">
      <c r="A15" t="s">
        <v>42</v>
      </c>
      <c r="B15">
        <v>23</v>
      </c>
      <c r="C15" t="s">
        <v>27</v>
      </c>
      <c r="D15">
        <v>3</v>
      </c>
      <c r="E15" t="s">
        <v>30</v>
      </c>
      <c r="F15">
        <v>6.1</v>
      </c>
      <c r="G15">
        <v>1.1000000000000001</v>
      </c>
      <c r="H15">
        <v>5</v>
      </c>
      <c r="I15">
        <v>8</v>
      </c>
      <c r="J15">
        <v>6</v>
      </c>
      <c r="K15" s="4" t="str" cm="1">
        <f t="array" ref="K15">_xlfn.IFS(stdsurvey[[#This Row],[phq9_score]]="","Answer Not Provided",stdsurvey[[#This Row],[phq9_score]]&lt;=4,"Minimal",stdsurvey[[#This Row],[phq9_score]]&lt;=9,"Mild",stdsurvey[[#This Row],[phq9_score]]&lt;=14,"Moderate",stdsurvey[[#This Row],[phq9_score]]&lt;=19,"Moderately Severe",stdsurvey[[#This Row],[phq9_score]]&lt;=27,"Severe")</f>
        <v>Mild</v>
      </c>
      <c r="L15">
        <v>7</v>
      </c>
      <c r="M15" s="4" t="str" cm="1">
        <f t="array" ref="M15">_xlfn.IFS(stdsurvey[[#This Row],[gad7_score]]="","Answer Not Provided",stdsurvey[[#This Row],[gad7_score]]&lt;=4,"Minimal",stdsurvey[[#This Row],[gad7_score]]&lt;=9,"Mild",stdsurvey[[#This Row],[gad7_score]]&lt;=14,"Moderate",stdsurvey[[#This Row],[gad7_score]]&lt;=21,"Severe")</f>
        <v>Mild</v>
      </c>
      <c r="N15">
        <v>31.6</v>
      </c>
      <c r="O15" s="4" t="str" cm="1">
        <f t="array" ref="O15">_xlfn.IFS(stdsurvey[[#This Row],[perceived_stress_scale]]="","Answer Not Provided",stdsurvey[[#This Row],[perceived_stress_scale]]&lt;=13,"Low Stress",stdsurvey[[#This Row],[perceived_stress_scale]]&lt;=26,"Moderate Stress",stdsurvey[[#This Row],[perceived_stress_scale]]&lt;=40,"High Stress")</f>
        <v>Low Stress</v>
      </c>
      <c r="P15">
        <v>65.599999999999994</v>
      </c>
      <c r="Q15">
        <v>3</v>
      </c>
      <c r="R15" s="4" t="str" cm="1">
        <f t="array" ref="R15">_xlfn.IFS(stdsurvey[[#This Row],[class_attendance_percent]]&lt;60,"Less than 0%",stdsurvey[[#This Row],[class_attendance_percent]]&lt;70,"60-70 %",stdsurvey[[#This Row],[class_attendance_percent]]&lt;80, "70-80%",stdsurvey[[#This Row],[class_attendance_percent]]&lt;90,"80-90%",TRUE,"More than 90%")</f>
        <v>60-70 %</v>
      </c>
      <c r="S15" t="s">
        <v>22</v>
      </c>
      <c r="T15">
        <v>3</v>
      </c>
      <c r="U15" t="s">
        <v>23</v>
      </c>
      <c r="V15">
        <v>2.85</v>
      </c>
      <c r="W15" s="4" t="str" cm="1">
        <f t="array" ref="W1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5" s="4" t="str" cm="1">
        <f t="array" ref="X15">_xlfn.IFS(stdsurvey[[#This Row],[daily_sleep_hours]]&lt;4,"&lt; 4 hrs",stdsurvey[[#This Row],[daily_sleep_hours]]&lt;=6,"4-6 hrs",stdsurvey[[#This Row],[daily_sleep_hours]]&lt;=8,"6-8 hrs",TRUE,"&gt; 8 hrs")</f>
        <v>6-8 hrs</v>
      </c>
      <c r="Y15" t="s">
        <v>27</v>
      </c>
    </row>
    <row r="16" spans="1:25" x14ac:dyDescent="0.3">
      <c r="A16" t="s">
        <v>43</v>
      </c>
      <c r="B16">
        <v>23</v>
      </c>
      <c r="C16" t="s">
        <v>27</v>
      </c>
      <c r="D16">
        <v>2</v>
      </c>
      <c r="E16" t="s">
        <v>35</v>
      </c>
      <c r="F16">
        <v>5.2</v>
      </c>
      <c r="G16">
        <v>9.1</v>
      </c>
      <c r="H16">
        <v>3</v>
      </c>
      <c r="I16">
        <v>4</v>
      </c>
      <c r="J16">
        <v>5</v>
      </c>
      <c r="K16" s="4" t="str" cm="1">
        <f t="array" ref="K16">_xlfn.IFS(stdsurvey[[#This Row],[phq9_score]]="","Answer Not Provided",stdsurvey[[#This Row],[phq9_score]]&lt;=4,"Minimal",stdsurvey[[#This Row],[phq9_score]]&lt;=9,"Mild",stdsurvey[[#This Row],[phq9_score]]&lt;=14,"Moderate",stdsurvey[[#This Row],[phq9_score]]&lt;=19,"Moderately Severe",stdsurvey[[#This Row],[phq9_score]]&lt;=27,"Severe")</f>
        <v>Minimal</v>
      </c>
      <c r="L16">
        <v>10</v>
      </c>
      <c r="M16" s="4" t="str" cm="1">
        <f t="array" ref="M16">_xlfn.IFS(stdsurvey[[#This Row],[gad7_score]]="","Answer Not Provided",stdsurvey[[#This Row],[gad7_score]]&lt;=4,"Minimal",stdsurvey[[#This Row],[gad7_score]]&lt;=9,"Mild",stdsurvey[[#This Row],[gad7_score]]&lt;=14,"Moderate",stdsurvey[[#This Row],[gad7_score]]&lt;=21,"Severe")</f>
        <v>Mild</v>
      </c>
      <c r="N16">
        <v>11.5</v>
      </c>
      <c r="O16" s="4" t="str" cm="1">
        <f t="array" ref="O16">_xlfn.IFS(stdsurvey[[#This Row],[perceived_stress_scale]]="","Answer Not Provided",stdsurvey[[#This Row],[perceived_stress_scale]]&lt;=13,"Low Stress",stdsurvey[[#This Row],[perceived_stress_scale]]&lt;=26,"Moderate Stress",stdsurvey[[#This Row],[perceived_stress_scale]]&lt;=40,"High Stress")</f>
        <v>Low Stress</v>
      </c>
      <c r="P16">
        <v>89</v>
      </c>
      <c r="Q16">
        <v>3</v>
      </c>
      <c r="R16" s="4" t="str" cm="1">
        <f t="array" ref="R16">_xlfn.IFS(stdsurvey[[#This Row],[class_attendance_percent]]&lt;60,"Less than 0%",stdsurvey[[#This Row],[class_attendance_percent]]&lt;70,"60-70 %",stdsurvey[[#This Row],[class_attendance_percent]]&lt;80, "70-80%",stdsurvey[[#This Row],[class_attendance_percent]]&lt;90,"80-90%",TRUE,"More than 90%")</f>
        <v>80-90%</v>
      </c>
      <c r="S16" t="s">
        <v>33</v>
      </c>
      <c r="T16">
        <v>5</v>
      </c>
      <c r="U16" t="s">
        <v>23</v>
      </c>
      <c r="V16">
        <v>2.4300000000000002</v>
      </c>
      <c r="W16" s="4" t="str" cm="1">
        <f t="array" ref="W1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6" s="4" t="str" cm="1">
        <f t="array" ref="X16">_xlfn.IFS(stdsurvey[[#This Row],[daily_sleep_hours]]&lt;4,"&lt; 4 hrs",stdsurvey[[#This Row],[daily_sleep_hours]]&lt;=6,"4-6 hrs",stdsurvey[[#This Row],[daily_sleep_hours]]&lt;=8,"6-8 hrs",TRUE,"&gt; 8 hrs")</f>
        <v>4-6 hrs</v>
      </c>
      <c r="Y16" t="s">
        <v>27</v>
      </c>
    </row>
    <row r="17" spans="1:25" x14ac:dyDescent="0.3">
      <c r="A17" t="s">
        <v>44</v>
      </c>
      <c r="B17">
        <v>22</v>
      </c>
      <c r="C17" t="s">
        <v>45</v>
      </c>
      <c r="D17">
        <v>5</v>
      </c>
      <c r="E17" t="s">
        <v>21</v>
      </c>
      <c r="F17">
        <v>8.1999999999999993</v>
      </c>
      <c r="G17">
        <v>1</v>
      </c>
      <c r="H17">
        <v>3</v>
      </c>
      <c r="K17" s="4" t="str" cm="1">
        <f t="array" ref="K17">_xlfn.IFS(stdsurvey[[#This Row],[phq9_score]]="","Answer Not Provided",stdsurvey[[#This Row],[phq9_score]]&lt;=4,"Minimal",stdsurvey[[#This Row],[phq9_score]]&lt;=9,"Mild",stdsurvey[[#This Row],[phq9_score]]&lt;=14,"Moderate",stdsurvey[[#This Row],[phq9_score]]&lt;=19,"Moderately Severe",stdsurvey[[#This Row],[phq9_score]]&lt;=27,"Severe")</f>
        <v>Answer Not Provided</v>
      </c>
      <c r="L17">
        <v>21</v>
      </c>
      <c r="M17" s="4" t="str" cm="1">
        <f t="array" ref="M17">_xlfn.IFS(stdsurvey[[#This Row],[gad7_score]]="","Answer Not Provided",stdsurvey[[#This Row],[gad7_score]]&lt;=4,"Minimal",stdsurvey[[#This Row],[gad7_score]]&lt;=9,"Mild",stdsurvey[[#This Row],[gad7_score]]&lt;=14,"Moderate",stdsurvey[[#This Row],[gad7_score]]&lt;=21,"Severe")</f>
        <v>Answer Not Provided</v>
      </c>
      <c r="N17">
        <v>24.5</v>
      </c>
      <c r="O17" s="4" t="str" cm="1">
        <f t="array" ref="O17">_xlfn.IFS(stdsurvey[[#This Row],[perceived_stress_scale]]="","Answer Not Provided",stdsurvey[[#This Row],[perceived_stress_scale]]&lt;=13,"Low Stress",stdsurvey[[#This Row],[perceived_stress_scale]]&lt;=26,"Moderate Stress",stdsurvey[[#This Row],[perceived_stress_scale]]&lt;=40,"High Stress")</f>
        <v>Moderate Stress</v>
      </c>
      <c r="P17">
        <v>71.8</v>
      </c>
      <c r="Q17">
        <v>4</v>
      </c>
      <c r="R17" s="4" t="str" cm="1">
        <f t="array" ref="R17">_xlfn.IFS(stdsurvey[[#This Row],[class_attendance_percent]]&lt;60,"Less than 0%",stdsurvey[[#This Row],[class_attendance_percent]]&lt;70,"60-70 %",stdsurvey[[#This Row],[class_attendance_percent]]&lt;80, "70-80%",stdsurvey[[#This Row],[class_attendance_percent]]&lt;90,"80-90%",TRUE,"More than 90%")</f>
        <v>70-80%</v>
      </c>
      <c r="S17" t="s">
        <v>22</v>
      </c>
      <c r="T17">
        <v>2</v>
      </c>
      <c r="U17" t="s">
        <v>23</v>
      </c>
      <c r="V17">
        <v>3.13</v>
      </c>
      <c r="W17" s="4" t="str" cm="1">
        <f t="array" ref="W1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7" s="4" t="str" cm="1">
        <f t="array" ref="X17">_xlfn.IFS(stdsurvey[[#This Row],[daily_sleep_hours]]&lt;4,"&lt; 4 hrs",stdsurvey[[#This Row],[daily_sleep_hours]]&lt;=6,"4-6 hrs",stdsurvey[[#This Row],[daily_sleep_hours]]&lt;=8,"6-8 hrs",TRUE,"&gt; 8 hrs")</f>
        <v>&gt; 8 hrs</v>
      </c>
      <c r="Y17" t="s">
        <v>20</v>
      </c>
    </row>
    <row r="18" spans="1:25" x14ac:dyDescent="0.3">
      <c r="A18" t="s">
        <v>46</v>
      </c>
      <c r="B18">
        <v>24</v>
      </c>
      <c r="C18" t="s">
        <v>27</v>
      </c>
      <c r="D18">
        <v>4</v>
      </c>
      <c r="E18" t="s">
        <v>47</v>
      </c>
      <c r="F18">
        <v>6.4</v>
      </c>
      <c r="G18">
        <v>2.9</v>
      </c>
      <c r="H18">
        <v>4</v>
      </c>
      <c r="I18">
        <v>7</v>
      </c>
      <c r="J18">
        <v>5</v>
      </c>
      <c r="K18" s="4" t="str" cm="1">
        <f t="array" ref="K18">_xlfn.IFS(stdsurvey[[#This Row],[phq9_score]]="","Answer Not Provided",stdsurvey[[#This Row],[phq9_score]]&lt;=4,"Minimal",stdsurvey[[#This Row],[phq9_score]]&lt;=9,"Mild",stdsurvey[[#This Row],[phq9_score]]&lt;=14,"Moderate",stdsurvey[[#This Row],[phq9_score]]&lt;=19,"Moderately Severe",stdsurvey[[#This Row],[phq9_score]]&lt;=27,"Severe")</f>
        <v>Mild</v>
      </c>
      <c r="L18">
        <v>15</v>
      </c>
      <c r="M18" s="4" t="str" cm="1">
        <f t="array" ref="M18">_xlfn.IFS(stdsurvey[[#This Row],[gad7_score]]="","Answer Not Provided",stdsurvey[[#This Row],[gad7_score]]&lt;=4,"Minimal",stdsurvey[[#This Row],[gad7_score]]&lt;=9,"Mild",stdsurvey[[#This Row],[gad7_score]]&lt;=14,"Moderate",stdsurvey[[#This Row],[gad7_score]]&lt;=21,"Severe")</f>
        <v>Mild</v>
      </c>
      <c r="N18">
        <v>11.4</v>
      </c>
      <c r="O18" s="4" t="str" cm="1">
        <f t="array" ref="O18">_xlfn.IFS(stdsurvey[[#This Row],[perceived_stress_scale]]="","Answer Not Provided",stdsurvey[[#This Row],[perceived_stress_scale]]&lt;=13,"Low Stress",stdsurvey[[#This Row],[perceived_stress_scale]]&lt;=26,"Moderate Stress",stdsurvey[[#This Row],[perceived_stress_scale]]&lt;=40,"High Stress")</f>
        <v>Moderate Stress</v>
      </c>
      <c r="P18">
        <v>86.2</v>
      </c>
      <c r="Q18">
        <v>3</v>
      </c>
      <c r="R18" s="4" t="str" cm="1">
        <f t="array" ref="R18">_xlfn.IFS(stdsurvey[[#This Row],[class_attendance_percent]]&lt;60,"Less than 0%",stdsurvey[[#This Row],[class_attendance_percent]]&lt;70,"60-70 %",stdsurvey[[#This Row],[class_attendance_percent]]&lt;80, "70-80%",stdsurvey[[#This Row],[class_attendance_percent]]&lt;90,"80-90%",TRUE,"More than 90%")</f>
        <v>80-90%</v>
      </c>
      <c r="S18" t="s">
        <v>22</v>
      </c>
      <c r="T18">
        <v>2</v>
      </c>
      <c r="U18" t="s">
        <v>23</v>
      </c>
      <c r="V18">
        <v>3.1</v>
      </c>
      <c r="W18" s="4" t="str" cm="1">
        <f t="array" ref="W1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8" s="4" t="str" cm="1">
        <f t="array" ref="X18">_xlfn.IFS(stdsurvey[[#This Row],[daily_sleep_hours]]&lt;4,"&lt; 4 hrs",stdsurvey[[#This Row],[daily_sleep_hours]]&lt;=6,"4-6 hrs",stdsurvey[[#This Row],[daily_sleep_hours]]&lt;=8,"6-8 hrs",TRUE,"&gt; 8 hrs")</f>
        <v>6-8 hrs</v>
      </c>
      <c r="Y18" t="s">
        <v>27</v>
      </c>
    </row>
    <row r="19" spans="1:25" x14ac:dyDescent="0.3">
      <c r="A19" t="s">
        <v>48</v>
      </c>
      <c r="B19">
        <v>22</v>
      </c>
      <c r="C19" t="s">
        <v>27</v>
      </c>
      <c r="D19">
        <v>2</v>
      </c>
      <c r="E19" t="s">
        <v>49</v>
      </c>
      <c r="F19">
        <v>7.6</v>
      </c>
      <c r="G19">
        <v>4.0999999999999996</v>
      </c>
      <c r="H19">
        <v>4</v>
      </c>
      <c r="I19">
        <v>6</v>
      </c>
      <c r="J19">
        <v>6</v>
      </c>
      <c r="K19" s="4" t="str" cm="1">
        <f t="array" ref="K19">_xlfn.IFS(stdsurvey[[#This Row],[phq9_score]]="","Answer Not Provided",stdsurvey[[#This Row],[phq9_score]]&lt;=4,"Minimal",stdsurvey[[#This Row],[phq9_score]]&lt;=9,"Mild",stdsurvey[[#This Row],[phq9_score]]&lt;=14,"Moderate",stdsurvey[[#This Row],[phq9_score]]&lt;=19,"Moderately Severe",stdsurvey[[#This Row],[phq9_score]]&lt;=27,"Severe")</f>
        <v>Mild</v>
      </c>
      <c r="L19">
        <v>10</v>
      </c>
      <c r="M19" s="4" t="str" cm="1">
        <f t="array" ref="M19">_xlfn.IFS(stdsurvey[[#This Row],[gad7_score]]="","Answer Not Provided",stdsurvey[[#This Row],[gad7_score]]&lt;=4,"Minimal",stdsurvey[[#This Row],[gad7_score]]&lt;=9,"Mild",stdsurvey[[#This Row],[gad7_score]]&lt;=14,"Moderate",stdsurvey[[#This Row],[gad7_score]]&lt;=21,"Severe")</f>
        <v>Mild</v>
      </c>
      <c r="N19">
        <v>18.899999999999999</v>
      </c>
      <c r="O19" s="4" t="str" cm="1">
        <f t="array" ref="O19">_xlfn.IFS(stdsurvey[[#This Row],[perceived_stress_scale]]="","Answer Not Provided",stdsurvey[[#This Row],[perceived_stress_scale]]&lt;=13,"Low Stress",stdsurvey[[#This Row],[perceived_stress_scale]]&lt;=26,"Moderate Stress",stdsurvey[[#This Row],[perceived_stress_scale]]&lt;=40,"High Stress")</f>
        <v>Low Stress</v>
      </c>
      <c r="P19">
        <v>75.7</v>
      </c>
      <c r="Q19">
        <v>4</v>
      </c>
      <c r="R19" s="4" t="str" cm="1">
        <f t="array" ref="R19">_xlfn.IFS(stdsurvey[[#This Row],[class_attendance_percent]]&lt;60,"Less than 0%",stdsurvey[[#This Row],[class_attendance_percent]]&lt;70,"60-70 %",stdsurvey[[#This Row],[class_attendance_percent]]&lt;80, "70-80%",stdsurvey[[#This Row],[class_attendance_percent]]&lt;90,"80-90%",TRUE,"More than 90%")</f>
        <v>70-80%</v>
      </c>
      <c r="S19" t="s">
        <v>22</v>
      </c>
      <c r="T19">
        <v>1</v>
      </c>
      <c r="U19" t="s">
        <v>23</v>
      </c>
      <c r="V19">
        <v>4.0999999999999996</v>
      </c>
      <c r="W19" s="4" t="str" cm="1">
        <f t="array" ref="W1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9" s="4" t="str" cm="1">
        <f t="array" ref="X19">_xlfn.IFS(stdsurvey[[#This Row],[daily_sleep_hours]]&lt;4,"&lt; 4 hrs",stdsurvey[[#This Row],[daily_sleep_hours]]&lt;=6,"4-6 hrs",stdsurvey[[#This Row],[daily_sleep_hours]]&lt;=8,"6-8 hrs",TRUE,"&gt; 8 hrs")</f>
        <v>6-8 hrs</v>
      </c>
      <c r="Y19" t="s">
        <v>27</v>
      </c>
    </row>
    <row r="20" spans="1:25" x14ac:dyDescent="0.3">
      <c r="A20" t="s">
        <v>50</v>
      </c>
      <c r="B20">
        <v>20</v>
      </c>
      <c r="C20" t="s">
        <v>27</v>
      </c>
      <c r="D20">
        <v>3</v>
      </c>
      <c r="E20" t="s">
        <v>30</v>
      </c>
      <c r="F20">
        <v>5.5</v>
      </c>
      <c r="G20">
        <v>8.8000000000000007</v>
      </c>
      <c r="H20">
        <v>3</v>
      </c>
      <c r="I20">
        <v>27</v>
      </c>
      <c r="J20">
        <v>19</v>
      </c>
      <c r="K20" s="4" t="str" cm="1">
        <f t="array" ref="K20">_xlfn.IFS(stdsurvey[[#This Row],[phq9_score]]="","Answer Not Provided",stdsurvey[[#This Row],[phq9_score]]&lt;=4,"Minimal",stdsurvey[[#This Row],[phq9_score]]&lt;=9,"Mild",stdsurvey[[#This Row],[phq9_score]]&lt;=14,"Moderate",stdsurvey[[#This Row],[phq9_score]]&lt;=19,"Moderately Severe",stdsurvey[[#This Row],[phq9_score]]&lt;=27,"Severe")</f>
        <v>Severe</v>
      </c>
      <c r="L20">
        <v>27</v>
      </c>
      <c r="M20" s="4" t="str" cm="1">
        <f t="array" ref="M20">_xlfn.IFS(stdsurvey[[#This Row],[gad7_score]]="","Answer Not Provided",stdsurvey[[#This Row],[gad7_score]]&lt;=4,"Minimal",stdsurvey[[#This Row],[gad7_score]]&lt;=9,"Mild",stdsurvey[[#This Row],[gad7_score]]&lt;=14,"Moderate",stdsurvey[[#This Row],[gad7_score]]&lt;=21,"Severe")</f>
        <v>Severe</v>
      </c>
      <c r="N20">
        <v>1.5</v>
      </c>
      <c r="O20" s="4" t="str" cm="1">
        <f t="array" ref="O20">_xlfn.IFS(stdsurvey[[#This Row],[perceived_stress_scale]]="","Answer Not Provided",stdsurvey[[#This Row],[perceived_stress_scale]]&lt;=13,"Low Stress",stdsurvey[[#This Row],[perceived_stress_scale]]&lt;=26,"Moderate Stress",stdsurvey[[#This Row],[perceived_stress_scale]]&lt;=40,"High Stress")</f>
        <v>High Stress</v>
      </c>
      <c r="P20">
        <v>97.8</v>
      </c>
      <c r="R20" s="4" t="str" cm="1">
        <f t="array" ref="R20">_xlfn.IFS(stdsurvey[[#This Row],[class_attendance_percent]]&lt;60,"Less than 0%",stdsurvey[[#This Row],[class_attendance_percent]]&lt;70,"60-70 %",stdsurvey[[#This Row],[class_attendance_percent]]&lt;80, "70-80%",stdsurvey[[#This Row],[class_attendance_percent]]&lt;90,"80-90%",TRUE,"More than 90%")</f>
        <v>More than 90%</v>
      </c>
      <c r="S20" t="s">
        <v>22</v>
      </c>
      <c r="T20">
        <v>3</v>
      </c>
      <c r="U20" t="s">
        <v>51</v>
      </c>
      <c r="V20">
        <v>2.37</v>
      </c>
      <c r="W20" s="4" t="str" cm="1">
        <f t="array" ref="W2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0" s="4" t="str" cm="1">
        <f t="array" ref="X20">_xlfn.IFS(stdsurvey[[#This Row],[daily_sleep_hours]]&lt;4,"&lt; 4 hrs",stdsurvey[[#This Row],[daily_sleep_hours]]&lt;=6,"4-6 hrs",stdsurvey[[#This Row],[daily_sleep_hours]]&lt;=8,"6-8 hrs",TRUE,"&gt; 8 hrs")</f>
        <v>4-6 hrs</v>
      </c>
      <c r="Y20" t="s">
        <v>27</v>
      </c>
    </row>
    <row r="21" spans="1:25" x14ac:dyDescent="0.3">
      <c r="A21" t="s">
        <v>52</v>
      </c>
      <c r="B21">
        <v>22</v>
      </c>
      <c r="C21" t="s">
        <v>20</v>
      </c>
      <c r="D21">
        <v>3</v>
      </c>
      <c r="E21" t="s">
        <v>30</v>
      </c>
      <c r="F21">
        <v>5.9</v>
      </c>
      <c r="G21">
        <v>2</v>
      </c>
      <c r="H21">
        <v>3</v>
      </c>
      <c r="I21">
        <v>4</v>
      </c>
      <c r="J21">
        <v>4</v>
      </c>
      <c r="K21" s="4" t="str" cm="1">
        <f t="array" ref="K21">_xlfn.IFS(stdsurvey[[#This Row],[phq9_score]]="","Answer Not Provided",stdsurvey[[#This Row],[phq9_score]]&lt;=4,"Minimal",stdsurvey[[#This Row],[phq9_score]]&lt;=9,"Mild",stdsurvey[[#This Row],[phq9_score]]&lt;=14,"Moderate",stdsurvey[[#This Row],[phq9_score]]&lt;=19,"Moderately Severe",stdsurvey[[#This Row],[phq9_score]]&lt;=27,"Severe")</f>
        <v>Minimal</v>
      </c>
      <c r="L21">
        <v>11</v>
      </c>
      <c r="M21" s="4" t="str" cm="1">
        <f t="array" ref="M21">_xlfn.IFS(stdsurvey[[#This Row],[gad7_score]]="","Answer Not Provided",stdsurvey[[#This Row],[gad7_score]]&lt;=4,"Minimal",stdsurvey[[#This Row],[gad7_score]]&lt;=9,"Mild",stdsurvey[[#This Row],[gad7_score]]&lt;=14,"Moderate",stdsurvey[[#This Row],[gad7_score]]&lt;=21,"Severe")</f>
        <v>Minimal</v>
      </c>
      <c r="N21">
        <v>15.4</v>
      </c>
      <c r="O21" s="4" t="str" cm="1">
        <f t="array" ref="O21">_xlfn.IFS(stdsurvey[[#This Row],[perceived_stress_scale]]="","Answer Not Provided",stdsurvey[[#This Row],[perceived_stress_scale]]&lt;=13,"Low Stress",stdsurvey[[#This Row],[perceived_stress_scale]]&lt;=26,"Moderate Stress",stdsurvey[[#This Row],[perceived_stress_scale]]&lt;=40,"High Stress")</f>
        <v>Low Stress</v>
      </c>
      <c r="P21">
        <v>75.3</v>
      </c>
      <c r="Q21">
        <v>3</v>
      </c>
      <c r="R21" s="4" t="str" cm="1">
        <f t="array" ref="R21">_xlfn.IFS(stdsurvey[[#This Row],[class_attendance_percent]]&lt;60,"Less than 0%",stdsurvey[[#This Row],[class_attendance_percent]]&lt;70,"60-70 %",stdsurvey[[#This Row],[class_attendance_percent]]&lt;80, "70-80%",stdsurvey[[#This Row],[class_attendance_percent]]&lt;90,"80-90%",TRUE,"More than 90%")</f>
        <v>70-80%</v>
      </c>
      <c r="S21" t="s">
        <v>33</v>
      </c>
      <c r="T21">
        <v>3</v>
      </c>
      <c r="U21" t="s">
        <v>26</v>
      </c>
      <c r="V21">
        <v>3.37</v>
      </c>
      <c r="W21" s="4" t="str" cm="1">
        <f t="array" ref="W2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1" s="4" t="str" cm="1">
        <f t="array" ref="X21">_xlfn.IFS(stdsurvey[[#This Row],[daily_sleep_hours]]&lt;4,"&lt; 4 hrs",stdsurvey[[#This Row],[daily_sleep_hours]]&lt;=6,"4-6 hrs",stdsurvey[[#This Row],[daily_sleep_hours]]&lt;=8,"6-8 hrs",TRUE,"&gt; 8 hrs")</f>
        <v>4-6 hrs</v>
      </c>
      <c r="Y21" t="s">
        <v>20</v>
      </c>
    </row>
    <row r="22" spans="1:25" x14ac:dyDescent="0.3">
      <c r="A22" t="s">
        <v>53</v>
      </c>
      <c r="B22">
        <v>19</v>
      </c>
      <c r="C22" t="s">
        <v>20</v>
      </c>
      <c r="D22">
        <v>3</v>
      </c>
      <c r="E22" t="s">
        <v>47</v>
      </c>
      <c r="F22">
        <v>4.5999999999999996</v>
      </c>
      <c r="G22">
        <v>7.3</v>
      </c>
      <c r="H22">
        <v>4</v>
      </c>
      <c r="I22">
        <v>3</v>
      </c>
      <c r="J22">
        <v>1</v>
      </c>
      <c r="K22" s="4" t="str" cm="1">
        <f t="array" ref="K22">_xlfn.IFS(stdsurvey[[#This Row],[phq9_score]]="","Answer Not Provided",stdsurvey[[#This Row],[phq9_score]]&lt;=4,"Minimal",stdsurvey[[#This Row],[phq9_score]]&lt;=9,"Mild",stdsurvey[[#This Row],[phq9_score]]&lt;=14,"Moderate",stdsurvey[[#This Row],[phq9_score]]&lt;=19,"Moderately Severe",stdsurvey[[#This Row],[phq9_score]]&lt;=27,"Severe")</f>
        <v>Minimal</v>
      </c>
      <c r="L22">
        <v>1</v>
      </c>
      <c r="M22" s="4" t="str" cm="1">
        <f t="array" ref="M22">_xlfn.IFS(stdsurvey[[#This Row],[gad7_score]]="","Answer Not Provided",stdsurvey[[#This Row],[gad7_score]]&lt;=4,"Minimal",stdsurvey[[#This Row],[gad7_score]]&lt;=9,"Mild",stdsurvey[[#This Row],[gad7_score]]&lt;=14,"Moderate",stdsurvey[[#This Row],[gad7_score]]&lt;=21,"Severe")</f>
        <v>Minimal</v>
      </c>
      <c r="N22">
        <v>23.7</v>
      </c>
      <c r="O22" s="4" t="str" cm="1">
        <f t="array" ref="O22">_xlfn.IFS(stdsurvey[[#This Row],[perceived_stress_scale]]="","Answer Not Provided",stdsurvey[[#This Row],[perceived_stress_scale]]&lt;=13,"Low Stress",stdsurvey[[#This Row],[perceived_stress_scale]]&lt;=26,"Moderate Stress",stdsurvey[[#This Row],[perceived_stress_scale]]&lt;=40,"High Stress")</f>
        <v>Low Stress</v>
      </c>
      <c r="P22">
        <v>85.9</v>
      </c>
      <c r="Q22">
        <v>2</v>
      </c>
      <c r="R22" s="4" t="str" cm="1">
        <f t="array" ref="R22">_xlfn.IFS(stdsurvey[[#This Row],[class_attendance_percent]]&lt;60,"Less than 0%",stdsurvey[[#This Row],[class_attendance_percent]]&lt;70,"60-70 %",stdsurvey[[#This Row],[class_attendance_percent]]&lt;80, "70-80%",stdsurvey[[#This Row],[class_attendance_percent]]&lt;90,"80-90%",TRUE,"More than 90%")</f>
        <v>80-90%</v>
      </c>
      <c r="S22" t="s">
        <v>33</v>
      </c>
      <c r="T22">
        <v>4</v>
      </c>
      <c r="U22" t="s">
        <v>23</v>
      </c>
      <c r="V22">
        <v>2.99</v>
      </c>
      <c r="W22" s="4" t="str" cm="1">
        <f t="array" ref="W2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2" s="4" t="str" cm="1">
        <f t="array" ref="X22">_xlfn.IFS(stdsurvey[[#This Row],[daily_sleep_hours]]&lt;4,"&lt; 4 hrs",stdsurvey[[#This Row],[daily_sleep_hours]]&lt;=6,"4-6 hrs",stdsurvey[[#This Row],[daily_sleep_hours]]&lt;=8,"6-8 hrs",TRUE,"&gt; 8 hrs")</f>
        <v>4-6 hrs</v>
      </c>
      <c r="Y22" t="s">
        <v>20</v>
      </c>
    </row>
    <row r="23" spans="1:25" x14ac:dyDescent="0.3">
      <c r="A23" t="s">
        <v>54</v>
      </c>
      <c r="B23">
        <v>23</v>
      </c>
      <c r="C23" t="s">
        <v>20</v>
      </c>
      <c r="D23">
        <v>2</v>
      </c>
      <c r="E23" t="s">
        <v>30</v>
      </c>
      <c r="F23">
        <v>4.5</v>
      </c>
      <c r="G23">
        <v>1</v>
      </c>
      <c r="H23">
        <v>2</v>
      </c>
      <c r="I23">
        <v>7</v>
      </c>
      <c r="J23">
        <v>9</v>
      </c>
      <c r="K23" s="4" t="str" cm="1">
        <f t="array" ref="K23">_xlfn.IFS(stdsurvey[[#This Row],[phq9_score]]="","Answer Not Provided",stdsurvey[[#This Row],[phq9_score]]&lt;=4,"Minimal",stdsurvey[[#This Row],[phq9_score]]&lt;=9,"Mild",stdsurvey[[#This Row],[phq9_score]]&lt;=14,"Moderate",stdsurvey[[#This Row],[phq9_score]]&lt;=19,"Moderately Severe",stdsurvey[[#This Row],[phq9_score]]&lt;=27,"Severe")</f>
        <v>Mild</v>
      </c>
      <c r="L23">
        <v>17</v>
      </c>
      <c r="M23" s="4" t="str" cm="1">
        <f t="array" ref="M23">_xlfn.IFS(stdsurvey[[#This Row],[gad7_score]]="","Answer Not Provided",stdsurvey[[#This Row],[gad7_score]]&lt;=4,"Minimal",stdsurvey[[#This Row],[gad7_score]]&lt;=9,"Mild",stdsurvey[[#This Row],[gad7_score]]&lt;=14,"Moderate",stdsurvey[[#This Row],[gad7_score]]&lt;=21,"Severe")</f>
        <v>Mild</v>
      </c>
      <c r="N23">
        <v>11.9</v>
      </c>
      <c r="O23" s="4" t="str" cm="1">
        <f t="array" ref="O23">_xlfn.IFS(stdsurvey[[#This Row],[perceived_stress_scale]]="","Answer Not Provided",stdsurvey[[#This Row],[perceived_stress_scale]]&lt;=13,"Low Stress",stdsurvey[[#This Row],[perceived_stress_scale]]&lt;=26,"Moderate Stress",stdsurvey[[#This Row],[perceived_stress_scale]]&lt;=40,"High Stress")</f>
        <v>Moderate Stress</v>
      </c>
      <c r="P23">
        <v>92</v>
      </c>
      <c r="Q23">
        <v>5</v>
      </c>
      <c r="R23" s="4" t="str" cm="1">
        <f t="array" ref="R23">_xlfn.IFS(stdsurvey[[#This Row],[class_attendance_percent]]&lt;60,"Less than 0%",stdsurvey[[#This Row],[class_attendance_percent]]&lt;70,"60-70 %",stdsurvey[[#This Row],[class_attendance_percent]]&lt;80, "70-80%",stdsurvey[[#This Row],[class_attendance_percent]]&lt;90,"80-90%",TRUE,"More than 90%")</f>
        <v>More than 90%</v>
      </c>
      <c r="S23" t="s">
        <v>22</v>
      </c>
      <c r="T23">
        <v>3</v>
      </c>
      <c r="U23" t="s">
        <v>26</v>
      </c>
      <c r="V23">
        <v>2.78</v>
      </c>
      <c r="W23" s="4" t="str" cm="1">
        <f t="array" ref="W2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3" s="4" t="str" cm="1">
        <f t="array" ref="X23">_xlfn.IFS(stdsurvey[[#This Row],[daily_sleep_hours]]&lt;4,"&lt; 4 hrs",stdsurvey[[#This Row],[daily_sleep_hours]]&lt;=6,"4-6 hrs",stdsurvey[[#This Row],[daily_sleep_hours]]&lt;=8,"6-8 hrs",TRUE,"&gt; 8 hrs")</f>
        <v>4-6 hrs</v>
      </c>
      <c r="Y23" t="s">
        <v>20</v>
      </c>
    </row>
    <row r="24" spans="1:25" x14ac:dyDescent="0.3">
      <c r="A24" t="s">
        <v>55</v>
      </c>
      <c r="B24">
        <v>21</v>
      </c>
      <c r="C24" t="s">
        <v>27</v>
      </c>
      <c r="D24">
        <v>2</v>
      </c>
      <c r="E24" t="s">
        <v>35</v>
      </c>
      <c r="F24">
        <v>6.4</v>
      </c>
      <c r="G24">
        <v>2.8</v>
      </c>
      <c r="H24">
        <v>5</v>
      </c>
      <c r="I24">
        <v>4</v>
      </c>
      <c r="J24">
        <v>3</v>
      </c>
      <c r="K24" s="4" t="str" cm="1">
        <f t="array" ref="K24">_xlfn.IFS(stdsurvey[[#This Row],[phq9_score]]="","Answer Not Provided",stdsurvey[[#This Row],[phq9_score]]&lt;=4,"Minimal",stdsurvey[[#This Row],[phq9_score]]&lt;=9,"Mild",stdsurvey[[#This Row],[phq9_score]]&lt;=14,"Moderate",stdsurvey[[#This Row],[phq9_score]]&lt;=19,"Moderately Severe",stdsurvey[[#This Row],[phq9_score]]&lt;=27,"Severe")</f>
        <v>Minimal</v>
      </c>
      <c r="L24">
        <v>8</v>
      </c>
      <c r="M24" s="4" t="str" cm="1">
        <f t="array" ref="M24">_xlfn.IFS(stdsurvey[[#This Row],[gad7_score]]="","Answer Not Provided",stdsurvey[[#This Row],[gad7_score]]&lt;=4,"Minimal",stdsurvey[[#This Row],[gad7_score]]&lt;=9,"Mild",stdsurvey[[#This Row],[gad7_score]]&lt;=14,"Moderate",stdsurvey[[#This Row],[gad7_score]]&lt;=21,"Severe")</f>
        <v>Minimal</v>
      </c>
      <c r="N24">
        <v>17.5</v>
      </c>
      <c r="O24" s="4" t="str" cm="1">
        <f t="array" ref="O24">_xlfn.IFS(stdsurvey[[#This Row],[perceived_stress_scale]]="","Answer Not Provided",stdsurvey[[#This Row],[perceived_stress_scale]]&lt;=13,"Low Stress",stdsurvey[[#This Row],[perceived_stress_scale]]&lt;=26,"Moderate Stress",stdsurvey[[#This Row],[perceived_stress_scale]]&lt;=40,"High Stress")</f>
        <v>Low Stress</v>
      </c>
      <c r="P24">
        <v>66.7</v>
      </c>
      <c r="Q24">
        <v>2</v>
      </c>
      <c r="R24" s="4" t="str" cm="1">
        <f t="array" ref="R24">_xlfn.IFS(stdsurvey[[#This Row],[class_attendance_percent]]&lt;60,"Less than 0%",stdsurvey[[#This Row],[class_attendance_percent]]&lt;70,"60-70 %",stdsurvey[[#This Row],[class_attendance_percent]]&lt;80, "70-80%",stdsurvey[[#This Row],[class_attendance_percent]]&lt;90,"80-90%",TRUE,"More than 90%")</f>
        <v>60-70 %</v>
      </c>
      <c r="S24" t="s">
        <v>22</v>
      </c>
      <c r="T24">
        <v>1</v>
      </c>
      <c r="U24" t="s">
        <v>23</v>
      </c>
      <c r="V24">
        <v>2.73</v>
      </c>
      <c r="W24" s="4" t="str" cm="1">
        <f t="array" ref="W2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 s="4" t="str" cm="1">
        <f t="array" ref="X24">_xlfn.IFS(stdsurvey[[#This Row],[daily_sleep_hours]]&lt;4,"&lt; 4 hrs",stdsurvey[[#This Row],[daily_sleep_hours]]&lt;=6,"4-6 hrs",stdsurvey[[#This Row],[daily_sleep_hours]]&lt;=8,"6-8 hrs",TRUE,"&gt; 8 hrs")</f>
        <v>6-8 hrs</v>
      </c>
      <c r="Y24" t="s">
        <v>27</v>
      </c>
    </row>
    <row r="25" spans="1:25" x14ac:dyDescent="0.3">
      <c r="A25" t="s">
        <v>56</v>
      </c>
      <c r="B25">
        <v>21</v>
      </c>
      <c r="C25" t="s">
        <v>27</v>
      </c>
      <c r="D25">
        <v>4</v>
      </c>
      <c r="E25" t="s">
        <v>30</v>
      </c>
      <c r="F25">
        <v>7.1</v>
      </c>
      <c r="G25">
        <v>1</v>
      </c>
      <c r="H25">
        <v>0</v>
      </c>
      <c r="I25">
        <v>7</v>
      </c>
      <c r="J25">
        <v>9</v>
      </c>
      <c r="K25" s="4" t="str" cm="1">
        <f t="array" ref="K25">_xlfn.IFS(stdsurvey[[#This Row],[phq9_score]]="","Answer Not Provided",stdsurvey[[#This Row],[phq9_score]]&lt;=4,"Minimal",stdsurvey[[#This Row],[phq9_score]]&lt;=9,"Mild",stdsurvey[[#This Row],[phq9_score]]&lt;=14,"Moderate",stdsurvey[[#This Row],[phq9_score]]&lt;=19,"Moderately Severe",stdsurvey[[#This Row],[phq9_score]]&lt;=27,"Severe")</f>
        <v>Mild</v>
      </c>
      <c r="L25">
        <v>19</v>
      </c>
      <c r="M25" s="4" t="str" cm="1">
        <f t="array" ref="M25">_xlfn.IFS(stdsurvey[[#This Row],[gad7_score]]="","Answer Not Provided",stdsurvey[[#This Row],[gad7_score]]&lt;=4,"Minimal",stdsurvey[[#This Row],[gad7_score]]&lt;=9,"Mild",stdsurvey[[#This Row],[gad7_score]]&lt;=14,"Moderate",stdsurvey[[#This Row],[gad7_score]]&lt;=21,"Severe")</f>
        <v>Mild</v>
      </c>
      <c r="N25">
        <v>26.8</v>
      </c>
      <c r="O25" s="4" t="str" cm="1">
        <f t="array" ref="O25">_xlfn.IFS(stdsurvey[[#This Row],[perceived_stress_scale]]="","Answer Not Provided",stdsurvey[[#This Row],[perceived_stress_scale]]&lt;=13,"Low Stress",stdsurvey[[#This Row],[perceived_stress_scale]]&lt;=26,"Moderate Stress",stdsurvey[[#This Row],[perceived_stress_scale]]&lt;=40,"High Stress")</f>
        <v>Moderate Stress</v>
      </c>
      <c r="P25">
        <v>80</v>
      </c>
      <c r="Q25">
        <v>4</v>
      </c>
      <c r="R25" s="4" t="str" cm="1">
        <f t="array" ref="R25">_xlfn.IFS(stdsurvey[[#This Row],[class_attendance_percent]]&lt;60,"Less than 0%",stdsurvey[[#This Row],[class_attendance_percent]]&lt;70,"60-70 %",stdsurvey[[#This Row],[class_attendance_percent]]&lt;80, "70-80%",stdsurvey[[#This Row],[class_attendance_percent]]&lt;90,"80-90%",TRUE,"More than 90%")</f>
        <v>80-90%</v>
      </c>
      <c r="S25" t="s">
        <v>33</v>
      </c>
      <c r="T25">
        <v>4</v>
      </c>
      <c r="U25" t="s">
        <v>23</v>
      </c>
      <c r="V25">
        <v>3.29</v>
      </c>
      <c r="W25" s="4" t="str" cm="1">
        <f t="array" ref="W2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5" s="4" t="str" cm="1">
        <f t="array" ref="X25">_xlfn.IFS(stdsurvey[[#This Row],[daily_sleep_hours]]&lt;4,"&lt; 4 hrs",stdsurvey[[#This Row],[daily_sleep_hours]]&lt;=6,"4-6 hrs",stdsurvey[[#This Row],[daily_sleep_hours]]&lt;=8,"6-8 hrs",TRUE,"&gt; 8 hrs")</f>
        <v>6-8 hrs</v>
      </c>
      <c r="Y25" t="s">
        <v>27</v>
      </c>
    </row>
    <row r="26" spans="1:25" x14ac:dyDescent="0.3">
      <c r="A26" t="s">
        <v>57</v>
      </c>
      <c r="B26">
        <v>20</v>
      </c>
      <c r="C26" t="s">
        <v>25</v>
      </c>
      <c r="D26">
        <v>4</v>
      </c>
      <c r="E26" t="s">
        <v>49</v>
      </c>
      <c r="F26">
        <v>4.5</v>
      </c>
      <c r="G26">
        <v>4.3</v>
      </c>
      <c r="H26">
        <v>1</v>
      </c>
      <c r="I26">
        <v>2</v>
      </c>
      <c r="J26">
        <v>2</v>
      </c>
      <c r="K26" s="4" t="str" cm="1">
        <f t="array" ref="K26">_xlfn.IFS(stdsurvey[[#This Row],[phq9_score]]="","Answer Not Provided",stdsurvey[[#This Row],[phq9_score]]&lt;=4,"Minimal",stdsurvey[[#This Row],[phq9_score]]&lt;=9,"Mild",stdsurvey[[#This Row],[phq9_score]]&lt;=14,"Moderate",stdsurvey[[#This Row],[phq9_score]]&lt;=19,"Moderately Severe",stdsurvey[[#This Row],[phq9_score]]&lt;=27,"Severe")</f>
        <v>Minimal</v>
      </c>
      <c r="L26">
        <v>2</v>
      </c>
      <c r="M26" s="4" t="str" cm="1">
        <f t="array" ref="M26">_xlfn.IFS(stdsurvey[[#This Row],[gad7_score]]="","Answer Not Provided",stdsurvey[[#This Row],[gad7_score]]&lt;=4,"Minimal",stdsurvey[[#This Row],[gad7_score]]&lt;=9,"Mild",stdsurvey[[#This Row],[gad7_score]]&lt;=14,"Moderate",stdsurvey[[#This Row],[gad7_score]]&lt;=21,"Severe")</f>
        <v>Minimal</v>
      </c>
      <c r="N26">
        <v>14.1</v>
      </c>
      <c r="O26" s="4" t="str" cm="1">
        <f t="array" ref="O26">_xlfn.IFS(stdsurvey[[#This Row],[perceived_stress_scale]]="","Answer Not Provided",stdsurvey[[#This Row],[perceived_stress_scale]]&lt;=13,"Low Stress",stdsurvey[[#This Row],[perceived_stress_scale]]&lt;=26,"Moderate Stress",stdsurvey[[#This Row],[perceived_stress_scale]]&lt;=40,"High Stress")</f>
        <v>Low Stress</v>
      </c>
      <c r="P26">
        <v>72.7</v>
      </c>
      <c r="Q26">
        <v>2</v>
      </c>
      <c r="R26" s="4" t="str" cm="1">
        <f t="array" ref="R26">_xlfn.IFS(stdsurvey[[#This Row],[class_attendance_percent]]&lt;60,"Less than 0%",stdsurvey[[#This Row],[class_attendance_percent]]&lt;70,"60-70 %",stdsurvey[[#This Row],[class_attendance_percent]]&lt;80, "70-80%",stdsurvey[[#This Row],[class_attendance_percent]]&lt;90,"80-90%",TRUE,"More than 90%")</f>
        <v>70-80%</v>
      </c>
      <c r="S26" t="s">
        <v>22</v>
      </c>
      <c r="T26">
        <v>5</v>
      </c>
      <c r="U26" t="s">
        <v>23</v>
      </c>
      <c r="V26">
        <v>2.88</v>
      </c>
      <c r="W26" s="4" t="str" cm="1">
        <f t="array" ref="W2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6" s="4" t="str" cm="1">
        <f t="array" ref="X26">_xlfn.IFS(stdsurvey[[#This Row],[daily_sleep_hours]]&lt;4,"&lt; 4 hrs",stdsurvey[[#This Row],[daily_sleep_hours]]&lt;=6,"4-6 hrs",stdsurvey[[#This Row],[daily_sleep_hours]]&lt;=8,"6-8 hrs",TRUE,"&gt; 8 hrs")</f>
        <v>4-6 hrs</v>
      </c>
      <c r="Y26" t="s">
        <v>27</v>
      </c>
    </row>
    <row r="27" spans="1:25" x14ac:dyDescent="0.3">
      <c r="A27" t="s">
        <v>58</v>
      </c>
      <c r="B27">
        <v>24</v>
      </c>
      <c r="C27" t="s">
        <v>20</v>
      </c>
      <c r="D27">
        <v>4</v>
      </c>
      <c r="E27" t="s">
        <v>47</v>
      </c>
      <c r="F27">
        <v>6.4</v>
      </c>
      <c r="G27">
        <v>2.4</v>
      </c>
      <c r="H27">
        <v>4</v>
      </c>
      <c r="I27">
        <v>13</v>
      </c>
      <c r="J27">
        <v>9</v>
      </c>
      <c r="K27" s="4" t="str" cm="1">
        <f t="array" ref="K27">_xlfn.IFS(stdsurvey[[#This Row],[phq9_score]]="","Answer Not Provided",stdsurvey[[#This Row],[phq9_score]]&lt;=4,"Minimal",stdsurvey[[#This Row],[phq9_score]]&lt;=9,"Mild",stdsurvey[[#This Row],[phq9_score]]&lt;=14,"Moderate",stdsurvey[[#This Row],[phq9_score]]&lt;=19,"Moderately Severe",stdsurvey[[#This Row],[phq9_score]]&lt;=27,"Severe")</f>
        <v>Moderate</v>
      </c>
      <c r="L27">
        <v>20</v>
      </c>
      <c r="M27" s="4" t="str" cm="1">
        <f t="array" ref="M27">_xlfn.IFS(stdsurvey[[#This Row],[gad7_score]]="","Answer Not Provided",stdsurvey[[#This Row],[gad7_score]]&lt;=4,"Minimal",stdsurvey[[#This Row],[gad7_score]]&lt;=9,"Mild",stdsurvey[[#This Row],[gad7_score]]&lt;=14,"Moderate",stdsurvey[[#This Row],[gad7_score]]&lt;=21,"Severe")</f>
        <v>Mild</v>
      </c>
      <c r="N27">
        <v>14.7</v>
      </c>
      <c r="O27" s="4" t="str" cm="1">
        <f t="array" ref="O27">_xlfn.IFS(stdsurvey[[#This Row],[perceived_stress_scale]]="","Answer Not Provided",stdsurvey[[#This Row],[perceived_stress_scale]]&lt;=13,"Low Stress",stdsurvey[[#This Row],[perceived_stress_scale]]&lt;=26,"Moderate Stress",stdsurvey[[#This Row],[perceived_stress_scale]]&lt;=40,"High Stress")</f>
        <v>Moderate Stress</v>
      </c>
      <c r="P27">
        <v>69.3</v>
      </c>
      <c r="Q27">
        <v>2</v>
      </c>
      <c r="R27" s="4" t="str" cm="1">
        <f t="array" ref="R27">_xlfn.IFS(stdsurvey[[#This Row],[class_attendance_percent]]&lt;60,"Less than 0%",stdsurvey[[#This Row],[class_attendance_percent]]&lt;70,"60-70 %",stdsurvey[[#This Row],[class_attendance_percent]]&lt;80, "70-80%",stdsurvey[[#This Row],[class_attendance_percent]]&lt;90,"80-90%",TRUE,"More than 90%")</f>
        <v>60-70 %</v>
      </c>
      <c r="S27" t="s">
        <v>33</v>
      </c>
      <c r="T27">
        <v>2</v>
      </c>
      <c r="U27" t="s">
        <v>23</v>
      </c>
      <c r="V27">
        <v>2.96</v>
      </c>
      <c r="W27" s="4" t="str" cm="1">
        <f t="array" ref="W2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7" s="4" t="str" cm="1">
        <f t="array" ref="X27">_xlfn.IFS(stdsurvey[[#This Row],[daily_sleep_hours]]&lt;4,"&lt; 4 hrs",stdsurvey[[#This Row],[daily_sleep_hours]]&lt;=6,"4-6 hrs",stdsurvey[[#This Row],[daily_sleep_hours]]&lt;=8,"6-8 hrs",TRUE,"&gt; 8 hrs")</f>
        <v>6-8 hrs</v>
      </c>
      <c r="Y27" t="s">
        <v>20</v>
      </c>
    </row>
    <row r="28" spans="1:25" x14ac:dyDescent="0.3">
      <c r="A28" t="s">
        <v>59</v>
      </c>
      <c r="B28">
        <v>21</v>
      </c>
      <c r="C28" t="s">
        <v>20</v>
      </c>
      <c r="D28">
        <v>5</v>
      </c>
      <c r="E28" t="s">
        <v>30</v>
      </c>
      <c r="F28">
        <v>6.5</v>
      </c>
      <c r="G28">
        <v>2.6</v>
      </c>
      <c r="H28">
        <v>2</v>
      </c>
      <c r="I28">
        <v>25</v>
      </c>
      <c r="J28">
        <v>21</v>
      </c>
      <c r="K28" s="4" t="str" cm="1">
        <f t="array" ref="K28">_xlfn.IFS(stdsurvey[[#This Row],[phq9_score]]="","Answer Not Provided",stdsurvey[[#This Row],[phq9_score]]&lt;=4,"Minimal",stdsurvey[[#This Row],[phq9_score]]&lt;=9,"Mild",stdsurvey[[#This Row],[phq9_score]]&lt;=14,"Moderate",stdsurvey[[#This Row],[phq9_score]]&lt;=19,"Moderately Severe",stdsurvey[[#This Row],[phq9_score]]&lt;=27,"Severe")</f>
        <v>Severe</v>
      </c>
      <c r="L28">
        <v>31</v>
      </c>
      <c r="M28" s="4" t="str" cm="1">
        <f t="array" ref="M28">_xlfn.IFS(stdsurvey[[#This Row],[gad7_score]]="","Answer Not Provided",stdsurvey[[#This Row],[gad7_score]]&lt;=4,"Minimal",stdsurvey[[#This Row],[gad7_score]]&lt;=9,"Mild",stdsurvey[[#This Row],[gad7_score]]&lt;=14,"Moderate",stdsurvey[[#This Row],[gad7_score]]&lt;=21,"Severe")</f>
        <v>Severe</v>
      </c>
      <c r="N28">
        <v>12.8</v>
      </c>
      <c r="O28" s="4" t="str" cm="1">
        <f t="array" ref="O28">_xlfn.IFS(stdsurvey[[#This Row],[perceived_stress_scale]]="","Answer Not Provided",stdsurvey[[#This Row],[perceived_stress_scale]]&lt;=13,"Low Stress",stdsurvey[[#This Row],[perceived_stress_scale]]&lt;=26,"Moderate Stress",stdsurvey[[#This Row],[perceived_stress_scale]]&lt;=40,"High Stress")</f>
        <v>High Stress</v>
      </c>
      <c r="P28">
        <v>62.4</v>
      </c>
      <c r="Q28">
        <v>1</v>
      </c>
      <c r="R28" s="4" t="str" cm="1">
        <f t="array" ref="R28">_xlfn.IFS(stdsurvey[[#This Row],[class_attendance_percent]]&lt;60,"Less than 0%",stdsurvey[[#This Row],[class_attendance_percent]]&lt;70,"60-70 %",stdsurvey[[#This Row],[class_attendance_percent]]&lt;80, "70-80%",stdsurvey[[#This Row],[class_attendance_percent]]&lt;90,"80-90%",TRUE,"More than 90%")</f>
        <v>60-70 %</v>
      </c>
      <c r="S28" t="s">
        <v>22</v>
      </c>
      <c r="T28">
        <v>2</v>
      </c>
      <c r="U28" t="s">
        <v>23</v>
      </c>
      <c r="V28">
        <v>2.2599999999999998</v>
      </c>
      <c r="W28" s="4" t="str" cm="1">
        <f t="array" ref="W2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8" s="4" t="str" cm="1">
        <f t="array" ref="X28">_xlfn.IFS(stdsurvey[[#This Row],[daily_sleep_hours]]&lt;4,"&lt; 4 hrs",stdsurvey[[#This Row],[daily_sleep_hours]]&lt;=6,"4-6 hrs",stdsurvey[[#This Row],[daily_sleep_hours]]&lt;=8,"6-8 hrs",TRUE,"&gt; 8 hrs")</f>
        <v>6-8 hrs</v>
      </c>
      <c r="Y28" t="s">
        <v>20</v>
      </c>
    </row>
    <row r="29" spans="1:25" x14ac:dyDescent="0.3">
      <c r="A29" t="s">
        <v>60</v>
      </c>
      <c r="B29">
        <v>21</v>
      </c>
      <c r="C29" t="s">
        <v>61</v>
      </c>
      <c r="D29">
        <v>4</v>
      </c>
      <c r="E29" t="s">
        <v>30</v>
      </c>
      <c r="F29">
        <v>3</v>
      </c>
      <c r="G29">
        <v>10.6</v>
      </c>
      <c r="H29">
        <v>1</v>
      </c>
      <c r="I29">
        <v>4</v>
      </c>
      <c r="J29">
        <v>7</v>
      </c>
      <c r="K29" s="4" t="str" cm="1">
        <f t="array" ref="K29">_xlfn.IFS(stdsurvey[[#This Row],[phq9_score]]="","Answer Not Provided",stdsurvey[[#This Row],[phq9_score]]&lt;=4,"Minimal",stdsurvey[[#This Row],[phq9_score]]&lt;=9,"Mild",stdsurvey[[#This Row],[phq9_score]]&lt;=14,"Moderate",stdsurvey[[#This Row],[phq9_score]]&lt;=19,"Moderately Severe",stdsurvey[[#This Row],[phq9_score]]&lt;=27,"Severe")</f>
        <v>Minimal</v>
      </c>
      <c r="L29">
        <v>10</v>
      </c>
      <c r="M29" s="4" t="str" cm="1">
        <f t="array" ref="M29">_xlfn.IFS(stdsurvey[[#This Row],[gad7_score]]="","Answer Not Provided",stdsurvey[[#This Row],[gad7_score]]&lt;=4,"Minimal",stdsurvey[[#This Row],[gad7_score]]&lt;=9,"Mild",stdsurvey[[#This Row],[gad7_score]]&lt;=14,"Moderate",stdsurvey[[#This Row],[gad7_score]]&lt;=21,"Severe")</f>
        <v>Mild</v>
      </c>
      <c r="N29">
        <v>13.2</v>
      </c>
      <c r="O29" s="4" t="str" cm="1">
        <f t="array" ref="O29">_xlfn.IFS(stdsurvey[[#This Row],[perceived_stress_scale]]="","Answer Not Provided",stdsurvey[[#This Row],[perceived_stress_scale]]&lt;=13,"Low Stress",stdsurvey[[#This Row],[perceived_stress_scale]]&lt;=26,"Moderate Stress",stdsurvey[[#This Row],[perceived_stress_scale]]&lt;=40,"High Stress")</f>
        <v>Low Stress</v>
      </c>
      <c r="P29">
        <v>97.3</v>
      </c>
      <c r="Q29">
        <v>3</v>
      </c>
      <c r="R29" s="4" t="str" cm="1">
        <f t="array" ref="R29">_xlfn.IFS(stdsurvey[[#This Row],[class_attendance_percent]]&lt;60,"Less than 0%",stdsurvey[[#This Row],[class_attendance_percent]]&lt;70,"60-70 %",stdsurvey[[#This Row],[class_attendance_percent]]&lt;80, "70-80%",stdsurvey[[#This Row],[class_attendance_percent]]&lt;90,"80-90%",TRUE,"More than 90%")</f>
        <v>More than 90%</v>
      </c>
      <c r="S29" t="s">
        <v>22</v>
      </c>
      <c r="T29">
        <v>2</v>
      </c>
      <c r="U29" t="s">
        <v>26</v>
      </c>
      <c r="V29">
        <v>3.06</v>
      </c>
      <c r="W29" s="4" t="str" cm="1">
        <f t="array" ref="W2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9" s="4" t="str" cm="1">
        <f t="array" ref="X29">_xlfn.IFS(stdsurvey[[#This Row],[daily_sleep_hours]]&lt;4,"&lt; 4 hrs",stdsurvey[[#This Row],[daily_sleep_hours]]&lt;=6,"4-6 hrs",stdsurvey[[#This Row],[daily_sleep_hours]]&lt;=8,"6-8 hrs",TRUE,"&gt; 8 hrs")</f>
        <v>&lt; 4 hrs</v>
      </c>
      <c r="Y29" t="s">
        <v>61</v>
      </c>
    </row>
    <row r="30" spans="1:25" x14ac:dyDescent="0.3">
      <c r="A30" t="s">
        <v>62</v>
      </c>
      <c r="B30">
        <v>21</v>
      </c>
      <c r="C30" t="s">
        <v>39</v>
      </c>
      <c r="D30">
        <v>4</v>
      </c>
      <c r="E30" t="s">
        <v>63</v>
      </c>
      <c r="F30">
        <v>5.3</v>
      </c>
      <c r="G30">
        <v>2.9</v>
      </c>
      <c r="H30">
        <v>1</v>
      </c>
      <c r="I30">
        <v>3</v>
      </c>
      <c r="J30">
        <v>4</v>
      </c>
      <c r="K30" s="4" t="str" cm="1">
        <f t="array" ref="K30">_xlfn.IFS(stdsurvey[[#This Row],[phq9_score]]="","Answer Not Provided",stdsurvey[[#This Row],[phq9_score]]&lt;=4,"Minimal",stdsurvey[[#This Row],[phq9_score]]&lt;=9,"Mild",stdsurvey[[#This Row],[phq9_score]]&lt;=14,"Moderate",stdsurvey[[#This Row],[phq9_score]]&lt;=19,"Moderately Severe",stdsurvey[[#This Row],[phq9_score]]&lt;=27,"Severe")</f>
        <v>Minimal</v>
      </c>
      <c r="L30">
        <v>5</v>
      </c>
      <c r="M30" s="4" t="str" cm="1">
        <f t="array" ref="M30">_xlfn.IFS(stdsurvey[[#This Row],[gad7_score]]="","Answer Not Provided",stdsurvey[[#This Row],[gad7_score]]&lt;=4,"Minimal",stdsurvey[[#This Row],[gad7_score]]&lt;=9,"Mild",stdsurvey[[#This Row],[gad7_score]]&lt;=14,"Moderate",stdsurvey[[#This Row],[gad7_score]]&lt;=21,"Severe")</f>
        <v>Minimal</v>
      </c>
      <c r="N30">
        <v>19</v>
      </c>
      <c r="O30" s="4" t="str" cm="1">
        <f t="array" ref="O30">_xlfn.IFS(stdsurvey[[#This Row],[perceived_stress_scale]]="","Answer Not Provided",stdsurvey[[#This Row],[perceived_stress_scale]]&lt;=13,"Low Stress",stdsurvey[[#This Row],[perceived_stress_scale]]&lt;=26,"Moderate Stress",stdsurvey[[#This Row],[perceived_stress_scale]]&lt;=40,"High Stress")</f>
        <v>Low Stress</v>
      </c>
      <c r="P30">
        <v>73.8</v>
      </c>
      <c r="Q30">
        <v>4</v>
      </c>
      <c r="R30" s="4" t="str" cm="1">
        <f t="array" ref="R30">_xlfn.IFS(stdsurvey[[#This Row],[class_attendance_percent]]&lt;60,"Less than 0%",stdsurvey[[#This Row],[class_attendance_percent]]&lt;70,"60-70 %",stdsurvey[[#This Row],[class_attendance_percent]]&lt;80, "70-80%",stdsurvey[[#This Row],[class_attendance_percent]]&lt;90,"80-90%",TRUE,"More than 90%")</f>
        <v>70-80%</v>
      </c>
      <c r="S30" t="s">
        <v>33</v>
      </c>
      <c r="T30">
        <v>3</v>
      </c>
      <c r="U30" t="s">
        <v>23</v>
      </c>
      <c r="V30">
        <v>2.88</v>
      </c>
      <c r="W30" s="4" t="str" cm="1">
        <f t="array" ref="W3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0" s="4" t="str" cm="1">
        <f t="array" ref="X30">_xlfn.IFS(stdsurvey[[#This Row],[daily_sleep_hours]]&lt;4,"&lt; 4 hrs",stdsurvey[[#This Row],[daily_sleep_hours]]&lt;=6,"4-6 hrs",stdsurvey[[#This Row],[daily_sleep_hours]]&lt;=8,"6-8 hrs",TRUE,"&gt; 8 hrs")</f>
        <v>4-6 hrs</v>
      </c>
      <c r="Y30" t="s">
        <v>27</v>
      </c>
    </row>
    <row r="31" spans="1:25" x14ac:dyDescent="0.3">
      <c r="A31" t="s">
        <v>64</v>
      </c>
      <c r="B31">
        <v>23</v>
      </c>
      <c r="C31" t="s">
        <v>27</v>
      </c>
      <c r="D31">
        <v>4</v>
      </c>
      <c r="E31" t="s">
        <v>30</v>
      </c>
      <c r="F31">
        <v>6.5</v>
      </c>
      <c r="G31">
        <v>9.6999999999999993</v>
      </c>
      <c r="H31">
        <v>3</v>
      </c>
      <c r="K31" s="4" t="str" cm="1">
        <f t="array" ref="K31">_xlfn.IFS(stdsurvey[[#This Row],[phq9_score]]="","Answer Not Provided",stdsurvey[[#This Row],[phq9_score]]&lt;=4,"Minimal",stdsurvey[[#This Row],[phq9_score]]&lt;=9,"Mild",stdsurvey[[#This Row],[phq9_score]]&lt;=14,"Moderate",stdsurvey[[#This Row],[phq9_score]]&lt;=19,"Moderately Severe",stdsurvey[[#This Row],[phq9_score]]&lt;=27,"Severe")</f>
        <v>Answer Not Provided</v>
      </c>
      <c r="L31">
        <v>11</v>
      </c>
      <c r="M31" s="4" t="str" cm="1">
        <f t="array" ref="M31">_xlfn.IFS(stdsurvey[[#This Row],[gad7_score]]="","Answer Not Provided",stdsurvey[[#This Row],[gad7_score]]&lt;=4,"Minimal",stdsurvey[[#This Row],[gad7_score]]&lt;=9,"Mild",stdsurvey[[#This Row],[gad7_score]]&lt;=14,"Moderate",stdsurvey[[#This Row],[gad7_score]]&lt;=21,"Severe")</f>
        <v>Answer Not Provided</v>
      </c>
      <c r="N31">
        <v>21.1</v>
      </c>
      <c r="O31" s="4" t="str" cm="1">
        <f t="array" ref="O31">_xlfn.IFS(stdsurvey[[#This Row],[perceived_stress_scale]]="","Answer Not Provided",stdsurvey[[#This Row],[perceived_stress_scale]]&lt;=13,"Low Stress",stdsurvey[[#This Row],[perceived_stress_scale]]&lt;=26,"Moderate Stress",stdsurvey[[#This Row],[perceived_stress_scale]]&lt;=40,"High Stress")</f>
        <v>Low Stress</v>
      </c>
      <c r="P31">
        <v>88.4</v>
      </c>
      <c r="Q31">
        <v>3</v>
      </c>
      <c r="R31" s="4" t="str" cm="1">
        <f t="array" ref="R31">_xlfn.IFS(stdsurvey[[#This Row],[class_attendance_percent]]&lt;60,"Less than 0%",stdsurvey[[#This Row],[class_attendance_percent]]&lt;70,"60-70 %",stdsurvey[[#This Row],[class_attendance_percent]]&lt;80, "70-80%",stdsurvey[[#This Row],[class_attendance_percent]]&lt;90,"80-90%",TRUE,"More than 90%")</f>
        <v>80-90%</v>
      </c>
      <c r="S31" t="s">
        <v>22</v>
      </c>
      <c r="T31">
        <v>2</v>
      </c>
      <c r="U31" t="s">
        <v>26</v>
      </c>
      <c r="V31">
        <v>3.31</v>
      </c>
      <c r="W31" s="4" t="str" cm="1">
        <f t="array" ref="W3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1" s="4" t="str" cm="1">
        <f t="array" ref="X31">_xlfn.IFS(stdsurvey[[#This Row],[daily_sleep_hours]]&lt;4,"&lt; 4 hrs",stdsurvey[[#This Row],[daily_sleep_hours]]&lt;=6,"4-6 hrs",stdsurvey[[#This Row],[daily_sleep_hours]]&lt;=8,"6-8 hrs",TRUE,"&gt; 8 hrs")</f>
        <v>6-8 hrs</v>
      </c>
      <c r="Y31" t="s">
        <v>27</v>
      </c>
    </row>
    <row r="32" spans="1:25" x14ac:dyDescent="0.3">
      <c r="A32" t="s">
        <v>65</v>
      </c>
      <c r="B32">
        <v>22</v>
      </c>
      <c r="C32" t="s">
        <v>20</v>
      </c>
      <c r="D32">
        <v>3</v>
      </c>
      <c r="E32" t="s">
        <v>21</v>
      </c>
      <c r="F32">
        <v>7.1</v>
      </c>
      <c r="G32">
        <v>2.2999999999999998</v>
      </c>
      <c r="H32">
        <v>4</v>
      </c>
      <c r="I32">
        <v>3</v>
      </c>
      <c r="J32">
        <v>3</v>
      </c>
      <c r="K32" s="4" t="str" cm="1">
        <f t="array" ref="K32">_xlfn.IFS(stdsurvey[[#This Row],[phq9_score]]="","Answer Not Provided",stdsurvey[[#This Row],[phq9_score]]&lt;=4,"Minimal",stdsurvey[[#This Row],[phq9_score]]&lt;=9,"Mild",stdsurvey[[#This Row],[phq9_score]]&lt;=14,"Moderate",stdsurvey[[#This Row],[phq9_score]]&lt;=19,"Moderately Severe",stdsurvey[[#This Row],[phq9_score]]&lt;=27,"Severe")</f>
        <v>Minimal</v>
      </c>
      <c r="L32">
        <v>10</v>
      </c>
      <c r="M32" s="4" t="str" cm="1">
        <f t="array" ref="M32">_xlfn.IFS(stdsurvey[[#This Row],[gad7_score]]="","Answer Not Provided",stdsurvey[[#This Row],[gad7_score]]&lt;=4,"Minimal",stdsurvey[[#This Row],[gad7_score]]&lt;=9,"Mild",stdsurvey[[#This Row],[gad7_score]]&lt;=14,"Moderate",stdsurvey[[#This Row],[gad7_score]]&lt;=21,"Severe")</f>
        <v>Minimal</v>
      </c>
      <c r="N32">
        <v>13.2</v>
      </c>
      <c r="O32" s="4" t="str" cm="1">
        <f t="array" ref="O32">_xlfn.IFS(stdsurvey[[#This Row],[perceived_stress_scale]]="","Answer Not Provided",stdsurvey[[#This Row],[perceived_stress_scale]]&lt;=13,"Low Stress",stdsurvey[[#This Row],[perceived_stress_scale]]&lt;=26,"Moderate Stress",stdsurvey[[#This Row],[perceived_stress_scale]]&lt;=40,"High Stress")</f>
        <v>Low Stress</v>
      </c>
      <c r="P32">
        <v>83.8</v>
      </c>
      <c r="Q32">
        <v>4</v>
      </c>
      <c r="R32" s="4" t="str" cm="1">
        <f t="array" ref="R32">_xlfn.IFS(stdsurvey[[#This Row],[class_attendance_percent]]&lt;60,"Less than 0%",stdsurvey[[#This Row],[class_attendance_percent]]&lt;70,"60-70 %",stdsurvey[[#This Row],[class_attendance_percent]]&lt;80, "70-80%",stdsurvey[[#This Row],[class_attendance_percent]]&lt;90,"80-90%",TRUE,"More than 90%")</f>
        <v>80-90%</v>
      </c>
      <c r="S32" t="s">
        <v>22</v>
      </c>
      <c r="T32">
        <v>3</v>
      </c>
      <c r="U32" t="s">
        <v>51</v>
      </c>
      <c r="V32">
        <v>2.96</v>
      </c>
      <c r="W32" s="4" t="str" cm="1">
        <f t="array" ref="W3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2" s="4" t="str" cm="1">
        <f t="array" ref="X32">_xlfn.IFS(stdsurvey[[#This Row],[daily_sleep_hours]]&lt;4,"&lt; 4 hrs",stdsurvey[[#This Row],[daily_sleep_hours]]&lt;=6,"4-6 hrs",stdsurvey[[#This Row],[daily_sleep_hours]]&lt;=8,"6-8 hrs",TRUE,"&gt; 8 hrs")</f>
        <v>6-8 hrs</v>
      </c>
      <c r="Y32" t="s">
        <v>20</v>
      </c>
    </row>
    <row r="33" spans="1:25" x14ac:dyDescent="0.3">
      <c r="A33" t="s">
        <v>66</v>
      </c>
      <c r="B33">
        <v>22</v>
      </c>
      <c r="C33" t="s">
        <v>20</v>
      </c>
      <c r="D33">
        <v>2</v>
      </c>
      <c r="E33" t="s">
        <v>21</v>
      </c>
      <c r="F33">
        <v>4.5</v>
      </c>
      <c r="G33">
        <v>4.5999999999999996</v>
      </c>
      <c r="H33">
        <v>0</v>
      </c>
      <c r="I33">
        <v>3</v>
      </c>
      <c r="J33">
        <v>4</v>
      </c>
      <c r="K33" s="4" t="str" cm="1">
        <f t="array" ref="K33">_xlfn.IFS(stdsurvey[[#This Row],[phq9_score]]="","Answer Not Provided",stdsurvey[[#This Row],[phq9_score]]&lt;=4,"Minimal",stdsurvey[[#This Row],[phq9_score]]&lt;=9,"Mild",stdsurvey[[#This Row],[phq9_score]]&lt;=14,"Moderate",stdsurvey[[#This Row],[phq9_score]]&lt;=19,"Moderately Severe",stdsurvey[[#This Row],[phq9_score]]&lt;=27,"Severe")</f>
        <v>Minimal</v>
      </c>
      <c r="L33">
        <v>14</v>
      </c>
      <c r="M33" s="4" t="str" cm="1">
        <f t="array" ref="M33">_xlfn.IFS(stdsurvey[[#This Row],[gad7_score]]="","Answer Not Provided",stdsurvey[[#This Row],[gad7_score]]&lt;=4,"Minimal",stdsurvey[[#This Row],[gad7_score]]&lt;=9,"Mild",stdsurvey[[#This Row],[gad7_score]]&lt;=14,"Moderate",stdsurvey[[#This Row],[gad7_score]]&lt;=21,"Severe")</f>
        <v>Minimal</v>
      </c>
      <c r="N33">
        <v>34.4</v>
      </c>
      <c r="O33" s="4" t="str" cm="1">
        <f t="array" ref="O33">_xlfn.IFS(stdsurvey[[#This Row],[perceived_stress_scale]]="","Answer Not Provided",stdsurvey[[#This Row],[perceived_stress_scale]]&lt;=13,"Low Stress",stdsurvey[[#This Row],[perceived_stress_scale]]&lt;=26,"Moderate Stress",stdsurvey[[#This Row],[perceived_stress_scale]]&lt;=40,"High Stress")</f>
        <v>Moderate Stress</v>
      </c>
      <c r="P33">
        <v>66.7</v>
      </c>
      <c r="Q33">
        <v>4</v>
      </c>
      <c r="R33" s="4" t="str" cm="1">
        <f t="array" ref="R33">_xlfn.IFS(stdsurvey[[#This Row],[class_attendance_percent]]&lt;60,"Less than 0%",stdsurvey[[#This Row],[class_attendance_percent]]&lt;70,"60-70 %",stdsurvey[[#This Row],[class_attendance_percent]]&lt;80, "70-80%",stdsurvey[[#This Row],[class_attendance_percent]]&lt;90,"80-90%",TRUE,"More than 90%")</f>
        <v>60-70 %</v>
      </c>
      <c r="S33" t="s">
        <v>22</v>
      </c>
      <c r="T33">
        <v>4</v>
      </c>
      <c r="U33" t="s">
        <v>23</v>
      </c>
      <c r="V33">
        <v>3.31</v>
      </c>
      <c r="W33" s="4" t="str" cm="1">
        <f t="array" ref="W3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3" s="4" t="str" cm="1">
        <f t="array" ref="X33">_xlfn.IFS(stdsurvey[[#This Row],[daily_sleep_hours]]&lt;4,"&lt; 4 hrs",stdsurvey[[#This Row],[daily_sleep_hours]]&lt;=6,"4-6 hrs",stdsurvey[[#This Row],[daily_sleep_hours]]&lt;=8,"6-8 hrs",TRUE,"&gt; 8 hrs")</f>
        <v>4-6 hrs</v>
      </c>
      <c r="Y33" t="s">
        <v>20</v>
      </c>
    </row>
    <row r="34" spans="1:25" x14ac:dyDescent="0.3">
      <c r="A34" t="s">
        <v>67</v>
      </c>
      <c r="B34">
        <v>22</v>
      </c>
      <c r="C34" t="s">
        <v>20</v>
      </c>
      <c r="D34">
        <v>2</v>
      </c>
      <c r="E34" t="s">
        <v>30</v>
      </c>
      <c r="F34">
        <v>6</v>
      </c>
      <c r="G34">
        <v>4.2</v>
      </c>
      <c r="H34">
        <v>0</v>
      </c>
      <c r="I34">
        <v>14</v>
      </c>
      <c r="J34">
        <v>10</v>
      </c>
      <c r="K34" s="4" t="str" cm="1">
        <f t="array" ref="K34">_xlfn.IFS(stdsurvey[[#This Row],[phq9_score]]="","Answer Not Provided",stdsurvey[[#This Row],[phq9_score]]&lt;=4,"Minimal",stdsurvey[[#This Row],[phq9_score]]&lt;=9,"Mild",stdsurvey[[#This Row],[phq9_score]]&lt;=14,"Moderate",stdsurvey[[#This Row],[phq9_score]]&lt;=19,"Moderately Severe",stdsurvey[[#This Row],[phq9_score]]&lt;=27,"Severe")</f>
        <v>Moderate</v>
      </c>
      <c r="L34">
        <v>22</v>
      </c>
      <c r="M34" s="4" t="str" cm="1">
        <f t="array" ref="M34">_xlfn.IFS(stdsurvey[[#This Row],[gad7_score]]="","Answer Not Provided",stdsurvey[[#This Row],[gad7_score]]&lt;=4,"Minimal",stdsurvey[[#This Row],[gad7_score]]&lt;=9,"Mild",stdsurvey[[#This Row],[gad7_score]]&lt;=14,"Moderate",stdsurvey[[#This Row],[gad7_score]]&lt;=21,"Severe")</f>
        <v>Moderate</v>
      </c>
      <c r="N34">
        <v>11.7</v>
      </c>
      <c r="O34" s="4" t="str" cm="1">
        <f t="array" ref="O34">_xlfn.IFS(stdsurvey[[#This Row],[perceived_stress_scale]]="","Answer Not Provided",stdsurvey[[#This Row],[perceived_stress_scale]]&lt;=13,"Low Stress",stdsurvey[[#This Row],[perceived_stress_scale]]&lt;=26,"Moderate Stress",stdsurvey[[#This Row],[perceived_stress_scale]]&lt;=40,"High Stress")</f>
        <v>Moderate Stress</v>
      </c>
      <c r="P34">
        <v>80</v>
      </c>
      <c r="Q34">
        <v>2</v>
      </c>
      <c r="R34" s="4" t="str" cm="1">
        <f t="array" ref="R34">_xlfn.IFS(stdsurvey[[#This Row],[class_attendance_percent]]&lt;60,"Less than 0%",stdsurvey[[#This Row],[class_attendance_percent]]&lt;70,"60-70 %",stdsurvey[[#This Row],[class_attendance_percent]]&lt;80, "70-80%",stdsurvey[[#This Row],[class_attendance_percent]]&lt;90,"80-90%",TRUE,"More than 90%")</f>
        <v>80-90%</v>
      </c>
      <c r="S34" t="s">
        <v>33</v>
      </c>
      <c r="T34">
        <v>3</v>
      </c>
      <c r="U34" t="s">
        <v>23</v>
      </c>
      <c r="V34">
        <v>3.32</v>
      </c>
      <c r="W34" s="4" t="str" cm="1">
        <f t="array" ref="W3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 s="4" t="str" cm="1">
        <f t="array" ref="X34">_xlfn.IFS(stdsurvey[[#This Row],[daily_sleep_hours]]&lt;4,"&lt; 4 hrs",stdsurvey[[#This Row],[daily_sleep_hours]]&lt;=6,"4-6 hrs",stdsurvey[[#This Row],[daily_sleep_hours]]&lt;=8,"6-8 hrs",TRUE,"&gt; 8 hrs")</f>
        <v>4-6 hrs</v>
      </c>
      <c r="Y34" t="s">
        <v>20</v>
      </c>
    </row>
    <row r="35" spans="1:25" x14ac:dyDescent="0.3">
      <c r="A35" t="s">
        <v>68</v>
      </c>
      <c r="B35">
        <v>26</v>
      </c>
      <c r="C35" t="s">
        <v>25</v>
      </c>
      <c r="D35">
        <v>3</v>
      </c>
      <c r="E35" t="s">
        <v>49</v>
      </c>
      <c r="F35">
        <v>7.5</v>
      </c>
      <c r="G35">
        <v>8.6</v>
      </c>
      <c r="H35">
        <v>3</v>
      </c>
      <c r="I35">
        <v>3</v>
      </c>
      <c r="J35">
        <v>6</v>
      </c>
      <c r="K35" s="4" t="str" cm="1">
        <f t="array" ref="K35">_xlfn.IFS(stdsurvey[[#This Row],[phq9_score]]="","Answer Not Provided",stdsurvey[[#This Row],[phq9_score]]&lt;=4,"Minimal",stdsurvey[[#This Row],[phq9_score]]&lt;=9,"Mild",stdsurvey[[#This Row],[phq9_score]]&lt;=14,"Moderate",stdsurvey[[#This Row],[phq9_score]]&lt;=19,"Moderately Severe",stdsurvey[[#This Row],[phq9_score]]&lt;=27,"Severe")</f>
        <v>Minimal</v>
      </c>
      <c r="L35">
        <v>8</v>
      </c>
      <c r="M35" s="4" t="str" cm="1">
        <f t="array" ref="M35">_xlfn.IFS(stdsurvey[[#This Row],[gad7_score]]="","Answer Not Provided",stdsurvey[[#This Row],[gad7_score]]&lt;=4,"Minimal",stdsurvey[[#This Row],[gad7_score]]&lt;=9,"Mild",stdsurvey[[#This Row],[gad7_score]]&lt;=14,"Moderate",stdsurvey[[#This Row],[gad7_score]]&lt;=21,"Severe")</f>
        <v>Mild</v>
      </c>
      <c r="N35">
        <v>27.2</v>
      </c>
      <c r="O35" s="4" t="str" cm="1">
        <f t="array" ref="O35">_xlfn.IFS(stdsurvey[[#This Row],[perceived_stress_scale]]="","Answer Not Provided",stdsurvey[[#This Row],[perceived_stress_scale]]&lt;=13,"Low Stress",stdsurvey[[#This Row],[perceived_stress_scale]]&lt;=26,"Moderate Stress",stdsurvey[[#This Row],[perceived_stress_scale]]&lt;=40,"High Stress")</f>
        <v>Low Stress</v>
      </c>
      <c r="P35">
        <v>63.4</v>
      </c>
      <c r="Q35">
        <v>1</v>
      </c>
      <c r="R35" s="4" t="str" cm="1">
        <f t="array" ref="R35">_xlfn.IFS(stdsurvey[[#This Row],[class_attendance_percent]]&lt;60,"Less than 0%",stdsurvey[[#This Row],[class_attendance_percent]]&lt;70,"60-70 %",stdsurvey[[#This Row],[class_attendance_percent]]&lt;80, "70-80%",stdsurvey[[#This Row],[class_attendance_percent]]&lt;90,"80-90%",TRUE,"More than 90%")</f>
        <v>60-70 %</v>
      </c>
      <c r="S35" t="s">
        <v>33</v>
      </c>
      <c r="T35">
        <v>3</v>
      </c>
      <c r="U35" t="s">
        <v>51</v>
      </c>
      <c r="V35">
        <v>2.78</v>
      </c>
      <c r="W35" s="4" t="str" cm="1">
        <f t="array" ref="W3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5" s="4" t="str" cm="1">
        <f t="array" ref="X35">_xlfn.IFS(stdsurvey[[#This Row],[daily_sleep_hours]]&lt;4,"&lt; 4 hrs",stdsurvey[[#This Row],[daily_sleep_hours]]&lt;=6,"4-6 hrs",stdsurvey[[#This Row],[daily_sleep_hours]]&lt;=8,"6-8 hrs",TRUE,"&gt; 8 hrs")</f>
        <v>6-8 hrs</v>
      </c>
      <c r="Y35" t="s">
        <v>27</v>
      </c>
    </row>
    <row r="36" spans="1:25" x14ac:dyDescent="0.3">
      <c r="A36" t="s">
        <v>69</v>
      </c>
      <c r="B36">
        <v>21</v>
      </c>
      <c r="C36" t="s">
        <v>20</v>
      </c>
      <c r="D36">
        <v>2</v>
      </c>
      <c r="E36" t="s">
        <v>49</v>
      </c>
      <c r="F36">
        <v>6.9</v>
      </c>
      <c r="G36">
        <v>6.7</v>
      </c>
      <c r="H36">
        <v>6</v>
      </c>
      <c r="I36">
        <v>2</v>
      </c>
      <c r="J36">
        <v>2</v>
      </c>
      <c r="K36" s="4" t="str" cm="1">
        <f t="array" ref="K36">_xlfn.IFS(stdsurvey[[#This Row],[phq9_score]]="","Answer Not Provided",stdsurvey[[#This Row],[phq9_score]]&lt;=4,"Minimal",stdsurvey[[#This Row],[phq9_score]]&lt;=9,"Mild",stdsurvey[[#This Row],[phq9_score]]&lt;=14,"Moderate",stdsurvey[[#This Row],[phq9_score]]&lt;=19,"Moderately Severe",stdsurvey[[#This Row],[phq9_score]]&lt;=27,"Severe")</f>
        <v>Minimal</v>
      </c>
      <c r="L36">
        <v>4</v>
      </c>
      <c r="M36" s="4" t="str" cm="1">
        <f t="array" ref="M36">_xlfn.IFS(stdsurvey[[#This Row],[gad7_score]]="","Answer Not Provided",stdsurvey[[#This Row],[gad7_score]]&lt;=4,"Minimal",stdsurvey[[#This Row],[gad7_score]]&lt;=9,"Mild",stdsurvey[[#This Row],[gad7_score]]&lt;=14,"Moderate",stdsurvey[[#This Row],[gad7_score]]&lt;=21,"Severe")</f>
        <v>Minimal</v>
      </c>
      <c r="N36">
        <v>11.1</v>
      </c>
      <c r="O36" s="4" t="str" cm="1">
        <f t="array" ref="O36">_xlfn.IFS(stdsurvey[[#This Row],[perceived_stress_scale]]="","Answer Not Provided",stdsurvey[[#This Row],[perceived_stress_scale]]&lt;=13,"Low Stress",stdsurvey[[#This Row],[perceived_stress_scale]]&lt;=26,"Moderate Stress",stdsurvey[[#This Row],[perceived_stress_scale]]&lt;=40,"High Stress")</f>
        <v>Low Stress</v>
      </c>
      <c r="P36">
        <v>90.5</v>
      </c>
      <c r="Q36">
        <v>4</v>
      </c>
      <c r="R36" s="4" t="str" cm="1">
        <f t="array" ref="R36">_xlfn.IFS(stdsurvey[[#This Row],[class_attendance_percent]]&lt;60,"Less than 0%",stdsurvey[[#This Row],[class_attendance_percent]]&lt;70,"60-70 %",stdsurvey[[#This Row],[class_attendance_percent]]&lt;80, "70-80%",stdsurvey[[#This Row],[class_attendance_percent]]&lt;90,"80-90%",TRUE,"More than 90%")</f>
        <v>More than 90%</v>
      </c>
      <c r="S36" t="s">
        <v>22</v>
      </c>
      <c r="T36">
        <v>1</v>
      </c>
      <c r="U36" t="s">
        <v>23</v>
      </c>
      <c r="V36">
        <v>3.34</v>
      </c>
      <c r="W36" s="4" t="str" cm="1">
        <f t="array" ref="W3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 s="4" t="str" cm="1">
        <f t="array" ref="X36">_xlfn.IFS(stdsurvey[[#This Row],[daily_sleep_hours]]&lt;4,"&lt; 4 hrs",stdsurvey[[#This Row],[daily_sleep_hours]]&lt;=6,"4-6 hrs",stdsurvey[[#This Row],[daily_sleep_hours]]&lt;=8,"6-8 hrs",TRUE,"&gt; 8 hrs")</f>
        <v>6-8 hrs</v>
      </c>
      <c r="Y36" t="s">
        <v>20</v>
      </c>
    </row>
    <row r="37" spans="1:25" x14ac:dyDescent="0.3">
      <c r="A37" t="s">
        <v>70</v>
      </c>
      <c r="B37">
        <v>20</v>
      </c>
      <c r="C37" t="s">
        <v>39</v>
      </c>
      <c r="D37">
        <v>2</v>
      </c>
      <c r="E37" t="s">
        <v>21</v>
      </c>
      <c r="F37">
        <v>6.1</v>
      </c>
      <c r="G37">
        <v>3.4</v>
      </c>
      <c r="H37">
        <v>2</v>
      </c>
      <c r="I37">
        <v>6</v>
      </c>
      <c r="J37">
        <v>9</v>
      </c>
      <c r="K37" s="4" t="str" cm="1">
        <f t="array" ref="K37">_xlfn.IFS(stdsurvey[[#This Row],[phq9_score]]="","Answer Not Provided",stdsurvey[[#This Row],[phq9_score]]&lt;=4,"Minimal",stdsurvey[[#This Row],[phq9_score]]&lt;=9,"Mild",stdsurvey[[#This Row],[phq9_score]]&lt;=14,"Moderate",stdsurvey[[#This Row],[phq9_score]]&lt;=19,"Moderately Severe",stdsurvey[[#This Row],[phq9_score]]&lt;=27,"Severe")</f>
        <v>Mild</v>
      </c>
      <c r="L37">
        <v>9</v>
      </c>
      <c r="M37" s="4" t="str" cm="1">
        <f t="array" ref="M37">_xlfn.IFS(stdsurvey[[#This Row],[gad7_score]]="","Answer Not Provided",stdsurvey[[#This Row],[gad7_score]]&lt;=4,"Minimal",stdsurvey[[#This Row],[gad7_score]]&lt;=9,"Mild",stdsurvey[[#This Row],[gad7_score]]&lt;=14,"Moderate",stdsurvey[[#This Row],[gad7_score]]&lt;=21,"Severe")</f>
        <v>Mild</v>
      </c>
      <c r="N37">
        <v>18.100000000000001</v>
      </c>
      <c r="O37" s="4" t="str" cm="1">
        <f t="array" ref="O37">_xlfn.IFS(stdsurvey[[#This Row],[perceived_stress_scale]]="","Answer Not Provided",stdsurvey[[#This Row],[perceived_stress_scale]]&lt;=13,"Low Stress",stdsurvey[[#This Row],[perceived_stress_scale]]&lt;=26,"Moderate Stress",stdsurvey[[#This Row],[perceived_stress_scale]]&lt;=40,"High Stress")</f>
        <v>Low Stress</v>
      </c>
      <c r="P37">
        <v>67.400000000000006</v>
      </c>
      <c r="Q37">
        <v>4</v>
      </c>
      <c r="R37" s="4" t="str" cm="1">
        <f t="array" ref="R37">_xlfn.IFS(stdsurvey[[#This Row],[class_attendance_percent]]&lt;60,"Less than 0%",stdsurvey[[#This Row],[class_attendance_percent]]&lt;70,"60-70 %",stdsurvey[[#This Row],[class_attendance_percent]]&lt;80, "70-80%",stdsurvey[[#This Row],[class_attendance_percent]]&lt;90,"80-90%",TRUE,"More than 90%")</f>
        <v>60-70 %</v>
      </c>
      <c r="S37" t="s">
        <v>22</v>
      </c>
      <c r="T37">
        <v>5</v>
      </c>
      <c r="U37" t="s">
        <v>23</v>
      </c>
      <c r="V37">
        <v>2.2799999999999998</v>
      </c>
      <c r="W37" s="4" t="str" cm="1">
        <f t="array" ref="W3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7" s="4" t="str" cm="1">
        <f t="array" ref="X37">_xlfn.IFS(stdsurvey[[#This Row],[daily_sleep_hours]]&lt;4,"&lt; 4 hrs",stdsurvey[[#This Row],[daily_sleep_hours]]&lt;=6,"4-6 hrs",stdsurvey[[#This Row],[daily_sleep_hours]]&lt;=8,"6-8 hrs",TRUE,"&gt; 8 hrs")</f>
        <v>6-8 hrs</v>
      </c>
      <c r="Y37" t="s">
        <v>27</v>
      </c>
    </row>
    <row r="38" spans="1:25" x14ac:dyDescent="0.3">
      <c r="A38" t="s">
        <v>71</v>
      </c>
      <c r="B38">
        <v>20</v>
      </c>
      <c r="C38" t="s">
        <v>25</v>
      </c>
      <c r="D38">
        <v>3</v>
      </c>
      <c r="E38" t="s">
        <v>47</v>
      </c>
      <c r="F38">
        <v>5.4</v>
      </c>
      <c r="G38">
        <v>6.6</v>
      </c>
      <c r="H38">
        <v>6</v>
      </c>
      <c r="I38">
        <v>4</v>
      </c>
      <c r="J38">
        <v>4</v>
      </c>
      <c r="K38" s="4" t="str" cm="1">
        <f t="array" ref="K38">_xlfn.IFS(stdsurvey[[#This Row],[phq9_score]]="","Answer Not Provided",stdsurvey[[#This Row],[phq9_score]]&lt;=4,"Minimal",stdsurvey[[#This Row],[phq9_score]]&lt;=9,"Mild",stdsurvey[[#This Row],[phq9_score]]&lt;=14,"Moderate",stdsurvey[[#This Row],[phq9_score]]&lt;=19,"Moderately Severe",stdsurvey[[#This Row],[phq9_score]]&lt;=27,"Severe")</f>
        <v>Minimal</v>
      </c>
      <c r="L38">
        <v>14</v>
      </c>
      <c r="M38" s="4" t="str" cm="1">
        <f t="array" ref="M38">_xlfn.IFS(stdsurvey[[#This Row],[gad7_score]]="","Answer Not Provided",stdsurvey[[#This Row],[gad7_score]]&lt;=4,"Minimal",stdsurvey[[#This Row],[gad7_score]]&lt;=9,"Mild",stdsurvey[[#This Row],[gad7_score]]&lt;=14,"Moderate",stdsurvey[[#This Row],[gad7_score]]&lt;=21,"Severe")</f>
        <v>Minimal</v>
      </c>
      <c r="N38">
        <v>28.3</v>
      </c>
      <c r="O38" s="4" t="str" cm="1">
        <f t="array" ref="O38">_xlfn.IFS(stdsurvey[[#This Row],[perceived_stress_scale]]="","Answer Not Provided",stdsurvey[[#This Row],[perceived_stress_scale]]&lt;=13,"Low Stress",stdsurvey[[#This Row],[perceived_stress_scale]]&lt;=26,"Moderate Stress",stdsurvey[[#This Row],[perceived_stress_scale]]&lt;=40,"High Stress")</f>
        <v>Moderate Stress</v>
      </c>
      <c r="P38">
        <v>84.6</v>
      </c>
      <c r="Q38">
        <v>3</v>
      </c>
      <c r="R38" s="4" t="str" cm="1">
        <f t="array" ref="R38">_xlfn.IFS(stdsurvey[[#This Row],[class_attendance_percent]]&lt;60,"Less than 0%",stdsurvey[[#This Row],[class_attendance_percent]]&lt;70,"60-70 %",stdsurvey[[#This Row],[class_attendance_percent]]&lt;80, "70-80%",stdsurvey[[#This Row],[class_attendance_percent]]&lt;90,"80-90%",TRUE,"More than 90%")</f>
        <v>80-90%</v>
      </c>
      <c r="S38" t="s">
        <v>22</v>
      </c>
      <c r="T38">
        <v>3</v>
      </c>
      <c r="U38" t="s">
        <v>26</v>
      </c>
      <c r="V38">
        <v>3.26</v>
      </c>
      <c r="W38" s="4" t="str" cm="1">
        <f t="array" ref="W3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 s="4" t="str" cm="1">
        <f t="array" ref="X38">_xlfn.IFS(stdsurvey[[#This Row],[daily_sleep_hours]]&lt;4,"&lt; 4 hrs",stdsurvey[[#This Row],[daily_sleep_hours]]&lt;=6,"4-6 hrs",stdsurvey[[#This Row],[daily_sleep_hours]]&lt;=8,"6-8 hrs",TRUE,"&gt; 8 hrs")</f>
        <v>4-6 hrs</v>
      </c>
      <c r="Y38" t="s">
        <v>27</v>
      </c>
    </row>
    <row r="39" spans="1:25" x14ac:dyDescent="0.3">
      <c r="A39" t="s">
        <v>72</v>
      </c>
      <c r="B39">
        <v>23</v>
      </c>
      <c r="C39" t="s">
        <v>20</v>
      </c>
      <c r="D39">
        <v>2</v>
      </c>
      <c r="E39" t="s">
        <v>30</v>
      </c>
      <c r="F39">
        <v>4.8</v>
      </c>
      <c r="G39">
        <v>6.3</v>
      </c>
      <c r="H39">
        <v>5</v>
      </c>
      <c r="I39">
        <v>12</v>
      </c>
      <c r="J39">
        <v>10</v>
      </c>
      <c r="K39" s="4" t="str" cm="1">
        <f t="array" ref="K39">_xlfn.IFS(stdsurvey[[#This Row],[phq9_score]]="","Answer Not Provided",stdsurvey[[#This Row],[phq9_score]]&lt;=4,"Minimal",stdsurvey[[#This Row],[phq9_score]]&lt;=9,"Mild",stdsurvey[[#This Row],[phq9_score]]&lt;=14,"Moderate",stdsurvey[[#This Row],[phq9_score]]&lt;=19,"Moderately Severe",stdsurvey[[#This Row],[phq9_score]]&lt;=27,"Severe")</f>
        <v>Moderate</v>
      </c>
      <c r="L39">
        <v>15</v>
      </c>
      <c r="M39" s="4" t="str" cm="1">
        <f t="array" ref="M39">_xlfn.IFS(stdsurvey[[#This Row],[gad7_score]]="","Answer Not Provided",stdsurvey[[#This Row],[gad7_score]]&lt;=4,"Minimal",stdsurvey[[#This Row],[gad7_score]]&lt;=9,"Mild",stdsurvey[[#This Row],[gad7_score]]&lt;=14,"Moderate",stdsurvey[[#This Row],[gad7_score]]&lt;=21,"Severe")</f>
        <v>Moderate</v>
      </c>
      <c r="N39">
        <v>26.7</v>
      </c>
      <c r="O39" s="4" t="str" cm="1">
        <f t="array" ref="O39">_xlfn.IFS(stdsurvey[[#This Row],[perceived_stress_scale]]="","Answer Not Provided",stdsurvey[[#This Row],[perceived_stress_scale]]&lt;=13,"Low Stress",stdsurvey[[#This Row],[perceived_stress_scale]]&lt;=26,"Moderate Stress",stdsurvey[[#This Row],[perceived_stress_scale]]&lt;=40,"High Stress")</f>
        <v>Moderate Stress</v>
      </c>
      <c r="P39">
        <v>56.6</v>
      </c>
      <c r="Q39">
        <v>2</v>
      </c>
      <c r="R39" s="4" t="str" cm="1">
        <f t="array" ref="R39">_xlfn.IFS(stdsurvey[[#This Row],[class_attendance_percent]]&lt;60,"Less than 0%",stdsurvey[[#This Row],[class_attendance_percent]]&lt;70,"60-70 %",stdsurvey[[#This Row],[class_attendance_percent]]&lt;80, "70-80%",stdsurvey[[#This Row],[class_attendance_percent]]&lt;90,"80-90%",TRUE,"More than 90%")</f>
        <v>Less than 0%</v>
      </c>
      <c r="S39" t="s">
        <v>22</v>
      </c>
      <c r="T39">
        <v>3</v>
      </c>
      <c r="U39" t="s">
        <v>26</v>
      </c>
      <c r="V39">
        <v>2.2400000000000002</v>
      </c>
      <c r="W39" s="4" t="str" cm="1">
        <f t="array" ref="W3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9" s="4" t="str" cm="1">
        <f t="array" ref="X39">_xlfn.IFS(stdsurvey[[#This Row],[daily_sleep_hours]]&lt;4,"&lt; 4 hrs",stdsurvey[[#This Row],[daily_sleep_hours]]&lt;=6,"4-6 hrs",stdsurvey[[#This Row],[daily_sleep_hours]]&lt;=8,"6-8 hrs",TRUE,"&gt; 8 hrs")</f>
        <v>4-6 hrs</v>
      </c>
      <c r="Y39" t="s">
        <v>20</v>
      </c>
    </row>
    <row r="40" spans="1:25" x14ac:dyDescent="0.3">
      <c r="A40" t="s">
        <v>73</v>
      </c>
      <c r="B40">
        <v>24</v>
      </c>
      <c r="C40" t="s">
        <v>45</v>
      </c>
      <c r="D40">
        <v>1</v>
      </c>
      <c r="E40" t="s">
        <v>30</v>
      </c>
      <c r="F40">
        <v>7.5</v>
      </c>
      <c r="G40">
        <v>2.1</v>
      </c>
      <c r="H40">
        <v>2</v>
      </c>
      <c r="I40">
        <v>6</v>
      </c>
      <c r="J40">
        <v>7</v>
      </c>
      <c r="K40" s="4" t="str" cm="1">
        <f t="array" ref="K40">_xlfn.IFS(stdsurvey[[#This Row],[phq9_score]]="","Answer Not Provided",stdsurvey[[#This Row],[phq9_score]]&lt;=4,"Minimal",stdsurvey[[#This Row],[phq9_score]]&lt;=9,"Mild",stdsurvey[[#This Row],[phq9_score]]&lt;=14,"Moderate",stdsurvey[[#This Row],[phq9_score]]&lt;=19,"Moderately Severe",stdsurvey[[#This Row],[phq9_score]]&lt;=27,"Severe")</f>
        <v>Mild</v>
      </c>
      <c r="L40">
        <v>16</v>
      </c>
      <c r="M40" s="4" t="str" cm="1">
        <f t="array" ref="M40">_xlfn.IFS(stdsurvey[[#This Row],[gad7_score]]="","Answer Not Provided",stdsurvey[[#This Row],[gad7_score]]&lt;=4,"Minimal",stdsurvey[[#This Row],[gad7_score]]&lt;=9,"Mild",stdsurvey[[#This Row],[gad7_score]]&lt;=14,"Moderate",stdsurvey[[#This Row],[gad7_score]]&lt;=21,"Severe")</f>
        <v>Mild</v>
      </c>
      <c r="N40">
        <v>16.7</v>
      </c>
      <c r="O40" s="4" t="str" cm="1">
        <f t="array" ref="O40">_xlfn.IFS(stdsurvey[[#This Row],[perceived_stress_scale]]="","Answer Not Provided",stdsurvey[[#This Row],[perceived_stress_scale]]&lt;=13,"Low Stress",stdsurvey[[#This Row],[perceived_stress_scale]]&lt;=26,"Moderate Stress",stdsurvey[[#This Row],[perceived_stress_scale]]&lt;=40,"High Stress")</f>
        <v>Moderate Stress</v>
      </c>
      <c r="P40">
        <v>80.900000000000006</v>
      </c>
      <c r="Q40">
        <v>4</v>
      </c>
      <c r="R40" s="4" t="str" cm="1">
        <f t="array" ref="R40">_xlfn.IFS(stdsurvey[[#This Row],[class_attendance_percent]]&lt;60,"Less than 0%",stdsurvey[[#This Row],[class_attendance_percent]]&lt;70,"60-70 %",stdsurvey[[#This Row],[class_attendance_percent]]&lt;80, "70-80%",stdsurvey[[#This Row],[class_attendance_percent]]&lt;90,"80-90%",TRUE,"More than 90%")</f>
        <v>80-90%</v>
      </c>
      <c r="S40" t="s">
        <v>22</v>
      </c>
      <c r="T40">
        <v>1</v>
      </c>
      <c r="U40" t="s">
        <v>51</v>
      </c>
      <c r="V40">
        <v>2.97</v>
      </c>
      <c r="W40" s="4" t="str" cm="1">
        <f t="array" ref="W4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0" s="4" t="str" cm="1">
        <f t="array" ref="X40">_xlfn.IFS(stdsurvey[[#This Row],[daily_sleep_hours]]&lt;4,"&lt; 4 hrs",stdsurvey[[#This Row],[daily_sleep_hours]]&lt;=6,"4-6 hrs",stdsurvey[[#This Row],[daily_sleep_hours]]&lt;=8,"6-8 hrs",TRUE,"&gt; 8 hrs")</f>
        <v>6-8 hrs</v>
      </c>
      <c r="Y40" t="s">
        <v>20</v>
      </c>
    </row>
    <row r="41" spans="1:25" x14ac:dyDescent="0.3">
      <c r="A41" t="s">
        <v>74</v>
      </c>
      <c r="B41">
        <v>21</v>
      </c>
      <c r="C41" t="s">
        <v>20</v>
      </c>
      <c r="D41">
        <v>4</v>
      </c>
      <c r="E41" t="s">
        <v>32</v>
      </c>
      <c r="F41">
        <v>5.7</v>
      </c>
      <c r="G41">
        <v>10.1</v>
      </c>
      <c r="H41">
        <v>4</v>
      </c>
      <c r="I41">
        <v>6</v>
      </c>
      <c r="J41">
        <v>6</v>
      </c>
      <c r="K41" s="4" t="str" cm="1">
        <f t="array" ref="K41">_xlfn.IFS(stdsurvey[[#This Row],[phq9_score]]="","Answer Not Provided",stdsurvey[[#This Row],[phq9_score]]&lt;=4,"Minimal",stdsurvey[[#This Row],[phq9_score]]&lt;=9,"Mild",stdsurvey[[#This Row],[phq9_score]]&lt;=14,"Moderate",stdsurvey[[#This Row],[phq9_score]]&lt;=19,"Moderately Severe",stdsurvey[[#This Row],[phq9_score]]&lt;=27,"Severe")</f>
        <v>Mild</v>
      </c>
      <c r="L41">
        <v>13</v>
      </c>
      <c r="M41" s="4" t="str" cm="1">
        <f t="array" ref="M41">_xlfn.IFS(stdsurvey[[#This Row],[gad7_score]]="","Answer Not Provided",stdsurvey[[#This Row],[gad7_score]]&lt;=4,"Minimal",stdsurvey[[#This Row],[gad7_score]]&lt;=9,"Mild",stdsurvey[[#This Row],[gad7_score]]&lt;=14,"Moderate",stdsurvey[[#This Row],[gad7_score]]&lt;=21,"Severe")</f>
        <v>Mild</v>
      </c>
      <c r="N41">
        <v>18.8</v>
      </c>
      <c r="O41" s="4" t="str" cm="1">
        <f t="array" ref="O41">_xlfn.IFS(stdsurvey[[#This Row],[perceived_stress_scale]]="","Answer Not Provided",stdsurvey[[#This Row],[perceived_stress_scale]]&lt;=13,"Low Stress",stdsurvey[[#This Row],[perceived_stress_scale]]&lt;=26,"Moderate Stress",stdsurvey[[#This Row],[perceived_stress_scale]]&lt;=40,"High Stress")</f>
        <v>Low Stress</v>
      </c>
      <c r="P41">
        <v>89.4</v>
      </c>
      <c r="Q41">
        <v>1</v>
      </c>
      <c r="R41" s="4" t="str" cm="1">
        <f t="array" ref="R41">_xlfn.IFS(stdsurvey[[#This Row],[class_attendance_percent]]&lt;60,"Less than 0%",stdsurvey[[#This Row],[class_attendance_percent]]&lt;70,"60-70 %",stdsurvey[[#This Row],[class_attendance_percent]]&lt;80, "70-80%",stdsurvey[[#This Row],[class_attendance_percent]]&lt;90,"80-90%",TRUE,"More than 90%")</f>
        <v>80-90%</v>
      </c>
      <c r="S41" t="s">
        <v>33</v>
      </c>
      <c r="T41">
        <v>4</v>
      </c>
      <c r="U41" t="s">
        <v>51</v>
      </c>
      <c r="V41">
        <v>2.57</v>
      </c>
      <c r="W41" s="4" t="str" cm="1">
        <f t="array" ref="W4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1" s="4" t="str" cm="1">
        <f t="array" ref="X41">_xlfn.IFS(stdsurvey[[#This Row],[daily_sleep_hours]]&lt;4,"&lt; 4 hrs",stdsurvey[[#This Row],[daily_sleep_hours]]&lt;=6,"4-6 hrs",stdsurvey[[#This Row],[daily_sleep_hours]]&lt;=8,"6-8 hrs",TRUE,"&gt; 8 hrs")</f>
        <v>4-6 hrs</v>
      </c>
      <c r="Y41" t="s">
        <v>20</v>
      </c>
    </row>
    <row r="42" spans="1:25" x14ac:dyDescent="0.3">
      <c r="A42" t="s">
        <v>75</v>
      </c>
      <c r="B42">
        <v>20</v>
      </c>
      <c r="C42" t="s">
        <v>25</v>
      </c>
      <c r="D42">
        <v>4</v>
      </c>
      <c r="E42" t="s">
        <v>63</v>
      </c>
      <c r="F42">
        <v>6.6</v>
      </c>
      <c r="G42">
        <v>11.2</v>
      </c>
      <c r="H42">
        <v>4</v>
      </c>
      <c r="I42">
        <v>6</v>
      </c>
      <c r="J42">
        <v>5</v>
      </c>
      <c r="K42" s="4" t="str" cm="1">
        <f t="array" ref="K42">_xlfn.IFS(stdsurvey[[#This Row],[phq9_score]]="","Answer Not Provided",stdsurvey[[#This Row],[phq9_score]]&lt;=4,"Minimal",stdsurvey[[#This Row],[phq9_score]]&lt;=9,"Mild",stdsurvey[[#This Row],[phq9_score]]&lt;=14,"Moderate",stdsurvey[[#This Row],[phq9_score]]&lt;=19,"Moderately Severe",stdsurvey[[#This Row],[phq9_score]]&lt;=27,"Severe")</f>
        <v>Mild</v>
      </c>
      <c r="L42">
        <v>12</v>
      </c>
      <c r="M42" s="4" t="str" cm="1">
        <f t="array" ref="M42">_xlfn.IFS(stdsurvey[[#This Row],[gad7_score]]="","Answer Not Provided",stdsurvey[[#This Row],[gad7_score]]&lt;=4,"Minimal",stdsurvey[[#This Row],[gad7_score]]&lt;=9,"Mild",stdsurvey[[#This Row],[gad7_score]]&lt;=14,"Moderate",stdsurvey[[#This Row],[gad7_score]]&lt;=21,"Severe")</f>
        <v>Mild</v>
      </c>
      <c r="N42">
        <v>24.3</v>
      </c>
      <c r="O42" s="4" t="str" cm="1">
        <f t="array" ref="O42">_xlfn.IFS(stdsurvey[[#This Row],[perceived_stress_scale]]="","Answer Not Provided",stdsurvey[[#This Row],[perceived_stress_scale]]&lt;=13,"Low Stress",stdsurvey[[#This Row],[perceived_stress_scale]]&lt;=26,"Moderate Stress",stdsurvey[[#This Row],[perceived_stress_scale]]&lt;=40,"High Stress")</f>
        <v>Low Stress</v>
      </c>
      <c r="P42">
        <v>74.099999999999994</v>
      </c>
      <c r="Q42">
        <v>4</v>
      </c>
      <c r="R42" s="4" t="str" cm="1">
        <f t="array" ref="R42">_xlfn.IFS(stdsurvey[[#This Row],[class_attendance_percent]]&lt;60,"Less than 0%",stdsurvey[[#This Row],[class_attendance_percent]]&lt;70,"60-70 %",stdsurvey[[#This Row],[class_attendance_percent]]&lt;80, "70-80%",stdsurvey[[#This Row],[class_attendance_percent]]&lt;90,"80-90%",TRUE,"More than 90%")</f>
        <v>70-80%</v>
      </c>
      <c r="S42" t="s">
        <v>22</v>
      </c>
      <c r="T42">
        <v>5</v>
      </c>
      <c r="U42" t="s">
        <v>23</v>
      </c>
      <c r="V42">
        <v>3.11</v>
      </c>
      <c r="W42" s="4" t="str" cm="1">
        <f t="array" ref="W4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2" s="4" t="str" cm="1">
        <f t="array" ref="X42">_xlfn.IFS(stdsurvey[[#This Row],[daily_sleep_hours]]&lt;4,"&lt; 4 hrs",stdsurvey[[#This Row],[daily_sleep_hours]]&lt;=6,"4-6 hrs",stdsurvey[[#This Row],[daily_sleep_hours]]&lt;=8,"6-8 hrs",TRUE,"&gt; 8 hrs")</f>
        <v>6-8 hrs</v>
      </c>
      <c r="Y42" t="s">
        <v>27</v>
      </c>
    </row>
    <row r="43" spans="1:25" x14ac:dyDescent="0.3">
      <c r="A43" t="s">
        <v>76</v>
      </c>
      <c r="B43">
        <v>20</v>
      </c>
      <c r="C43" t="s">
        <v>20</v>
      </c>
      <c r="D43">
        <v>1</v>
      </c>
      <c r="E43" t="s">
        <v>30</v>
      </c>
      <c r="F43">
        <v>6.3</v>
      </c>
      <c r="G43">
        <v>5.2</v>
      </c>
      <c r="H43">
        <v>3</v>
      </c>
      <c r="I43">
        <v>8</v>
      </c>
      <c r="J43">
        <v>7</v>
      </c>
      <c r="K43" s="4" t="str" cm="1">
        <f t="array" ref="K43">_xlfn.IFS(stdsurvey[[#This Row],[phq9_score]]="","Answer Not Provided",stdsurvey[[#This Row],[phq9_score]]&lt;=4,"Minimal",stdsurvey[[#This Row],[phq9_score]]&lt;=9,"Mild",stdsurvey[[#This Row],[phq9_score]]&lt;=14,"Moderate",stdsurvey[[#This Row],[phq9_score]]&lt;=19,"Moderately Severe",stdsurvey[[#This Row],[phq9_score]]&lt;=27,"Severe")</f>
        <v>Mild</v>
      </c>
      <c r="L43">
        <v>12</v>
      </c>
      <c r="M43" s="4" t="str" cm="1">
        <f t="array" ref="M43">_xlfn.IFS(stdsurvey[[#This Row],[gad7_score]]="","Answer Not Provided",stdsurvey[[#This Row],[gad7_score]]&lt;=4,"Minimal",stdsurvey[[#This Row],[gad7_score]]&lt;=9,"Mild",stdsurvey[[#This Row],[gad7_score]]&lt;=14,"Moderate",stdsurvey[[#This Row],[gad7_score]]&lt;=21,"Severe")</f>
        <v>Mild</v>
      </c>
      <c r="N43">
        <v>15.6</v>
      </c>
      <c r="O43" s="4" t="str" cm="1">
        <f t="array" ref="O43">_xlfn.IFS(stdsurvey[[#This Row],[perceived_stress_scale]]="","Answer Not Provided",stdsurvey[[#This Row],[perceived_stress_scale]]&lt;=13,"Low Stress",stdsurvey[[#This Row],[perceived_stress_scale]]&lt;=26,"Moderate Stress",stdsurvey[[#This Row],[perceived_stress_scale]]&lt;=40,"High Stress")</f>
        <v>Low Stress</v>
      </c>
      <c r="P43">
        <v>66.7</v>
      </c>
      <c r="Q43">
        <v>2</v>
      </c>
      <c r="R43" s="4" t="str" cm="1">
        <f t="array" ref="R43">_xlfn.IFS(stdsurvey[[#This Row],[class_attendance_percent]]&lt;60,"Less than 0%",stdsurvey[[#This Row],[class_attendance_percent]]&lt;70,"60-70 %",stdsurvey[[#This Row],[class_attendance_percent]]&lt;80, "70-80%",stdsurvey[[#This Row],[class_attendance_percent]]&lt;90,"80-90%",TRUE,"More than 90%")</f>
        <v>60-70 %</v>
      </c>
      <c r="S43" t="s">
        <v>22</v>
      </c>
      <c r="T43">
        <v>1</v>
      </c>
      <c r="U43" t="s">
        <v>26</v>
      </c>
      <c r="V43">
        <v>3.16</v>
      </c>
      <c r="W43" s="4" t="str" cm="1">
        <f t="array" ref="W4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3" s="4" t="str" cm="1">
        <f t="array" ref="X43">_xlfn.IFS(stdsurvey[[#This Row],[daily_sleep_hours]]&lt;4,"&lt; 4 hrs",stdsurvey[[#This Row],[daily_sleep_hours]]&lt;=6,"4-6 hrs",stdsurvey[[#This Row],[daily_sleep_hours]]&lt;=8,"6-8 hrs",TRUE,"&gt; 8 hrs")</f>
        <v>6-8 hrs</v>
      </c>
      <c r="Y43" t="s">
        <v>20</v>
      </c>
    </row>
    <row r="44" spans="1:25" x14ac:dyDescent="0.3">
      <c r="A44" t="s">
        <v>77</v>
      </c>
      <c r="B44">
        <v>23</v>
      </c>
      <c r="C44" t="s">
        <v>20</v>
      </c>
      <c r="D44">
        <v>1</v>
      </c>
      <c r="E44" t="s">
        <v>30</v>
      </c>
      <c r="F44">
        <v>8</v>
      </c>
      <c r="G44">
        <v>1.9</v>
      </c>
      <c r="H44">
        <v>2</v>
      </c>
      <c r="I44">
        <v>4</v>
      </c>
      <c r="J44">
        <v>6</v>
      </c>
      <c r="K44" s="4" t="str" cm="1">
        <f t="array" ref="K44">_xlfn.IFS(stdsurvey[[#This Row],[phq9_score]]="","Answer Not Provided",stdsurvey[[#This Row],[phq9_score]]&lt;=4,"Minimal",stdsurvey[[#This Row],[phq9_score]]&lt;=9,"Mild",stdsurvey[[#This Row],[phq9_score]]&lt;=14,"Moderate",stdsurvey[[#This Row],[phq9_score]]&lt;=19,"Moderately Severe",stdsurvey[[#This Row],[phq9_score]]&lt;=27,"Severe")</f>
        <v>Minimal</v>
      </c>
      <c r="L44">
        <v>12</v>
      </c>
      <c r="M44" s="4" t="str" cm="1">
        <f t="array" ref="M44">_xlfn.IFS(stdsurvey[[#This Row],[gad7_score]]="","Answer Not Provided",stdsurvey[[#This Row],[gad7_score]]&lt;=4,"Minimal",stdsurvey[[#This Row],[gad7_score]]&lt;=9,"Mild",stdsurvey[[#This Row],[gad7_score]]&lt;=14,"Moderate",stdsurvey[[#This Row],[gad7_score]]&lt;=21,"Severe")</f>
        <v>Mild</v>
      </c>
      <c r="N44">
        <v>25.9</v>
      </c>
      <c r="O44" s="4" t="str" cm="1">
        <f t="array" ref="O44">_xlfn.IFS(stdsurvey[[#This Row],[perceived_stress_scale]]="","Answer Not Provided",stdsurvey[[#This Row],[perceived_stress_scale]]&lt;=13,"Low Stress",stdsurvey[[#This Row],[perceived_stress_scale]]&lt;=26,"Moderate Stress",stdsurvey[[#This Row],[perceived_stress_scale]]&lt;=40,"High Stress")</f>
        <v>Low Stress</v>
      </c>
      <c r="P44">
        <v>83.4</v>
      </c>
      <c r="R44" s="4" t="str" cm="1">
        <f t="array" ref="R44">_xlfn.IFS(stdsurvey[[#This Row],[class_attendance_percent]]&lt;60,"Less than 0%",stdsurvey[[#This Row],[class_attendance_percent]]&lt;70,"60-70 %",stdsurvey[[#This Row],[class_attendance_percent]]&lt;80, "70-80%",stdsurvey[[#This Row],[class_attendance_percent]]&lt;90,"80-90%",TRUE,"More than 90%")</f>
        <v>80-90%</v>
      </c>
      <c r="S44" t="s">
        <v>33</v>
      </c>
      <c r="T44">
        <v>2</v>
      </c>
      <c r="U44" t="s">
        <v>26</v>
      </c>
      <c r="V44">
        <v>2.73</v>
      </c>
      <c r="W44" s="4" t="str" cm="1">
        <f t="array" ref="W4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4" s="4" t="str" cm="1">
        <f t="array" ref="X44">_xlfn.IFS(stdsurvey[[#This Row],[daily_sleep_hours]]&lt;4,"&lt; 4 hrs",stdsurvey[[#This Row],[daily_sleep_hours]]&lt;=6,"4-6 hrs",stdsurvey[[#This Row],[daily_sleep_hours]]&lt;=8,"6-8 hrs",TRUE,"&gt; 8 hrs")</f>
        <v>6-8 hrs</v>
      </c>
      <c r="Y44" t="s">
        <v>20</v>
      </c>
    </row>
    <row r="45" spans="1:25" x14ac:dyDescent="0.3">
      <c r="A45" t="s">
        <v>78</v>
      </c>
      <c r="B45">
        <v>23</v>
      </c>
      <c r="C45" t="s">
        <v>20</v>
      </c>
      <c r="D45">
        <v>2</v>
      </c>
      <c r="E45" t="s">
        <v>32</v>
      </c>
      <c r="F45">
        <v>6.4</v>
      </c>
      <c r="G45">
        <v>4.8</v>
      </c>
      <c r="H45">
        <v>4</v>
      </c>
      <c r="I45">
        <v>9</v>
      </c>
      <c r="J45">
        <v>7</v>
      </c>
      <c r="K45" s="4" t="str" cm="1">
        <f t="array" ref="K45">_xlfn.IFS(stdsurvey[[#This Row],[phq9_score]]="","Answer Not Provided",stdsurvey[[#This Row],[phq9_score]]&lt;=4,"Minimal",stdsurvey[[#This Row],[phq9_score]]&lt;=9,"Mild",stdsurvey[[#This Row],[phq9_score]]&lt;=14,"Moderate",stdsurvey[[#This Row],[phq9_score]]&lt;=19,"Moderately Severe",stdsurvey[[#This Row],[phq9_score]]&lt;=27,"Severe")</f>
        <v>Mild</v>
      </c>
      <c r="L45">
        <v>14</v>
      </c>
      <c r="M45" s="4" t="str" cm="1">
        <f t="array" ref="M45">_xlfn.IFS(stdsurvey[[#This Row],[gad7_score]]="","Answer Not Provided",stdsurvey[[#This Row],[gad7_score]]&lt;=4,"Minimal",stdsurvey[[#This Row],[gad7_score]]&lt;=9,"Mild",stdsurvey[[#This Row],[gad7_score]]&lt;=14,"Moderate",stdsurvey[[#This Row],[gad7_score]]&lt;=21,"Severe")</f>
        <v>Mild</v>
      </c>
      <c r="N45">
        <v>29</v>
      </c>
      <c r="O45" s="4" t="str" cm="1">
        <f t="array" ref="O45">_xlfn.IFS(stdsurvey[[#This Row],[perceived_stress_scale]]="","Answer Not Provided",stdsurvey[[#This Row],[perceived_stress_scale]]&lt;=13,"Low Stress",stdsurvey[[#This Row],[perceived_stress_scale]]&lt;=26,"Moderate Stress",stdsurvey[[#This Row],[perceived_stress_scale]]&lt;=40,"High Stress")</f>
        <v>Moderate Stress</v>
      </c>
      <c r="P45">
        <v>88.2</v>
      </c>
      <c r="Q45">
        <v>3</v>
      </c>
      <c r="R45" s="4" t="str" cm="1">
        <f t="array" ref="R45">_xlfn.IFS(stdsurvey[[#This Row],[class_attendance_percent]]&lt;60,"Less than 0%",stdsurvey[[#This Row],[class_attendance_percent]]&lt;70,"60-70 %",stdsurvey[[#This Row],[class_attendance_percent]]&lt;80, "70-80%",stdsurvey[[#This Row],[class_attendance_percent]]&lt;90,"80-90%",TRUE,"More than 90%")</f>
        <v>80-90%</v>
      </c>
      <c r="S45" t="s">
        <v>33</v>
      </c>
      <c r="T45">
        <v>2</v>
      </c>
      <c r="U45" t="s">
        <v>51</v>
      </c>
      <c r="V45">
        <v>3.1</v>
      </c>
      <c r="W45" s="4" t="str" cm="1">
        <f t="array" ref="W4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5" s="4" t="str" cm="1">
        <f t="array" ref="X45">_xlfn.IFS(stdsurvey[[#This Row],[daily_sleep_hours]]&lt;4,"&lt; 4 hrs",stdsurvey[[#This Row],[daily_sleep_hours]]&lt;=6,"4-6 hrs",stdsurvey[[#This Row],[daily_sleep_hours]]&lt;=8,"6-8 hrs",TRUE,"&gt; 8 hrs")</f>
        <v>6-8 hrs</v>
      </c>
      <c r="Y45" t="s">
        <v>20</v>
      </c>
    </row>
    <row r="46" spans="1:25" x14ac:dyDescent="0.3">
      <c r="A46" t="s">
        <v>79</v>
      </c>
      <c r="B46">
        <v>23</v>
      </c>
      <c r="C46" t="s">
        <v>27</v>
      </c>
      <c r="D46">
        <v>4</v>
      </c>
      <c r="E46" t="s">
        <v>47</v>
      </c>
      <c r="F46">
        <v>7.7</v>
      </c>
      <c r="G46">
        <v>2.2999999999999998</v>
      </c>
      <c r="H46">
        <v>4</v>
      </c>
      <c r="I46">
        <v>5</v>
      </c>
      <c r="J46">
        <v>5</v>
      </c>
      <c r="K46" s="4" t="str" cm="1">
        <f t="array" ref="K46">_xlfn.IFS(stdsurvey[[#This Row],[phq9_score]]="","Answer Not Provided",stdsurvey[[#This Row],[phq9_score]]&lt;=4,"Minimal",stdsurvey[[#This Row],[phq9_score]]&lt;=9,"Mild",stdsurvey[[#This Row],[phq9_score]]&lt;=14,"Moderate",stdsurvey[[#This Row],[phq9_score]]&lt;=19,"Moderately Severe",stdsurvey[[#This Row],[phq9_score]]&lt;=27,"Severe")</f>
        <v>Mild</v>
      </c>
      <c r="L46">
        <v>9</v>
      </c>
      <c r="M46" s="4" t="str" cm="1">
        <f t="array" ref="M46">_xlfn.IFS(stdsurvey[[#This Row],[gad7_score]]="","Answer Not Provided",stdsurvey[[#This Row],[gad7_score]]&lt;=4,"Minimal",stdsurvey[[#This Row],[gad7_score]]&lt;=9,"Mild",stdsurvey[[#This Row],[gad7_score]]&lt;=14,"Moderate",stdsurvey[[#This Row],[gad7_score]]&lt;=21,"Severe")</f>
        <v>Mild</v>
      </c>
      <c r="N46">
        <v>22.8</v>
      </c>
      <c r="O46" s="4" t="str" cm="1">
        <f t="array" ref="O46">_xlfn.IFS(stdsurvey[[#This Row],[perceived_stress_scale]]="","Answer Not Provided",stdsurvey[[#This Row],[perceived_stress_scale]]&lt;=13,"Low Stress",stdsurvey[[#This Row],[perceived_stress_scale]]&lt;=26,"Moderate Stress",stdsurvey[[#This Row],[perceived_stress_scale]]&lt;=40,"High Stress")</f>
        <v>Low Stress</v>
      </c>
      <c r="P46">
        <v>45.7</v>
      </c>
      <c r="Q46">
        <v>4</v>
      </c>
      <c r="R46" s="4" t="str" cm="1">
        <f t="array" ref="R46">_xlfn.IFS(stdsurvey[[#This Row],[class_attendance_percent]]&lt;60,"Less than 0%",stdsurvey[[#This Row],[class_attendance_percent]]&lt;70,"60-70 %",stdsurvey[[#This Row],[class_attendance_percent]]&lt;80, "70-80%",stdsurvey[[#This Row],[class_attendance_percent]]&lt;90,"80-90%",TRUE,"More than 90%")</f>
        <v>Less than 0%</v>
      </c>
      <c r="S46" t="s">
        <v>22</v>
      </c>
      <c r="T46">
        <v>3</v>
      </c>
      <c r="U46" t="s">
        <v>26</v>
      </c>
      <c r="V46">
        <v>2.8</v>
      </c>
      <c r="W46" s="4" t="str" cm="1">
        <f t="array" ref="W4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6" s="4" t="str" cm="1">
        <f t="array" ref="X46">_xlfn.IFS(stdsurvey[[#This Row],[daily_sleep_hours]]&lt;4,"&lt; 4 hrs",stdsurvey[[#This Row],[daily_sleep_hours]]&lt;=6,"4-6 hrs",stdsurvey[[#This Row],[daily_sleep_hours]]&lt;=8,"6-8 hrs",TRUE,"&gt; 8 hrs")</f>
        <v>6-8 hrs</v>
      </c>
      <c r="Y46" t="s">
        <v>27</v>
      </c>
    </row>
    <row r="47" spans="1:25" x14ac:dyDescent="0.3">
      <c r="A47" t="s">
        <v>80</v>
      </c>
      <c r="B47">
        <v>20</v>
      </c>
      <c r="C47" t="s">
        <v>20</v>
      </c>
      <c r="D47">
        <v>4</v>
      </c>
      <c r="E47" t="s">
        <v>30</v>
      </c>
      <c r="F47">
        <v>7.7</v>
      </c>
      <c r="G47">
        <v>2.8</v>
      </c>
      <c r="H47">
        <v>4</v>
      </c>
      <c r="I47">
        <v>3</v>
      </c>
      <c r="J47">
        <v>4</v>
      </c>
      <c r="K47" s="4" t="str" cm="1">
        <f t="array" ref="K47">_xlfn.IFS(stdsurvey[[#This Row],[phq9_score]]="","Answer Not Provided",stdsurvey[[#This Row],[phq9_score]]&lt;=4,"Minimal",stdsurvey[[#This Row],[phq9_score]]&lt;=9,"Mild",stdsurvey[[#This Row],[phq9_score]]&lt;=14,"Moderate",stdsurvey[[#This Row],[phq9_score]]&lt;=19,"Moderately Severe",stdsurvey[[#This Row],[phq9_score]]&lt;=27,"Severe")</f>
        <v>Minimal</v>
      </c>
      <c r="L47">
        <v>11</v>
      </c>
      <c r="M47" s="4" t="str" cm="1">
        <f t="array" ref="M47">_xlfn.IFS(stdsurvey[[#This Row],[gad7_score]]="","Answer Not Provided",stdsurvey[[#This Row],[gad7_score]]&lt;=4,"Minimal",stdsurvey[[#This Row],[gad7_score]]&lt;=9,"Mild",stdsurvey[[#This Row],[gad7_score]]&lt;=14,"Moderate",stdsurvey[[#This Row],[gad7_score]]&lt;=21,"Severe")</f>
        <v>Minimal</v>
      </c>
      <c r="N47">
        <v>23.6</v>
      </c>
      <c r="O47" s="4" t="str" cm="1">
        <f t="array" ref="O47">_xlfn.IFS(stdsurvey[[#This Row],[perceived_stress_scale]]="","Answer Not Provided",stdsurvey[[#This Row],[perceived_stress_scale]]&lt;=13,"Low Stress",stdsurvey[[#This Row],[perceived_stress_scale]]&lt;=26,"Moderate Stress",stdsurvey[[#This Row],[perceived_stress_scale]]&lt;=40,"High Stress")</f>
        <v>Low Stress</v>
      </c>
      <c r="P47">
        <v>100</v>
      </c>
      <c r="Q47">
        <v>1</v>
      </c>
      <c r="R47" s="4" t="str" cm="1">
        <f t="array" ref="R47">_xlfn.IFS(stdsurvey[[#This Row],[class_attendance_percent]]&lt;60,"Less than 0%",stdsurvey[[#This Row],[class_attendance_percent]]&lt;70,"60-70 %",stdsurvey[[#This Row],[class_attendance_percent]]&lt;80, "70-80%",stdsurvey[[#This Row],[class_attendance_percent]]&lt;90,"80-90%",TRUE,"More than 90%")</f>
        <v>More than 90%</v>
      </c>
      <c r="S47" t="s">
        <v>22</v>
      </c>
      <c r="T47">
        <v>5</v>
      </c>
      <c r="U47" t="s">
        <v>23</v>
      </c>
      <c r="V47">
        <v>3.8</v>
      </c>
      <c r="W47" s="4" t="str" cm="1">
        <f t="array" ref="W4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7" s="4" t="str" cm="1">
        <f t="array" ref="X47">_xlfn.IFS(stdsurvey[[#This Row],[daily_sleep_hours]]&lt;4,"&lt; 4 hrs",stdsurvey[[#This Row],[daily_sleep_hours]]&lt;=6,"4-6 hrs",stdsurvey[[#This Row],[daily_sleep_hours]]&lt;=8,"6-8 hrs",TRUE,"&gt; 8 hrs")</f>
        <v>6-8 hrs</v>
      </c>
      <c r="Y47" t="s">
        <v>20</v>
      </c>
    </row>
    <row r="48" spans="1:25" x14ac:dyDescent="0.3">
      <c r="A48" t="s">
        <v>81</v>
      </c>
      <c r="B48">
        <v>22</v>
      </c>
      <c r="C48" t="s">
        <v>45</v>
      </c>
      <c r="D48">
        <v>1</v>
      </c>
      <c r="E48" t="s">
        <v>21</v>
      </c>
      <c r="F48">
        <v>5.8</v>
      </c>
      <c r="G48">
        <v>2.1</v>
      </c>
      <c r="H48">
        <v>7</v>
      </c>
      <c r="I48">
        <v>0</v>
      </c>
      <c r="J48">
        <v>4</v>
      </c>
      <c r="K48" s="4" t="str" cm="1">
        <f t="array" ref="K48">_xlfn.IFS(stdsurvey[[#This Row],[phq9_score]]="","Answer Not Provided",stdsurvey[[#This Row],[phq9_score]]&lt;=4,"Minimal",stdsurvey[[#This Row],[phq9_score]]&lt;=9,"Mild",stdsurvey[[#This Row],[phq9_score]]&lt;=14,"Moderate",stdsurvey[[#This Row],[phq9_score]]&lt;=19,"Moderately Severe",stdsurvey[[#This Row],[phq9_score]]&lt;=27,"Severe")</f>
        <v>Minimal</v>
      </c>
      <c r="L48">
        <v>6</v>
      </c>
      <c r="M48" s="4" t="str" cm="1">
        <f t="array" ref="M48">_xlfn.IFS(stdsurvey[[#This Row],[gad7_score]]="","Answer Not Provided",stdsurvey[[#This Row],[gad7_score]]&lt;=4,"Minimal",stdsurvey[[#This Row],[gad7_score]]&lt;=9,"Mild",stdsurvey[[#This Row],[gad7_score]]&lt;=14,"Moderate",stdsurvey[[#This Row],[gad7_score]]&lt;=21,"Severe")</f>
        <v>Minimal</v>
      </c>
      <c r="N48">
        <v>19.600000000000001</v>
      </c>
      <c r="O48" s="4" t="str" cm="1">
        <f t="array" ref="O48">_xlfn.IFS(stdsurvey[[#This Row],[perceived_stress_scale]]="","Answer Not Provided",stdsurvey[[#This Row],[perceived_stress_scale]]&lt;=13,"Low Stress",stdsurvey[[#This Row],[perceived_stress_scale]]&lt;=26,"Moderate Stress",stdsurvey[[#This Row],[perceived_stress_scale]]&lt;=40,"High Stress")</f>
        <v>Low Stress</v>
      </c>
      <c r="P48">
        <v>90.9</v>
      </c>
      <c r="Q48">
        <v>3</v>
      </c>
      <c r="R48" s="4" t="str" cm="1">
        <f t="array" ref="R48">_xlfn.IFS(stdsurvey[[#This Row],[class_attendance_percent]]&lt;60,"Less than 0%",stdsurvey[[#This Row],[class_attendance_percent]]&lt;70,"60-70 %",stdsurvey[[#This Row],[class_attendance_percent]]&lt;80, "70-80%",stdsurvey[[#This Row],[class_attendance_percent]]&lt;90,"80-90%",TRUE,"More than 90%")</f>
        <v>More than 90%</v>
      </c>
      <c r="S48" t="s">
        <v>22</v>
      </c>
      <c r="T48">
        <v>3</v>
      </c>
      <c r="U48" t="s">
        <v>26</v>
      </c>
      <c r="V48">
        <v>3.2</v>
      </c>
      <c r="W48" s="4" t="str" cm="1">
        <f t="array" ref="W4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8" s="4" t="str" cm="1">
        <f t="array" ref="X48">_xlfn.IFS(stdsurvey[[#This Row],[daily_sleep_hours]]&lt;4,"&lt; 4 hrs",stdsurvey[[#This Row],[daily_sleep_hours]]&lt;=6,"4-6 hrs",stdsurvey[[#This Row],[daily_sleep_hours]]&lt;=8,"6-8 hrs",TRUE,"&gt; 8 hrs")</f>
        <v>4-6 hrs</v>
      </c>
      <c r="Y48" t="s">
        <v>20</v>
      </c>
    </row>
    <row r="49" spans="1:25" x14ac:dyDescent="0.3">
      <c r="A49" t="s">
        <v>82</v>
      </c>
      <c r="B49">
        <v>22</v>
      </c>
      <c r="C49" t="s">
        <v>20</v>
      </c>
      <c r="D49">
        <v>4</v>
      </c>
      <c r="E49" t="s">
        <v>49</v>
      </c>
      <c r="F49">
        <v>4</v>
      </c>
      <c r="G49">
        <v>5.8</v>
      </c>
      <c r="H49">
        <v>3</v>
      </c>
      <c r="I49">
        <v>4</v>
      </c>
      <c r="J49">
        <v>4</v>
      </c>
      <c r="K49" s="4" t="str" cm="1">
        <f t="array" ref="K49">_xlfn.IFS(stdsurvey[[#This Row],[phq9_score]]="","Answer Not Provided",stdsurvey[[#This Row],[phq9_score]]&lt;=4,"Minimal",stdsurvey[[#This Row],[phq9_score]]&lt;=9,"Mild",stdsurvey[[#This Row],[phq9_score]]&lt;=14,"Moderate",stdsurvey[[#This Row],[phq9_score]]&lt;=19,"Moderately Severe",stdsurvey[[#This Row],[phq9_score]]&lt;=27,"Severe")</f>
        <v>Minimal</v>
      </c>
      <c r="L49">
        <v>7</v>
      </c>
      <c r="M49" s="4" t="str" cm="1">
        <f t="array" ref="M49">_xlfn.IFS(stdsurvey[[#This Row],[gad7_score]]="","Answer Not Provided",stdsurvey[[#This Row],[gad7_score]]&lt;=4,"Minimal",stdsurvey[[#This Row],[gad7_score]]&lt;=9,"Mild",stdsurvey[[#This Row],[gad7_score]]&lt;=14,"Moderate",stdsurvey[[#This Row],[gad7_score]]&lt;=21,"Severe")</f>
        <v>Minimal</v>
      </c>
      <c r="N49">
        <v>6.9</v>
      </c>
      <c r="O49" s="4" t="str" cm="1">
        <f t="array" ref="O49">_xlfn.IFS(stdsurvey[[#This Row],[perceived_stress_scale]]="","Answer Not Provided",stdsurvey[[#This Row],[perceived_stress_scale]]&lt;=13,"Low Stress",stdsurvey[[#This Row],[perceived_stress_scale]]&lt;=26,"Moderate Stress",stdsurvey[[#This Row],[perceived_stress_scale]]&lt;=40,"High Stress")</f>
        <v>Low Stress</v>
      </c>
      <c r="P49">
        <v>82</v>
      </c>
      <c r="Q49">
        <v>2</v>
      </c>
      <c r="R49" s="4" t="str" cm="1">
        <f t="array" ref="R49">_xlfn.IFS(stdsurvey[[#This Row],[class_attendance_percent]]&lt;60,"Less than 0%",stdsurvey[[#This Row],[class_attendance_percent]]&lt;70,"60-70 %",stdsurvey[[#This Row],[class_attendance_percent]]&lt;80, "70-80%",stdsurvey[[#This Row],[class_attendance_percent]]&lt;90,"80-90%",TRUE,"More than 90%")</f>
        <v>80-90%</v>
      </c>
      <c r="S49" t="s">
        <v>33</v>
      </c>
      <c r="T49">
        <v>3</v>
      </c>
      <c r="U49" t="s">
        <v>26</v>
      </c>
      <c r="V49">
        <v>2.33</v>
      </c>
      <c r="W49" s="4" t="str" cm="1">
        <f t="array" ref="W4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9" s="4" t="str" cm="1">
        <f t="array" ref="X49">_xlfn.IFS(stdsurvey[[#This Row],[daily_sleep_hours]]&lt;4,"&lt; 4 hrs",stdsurvey[[#This Row],[daily_sleep_hours]]&lt;=6,"4-6 hrs",stdsurvey[[#This Row],[daily_sleep_hours]]&lt;=8,"6-8 hrs",TRUE,"&gt; 8 hrs")</f>
        <v>4-6 hrs</v>
      </c>
      <c r="Y49" t="s">
        <v>20</v>
      </c>
    </row>
    <row r="50" spans="1:25" x14ac:dyDescent="0.3">
      <c r="A50" t="s">
        <v>83</v>
      </c>
      <c r="B50">
        <v>22</v>
      </c>
      <c r="C50" t="s">
        <v>27</v>
      </c>
      <c r="D50">
        <v>1</v>
      </c>
      <c r="E50" t="s">
        <v>21</v>
      </c>
      <c r="F50">
        <v>8.3000000000000007</v>
      </c>
      <c r="G50">
        <v>2.6</v>
      </c>
      <c r="H50">
        <v>4</v>
      </c>
      <c r="I50">
        <v>4</v>
      </c>
      <c r="J50">
        <v>8</v>
      </c>
      <c r="K50" s="4" t="str" cm="1">
        <f t="array" ref="K50">_xlfn.IFS(stdsurvey[[#This Row],[phq9_score]]="","Answer Not Provided",stdsurvey[[#This Row],[phq9_score]]&lt;=4,"Minimal",stdsurvey[[#This Row],[phq9_score]]&lt;=9,"Mild",stdsurvey[[#This Row],[phq9_score]]&lt;=14,"Moderate",stdsurvey[[#This Row],[phq9_score]]&lt;=19,"Moderately Severe",stdsurvey[[#This Row],[phq9_score]]&lt;=27,"Severe")</f>
        <v>Minimal</v>
      </c>
      <c r="L50">
        <v>13</v>
      </c>
      <c r="M50" s="4" t="str" cm="1">
        <f t="array" ref="M50">_xlfn.IFS(stdsurvey[[#This Row],[gad7_score]]="","Answer Not Provided",stdsurvey[[#This Row],[gad7_score]]&lt;=4,"Minimal",stdsurvey[[#This Row],[gad7_score]]&lt;=9,"Mild",stdsurvey[[#This Row],[gad7_score]]&lt;=14,"Moderate",stdsurvey[[#This Row],[gad7_score]]&lt;=21,"Severe")</f>
        <v>Mild</v>
      </c>
      <c r="N50">
        <v>19.8</v>
      </c>
      <c r="O50" s="4" t="str" cm="1">
        <f t="array" ref="O50">_xlfn.IFS(stdsurvey[[#This Row],[perceived_stress_scale]]="","Answer Not Provided",stdsurvey[[#This Row],[perceived_stress_scale]]&lt;=13,"Low Stress",stdsurvey[[#This Row],[perceived_stress_scale]]&lt;=26,"Moderate Stress",stdsurvey[[#This Row],[perceived_stress_scale]]&lt;=40,"High Stress")</f>
        <v>Low Stress</v>
      </c>
      <c r="P50">
        <v>75.599999999999994</v>
      </c>
      <c r="Q50">
        <v>4</v>
      </c>
      <c r="R50" s="4" t="str" cm="1">
        <f t="array" ref="R50">_xlfn.IFS(stdsurvey[[#This Row],[class_attendance_percent]]&lt;60,"Less than 0%",stdsurvey[[#This Row],[class_attendance_percent]]&lt;70,"60-70 %",stdsurvey[[#This Row],[class_attendance_percent]]&lt;80, "70-80%",stdsurvey[[#This Row],[class_attendance_percent]]&lt;90,"80-90%",TRUE,"More than 90%")</f>
        <v>70-80%</v>
      </c>
      <c r="S50" t="s">
        <v>22</v>
      </c>
      <c r="T50">
        <v>4</v>
      </c>
      <c r="U50" t="s">
        <v>23</v>
      </c>
      <c r="V50">
        <v>3</v>
      </c>
      <c r="W50" s="4" t="str" cm="1">
        <f t="array" ref="W5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50" s="4" t="str" cm="1">
        <f t="array" ref="X50">_xlfn.IFS(stdsurvey[[#This Row],[daily_sleep_hours]]&lt;4,"&lt; 4 hrs",stdsurvey[[#This Row],[daily_sleep_hours]]&lt;=6,"4-6 hrs",stdsurvey[[#This Row],[daily_sleep_hours]]&lt;=8,"6-8 hrs",TRUE,"&gt; 8 hrs")</f>
        <v>&gt; 8 hrs</v>
      </c>
      <c r="Y50" t="s">
        <v>27</v>
      </c>
    </row>
    <row r="51" spans="1:25" x14ac:dyDescent="0.3">
      <c r="A51" t="s">
        <v>84</v>
      </c>
      <c r="B51">
        <v>23</v>
      </c>
      <c r="C51" t="s">
        <v>20</v>
      </c>
      <c r="D51">
        <v>2</v>
      </c>
      <c r="E51" t="s">
        <v>30</v>
      </c>
      <c r="F51">
        <v>7.5</v>
      </c>
      <c r="G51">
        <v>1.3</v>
      </c>
      <c r="H51">
        <v>5</v>
      </c>
      <c r="I51">
        <v>1</v>
      </c>
      <c r="J51">
        <v>2</v>
      </c>
      <c r="K51" s="4" t="str" cm="1">
        <f t="array" ref="K51">_xlfn.IFS(stdsurvey[[#This Row],[phq9_score]]="","Answer Not Provided",stdsurvey[[#This Row],[phq9_score]]&lt;=4,"Minimal",stdsurvey[[#This Row],[phq9_score]]&lt;=9,"Mild",stdsurvey[[#This Row],[phq9_score]]&lt;=14,"Moderate",stdsurvey[[#This Row],[phq9_score]]&lt;=19,"Moderately Severe",stdsurvey[[#This Row],[phq9_score]]&lt;=27,"Severe")</f>
        <v>Minimal</v>
      </c>
      <c r="L51">
        <v>6</v>
      </c>
      <c r="M51" s="4" t="str" cm="1">
        <f t="array" ref="M51">_xlfn.IFS(stdsurvey[[#This Row],[gad7_score]]="","Answer Not Provided",stdsurvey[[#This Row],[gad7_score]]&lt;=4,"Minimal",stdsurvey[[#This Row],[gad7_score]]&lt;=9,"Mild",stdsurvey[[#This Row],[gad7_score]]&lt;=14,"Moderate",stdsurvey[[#This Row],[gad7_score]]&lt;=21,"Severe")</f>
        <v>Minimal</v>
      </c>
      <c r="N51">
        <v>16.100000000000001</v>
      </c>
      <c r="O51" s="4" t="str" cm="1">
        <f t="array" ref="O51">_xlfn.IFS(stdsurvey[[#This Row],[perceived_stress_scale]]="","Answer Not Provided",stdsurvey[[#This Row],[perceived_stress_scale]]&lt;=13,"Low Stress",stdsurvey[[#This Row],[perceived_stress_scale]]&lt;=26,"Moderate Stress",stdsurvey[[#This Row],[perceived_stress_scale]]&lt;=40,"High Stress")</f>
        <v>Low Stress</v>
      </c>
      <c r="P51">
        <v>53.2</v>
      </c>
      <c r="Q51">
        <v>2</v>
      </c>
      <c r="R51" s="4" t="str" cm="1">
        <f t="array" ref="R51">_xlfn.IFS(stdsurvey[[#This Row],[class_attendance_percent]]&lt;60,"Less than 0%",stdsurvey[[#This Row],[class_attendance_percent]]&lt;70,"60-70 %",stdsurvey[[#This Row],[class_attendance_percent]]&lt;80, "70-80%",stdsurvey[[#This Row],[class_attendance_percent]]&lt;90,"80-90%",TRUE,"More than 90%")</f>
        <v>Less than 0%</v>
      </c>
      <c r="S51" t="s">
        <v>33</v>
      </c>
      <c r="T51">
        <v>4</v>
      </c>
      <c r="U51" t="s">
        <v>51</v>
      </c>
      <c r="V51">
        <v>3.28</v>
      </c>
      <c r="W51" s="4" t="str" cm="1">
        <f t="array" ref="W5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51" s="4" t="str" cm="1">
        <f t="array" ref="X51">_xlfn.IFS(stdsurvey[[#This Row],[daily_sleep_hours]]&lt;4,"&lt; 4 hrs",stdsurvey[[#This Row],[daily_sleep_hours]]&lt;=6,"4-6 hrs",stdsurvey[[#This Row],[daily_sleep_hours]]&lt;=8,"6-8 hrs",TRUE,"&gt; 8 hrs")</f>
        <v>6-8 hrs</v>
      </c>
      <c r="Y51" t="s">
        <v>20</v>
      </c>
    </row>
    <row r="52" spans="1:25" x14ac:dyDescent="0.3">
      <c r="A52" t="s">
        <v>85</v>
      </c>
      <c r="B52">
        <v>22</v>
      </c>
      <c r="C52" t="s">
        <v>27</v>
      </c>
      <c r="D52">
        <v>5</v>
      </c>
      <c r="E52" t="s">
        <v>30</v>
      </c>
      <c r="F52">
        <v>3.9</v>
      </c>
      <c r="G52">
        <v>4.7</v>
      </c>
      <c r="H52">
        <v>1</v>
      </c>
      <c r="I52">
        <v>3</v>
      </c>
      <c r="J52">
        <v>3</v>
      </c>
      <c r="K52" s="4" t="str" cm="1">
        <f t="array" ref="K52">_xlfn.IFS(stdsurvey[[#This Row],[phq9_score]]="","Answer Not Provided",stdsurvey[[#This Row],[phq9_score]]&lt;=4,"Minimal",stdsurvey[[#This Row],[phq9_score]]&lt;=9,"Mild",stdsurvey[[#This Row],[phq9_score]]&lt;=14,"Moderate",stdsurvey[[#This Row],[phq9_score]]&lt;=19,"Moderately Severe",stdsurvey[[#This Row],[phq9_score]]&lt;=27,"Severe")</f>
        <v>Minimal</v>
      </c>
      <c r="L52">
        <v>10</v>
      </c>
      <c r="M52" s="4" t="str" cm="1">
        <f t="array" ref="M52">_xlfn.IFS(stdsurvey[[#This Row],[gad7_score]]="","Answer Not Provided",stdsurvey[[#This Row],[gad7_score]]&lt;=4,"Minimal",stdsurvey[[#This Row],[gad7_score]]&lt;=9,"Mild",stdsurvey[[#This Row],[gad7_score]]&lt;=14,"Moderate",stdsurvey[[#This Row],[gad7_score]]&lt;=21,"Severe")</f>
        <v>Minimal</v>
      </c>
      <c r="N52">
        <v>14</v>
      </c>
      <c r="O52" s="4" t="str" cm="1">
        <f t="array" ref="O52">_xlfn.IFS(stdsurvey[[#This Row],[perceived_stress_scale]]="","Answer Not Provided",stdsurvey[[#This Row],[perceived_stress_scale]]&lt;=13,"Low Stress",stdsurvey[[#This Row],[perceived_stress_scale]]&lt;=26,"Moderate Stress",stdsurvey[[#This Row],[perceived_stress_scale]]&lt;=40,"High Stress")</f>
        <v>Low Stress</v>
      </c>
      <c r="P52">
        <v>91.8</v>
      </c>
      <c r="Q52">
        <v>1</v>
      </c>
      <c r="R52" s="4" t="str" cm="1">
        <f t="array" ref="R52">_xlfn.IFS(stdsurvey[[#This Row],[class_attendance_percent]]&lt;60,"Less than 0%",stdsurvey[[#This Row],[class_attendance_percent]]&lt;70,"60-70 %",stdsurvey[[#This Row],[class_attendance_percent]]&lt;80, "70-80%",stdsurvey[[#This Row],[class_attendance_percent]]&lt;90,"80-90%",TRUE,"More than 90%")</f>
        <v>More than 90%</v>
      </c>
      <c r="S52" t="s">
        <v>33</v>
      </c>
      <c r="T52">
        <v>2</v>
      </c>
      <c r="U52" t="s">
        <v>23</v>
      </c>
      <c r="V52">
        <v>3.08</v>
      </c>
      <c r="W52" s="4" t="str" cm="1">
        <f t="array" ref="W5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2" s="4" t="str" cm="1">
        <f t="array" ref="X52">_xlfn.IFS(stdsurvey[[#This Row],[daily_sleep_hours]]&lt;4,"&lt; 4 hrs",stdsurvey[[#This Row],[daily_sleep_hours]]&lt;=6,"4-6 hrs",stdsurvey[[#This Row],[daily_sleep_hours]]&lt;=8,"6-8 hrs",TRUE,"&gt; 8 hrs")</f>
        <v>&lt; 4 hrs</v>
      </c>
      <c r="Y52" t="s">
        <v>27</v>
      </c>
    </row>
    <row r="53" spans="1:25" x14ac:dyDescent="0.3">
      <c r="A53" t="s">
        <v>86</v>
      </c>
      <c r="B53">
        <v>23</v>
      </c>
      <c r="C53" t="s">
        <v>27</v>
      </c>
      <c r="D53">
        <v>1</v>
      </c>
      <c r="E53" t="s">
        <v>21</v>
      </c>
      <c r="F53">
        <v>5.5</v>
      </c>
      <c r="G53">
        <v>3.6</v>
      </c>
      <c r="H53">
        <v>0</v>
      </c>
      <c r="I53">
        <v>3</v>
      </c>
      <c r="J53">
        <v>4</v>
      </c>
      <c r="K53" s="4" t="str" cm="1">
        <f t="array" ref="K53">_xlfn.IFS(stdsurvey[[#This Row],[phq9_score]]="","Answer Not Provided",stdsurvey[[#This Row],[phq9_score]]&lt;=4,"Minimal",stdsurvey[[#This Row],[phq9_score]]&lt;=9,"Mild",stdsurvey[[#This Row],[phq9_score]]&lt;=14,"Moderate",stdsurvey[[#This Row],[phq9_score]]&lt;=19,"Moderately Severe",stdsurvey[[#This Row],[phq9_score]]&lt;=27,"Severe")</f>
        <v>Minimal</v>
      </c>
      <c r="L53">
        <v>7</v>
      </c>
      <c r="M53" s="4" t="str" cm="1">
        <f t="array" ref="M53">_xlfn.IFS(stdsurvey[[#This Row],[gad7_score]]="","Answer Not Provided",stdsurvey[[#This Row],[gad7_score]]&lt;=4,"Minimal",stdsurvey[[#This Row],[gad7_score]]&lt;=9,"Mild",stdsurvey[[#This Row],[gad7_score]]&lt;=14,"Moderate",stdsurvey[[#This Row],[gad7_score]]&lt;=21,"Severe")</f>
        <v>Minimal</v>
      </c>
      <c r="N53">
        <v>31.5</v>
      </c>
      <c r="O53" s="4" t="str" cm="1">
        <f t="array" ref="O53">_xlfn.IFS(stdsurvey[[#This Row],[perceived_stress_scale]]="","Answer Not Provided",stdsurvey[[#This Row],[perceived_stress_scale]]&lt;=13,"Low Stress",stdsurvey[[#This Row],[perceived_stress_scale]]&lt;=26,"Moderate Stress",stdsurvey[[#This Row],[perceived_stress_scale]]&lt;=40,"High Stress")</f>
        <v>Low Stress</v>
      </c>
      <c r="P53">
        <v>79.400000000000006</v>
      </c>
      <c r="Q53">
        <v>4</v>
      </c>
      <c r="R53" s="4" t="str" cm="1">
        <f t="array" ref="R53">_xlfn.IFS(stdsurvey[[#This Row],[class_attendance_percent]]&lt;60,"Less than 0%",stdsurvey[[#This Row],[class_attendance_percent]]&lt;70,"60-70 %",stdsurvey[[#This Row],[class_attendance_percent]]&lt;80, "70-80%",stdsurvey[[#This Row],[class_attendance_percent]]&lt;90,"80-90%",TRUE,"More than 90%")</f>
        <v>70-80%</v>
      </c>
      <c r="S53" t="s">
        <v>22</v>
      </c>
      <c r="T53">
        <v>2</v>
      </c>
      <c r="U53" t="s">
        <v>23</v>
      </c>
      <c r="V53">
        <v>2.86</v>
      </c>
      <c r="W53" s="4" t="str" cm="1">
        <f t="array" ref="W5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53" s="4" t="str" cm="1">
        <f t="array" ref="X53">_xlfn.IFS(stdsurvey[[#This Row],[daily_sleep_hours]]&lt;4,"&lt; 4 hrs",stdsurvey[[#This Row],[daily_sleep_hours]]&lt;=6,"4-6 hrs",stdsurvey[[#This Row],[daily_sleep_hours]]&lt;=8,"6-8 hrs",TRUE,"&gt; 8 hrs")</f>
        <v>4-6 hrs</v>
      </c>
      <c r="Y53" t="s">
        <v>27</v>
      </c>
    </row>
    <row r="54" spans="1:25" x14ac:dyDescent="0.3">
      <c r="A54" t="s">
        <v>87</v>
      </c>
      <c r="B54">
        <v>22</v>
      </c>
      <c r="C54" t="s">
        <v>45</v>
      </c>
      <c r="D54">
        <v>1</v>
      </c>
      <c r="E54" t="s">
        <v>21</v>
      </c>
      <c r="F54">
        <v>7.4</v>
      </c>
      <c r="G54">
        <v>2.7</v>
      </c>
      <c r="H54">
        <v>2</v>
      </c>
      <c r="I54">
        <v>6</v>
      </c>
      <c r="J54">
        <v>3</v>
      </c>
      <c r="K54" s="4" t="str" cm="1">
        <f t="array" ref="K54">_xlfn.IFS(stdsurvey[[#This Row],[phq9_score]]="","Answer Not Provided",stdsurvey[[#This Row],[phq9_score]]&lt;=4,"Minimal",stdsurvey[[#This Row],[phq9_score]]&lt;=9,"Mild",stdsurvey[[#This Row],[phq9_score]]&lt;=14,"Moderate",stdsurvey[[#This Row],[phq9_score]]&lt;=19,"Moderately Severe",stdsurvey[[#This Row],[phq9_score]]&lt;=27,"Severe")</f>
        <v>Mild</v>
      </c>
      <c r="L54">
        <v>7</v>
      </c>
      <c r="M54" s="4" t="str" cm="1">
        <f t="array" ref="M54">_xlfn.IFS(stdsurvey[[#This Row],[gad7_score]]="","Answer Not Provided",stdsurvey[[#This Row],[gad7_score]]&lt;=4,"Minimal",stdsurvey[[#This Row],[gad7_score]]&lt;=9,"Mild",stdsurvey[[#This Row],[gad7_score]]&lt;=14,"Moderate",stdsurvey[[#This Row],[gad7_score]]&lt;=21,"Severe")</f>
        <v>Minimal</v>
      </c>
      <c r="N54">
        <v>13.5</v>
      </c>
      <c r="O54" s="4" t="str" cm="1">
        <f t="array" ref="O54">_xlfn.IFS(stdsurvey[[#This Row],[perceived_stress_scale]]="","Answer Not Provided",stdsurvey[[#This Row],[perceived_stress_scale]]&lt;=13,"Low Stress",stdsurvey[[#This Row],[perceived_stress_scale]]&lt;=26,"Moderate Stress",stdsurvey[[#This Row],[perceived_stress_scale]]&lt;=40,"High Stress")</f>
        <v>Low Stress</v>
      </c>
      <c r="P54">
        <v>89.8</v>
      </c>
      <c r="Q54">
        <v>1</v>
      </c>
      <c r="R54" s="4" t="str" cm="1">
        <f t="array" ref="R54">_xlfn.IFS(stdsurvey[[#This Row],[class_attendance_percent]]&lt;60,"Less than 0%",stdsurvey[[#This Row],[class_attendance_percent]]&lt;70,"60-70 %",stdsurvey[[#This Row],[class_attendance_percent]]&lt;80, "70-80%",stdsurvey[[#This Row],[class_attendance_percent]]&lt;90,"80-90%",TRUE,"More than 90%")</f>
        <v>80-90%</v>
      </c>
      <c r="S54" t="s">
        <v>22</v>
      </c>
      <c r="T54">
        <v>3</v>
      </c>
      <c r="U54" t="s">
        <v>23</v>
      </c>
      <c r="V54">
        <v>3.08</v>
      </c>
      <c r="W54" s="4" t="str" cm="1">
        <f t="array" ref="W5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54" s="4" t="str" cm="1">
        <f t="array" ref="X54">_xlfn.IFS(stdsurvey[[#This Row],[daily_sleep_hours]]&lt;4,"&lt; 4 hrs",stdsurvey[[#This Row],[daily_sleep_hours]]&lt;=6,"4-6 hrs",stdsurvey[[#This Row],[daily_sleep_hours]]&lt;=8,"6-8 hrs",TRUE,"&gt; 8 hrs")</f>
        <v>6-8 hrs</v>
      </c>
      <c r="Y54" t="s">
        <v>20</v>
      </c>
    </row>
    <row r="55" spans="1:25" x14ac:dyDescent="0.3">
      <c r="A55" t="s">
        <v>88</v>
      </c>
      <c r="B55">
        <v>22</v>
      </c>
      <c r="C55" t="s">
        <v>20</v>
      </c>
      <c r="D55">
        <v>2</v>
      </c>
      <c r="E55" t="s">
        <v>47</v>
      </c>
      <c r="F55">
        <v>5.4</v>
      </c>
      <c r="G55">
        <v>10.1</v>
      </c>
      <c r="H55">
        <v>5</v>
      </c>
      <c r="I55">
        <v>4</v>
      </c>
      <c r="J55">
        <v>3</v>
      </c>
      <c r="K55" s="4" t="str" cm="1">
        <f t="array" ref="K55">_xlfn.IFS(stdsurvey[[#This Row],[phq9_score]]="","Answer Not Provided",stdsurvey[[#This Row],[phq9_score]]&lt;=4,"Minimal",stdsurvey[[#This Row],[phq9_score]]&lt;=9,"Mild",stdsurvey[[#This Row],[phq9_score]]&lt;=14,"Moderate",stdsurvey[[#This Row],[phq9_score]]&lt;=19,"Moderately Severe",stdsurvey[[#This Row],[phq9_score]]&lt;=27,"Severe")</f>
        <v>Minimal</v>
      </c>
      <c r="L55">
        <v>14</v>
      </c>
      <c r="M55" s="4" t="str" cm="1">
        <f t="array" ref="M55">_xlfn.IFS(stdsurvey[[#This Row],[gad7_score]]="","Answer Not Provided",stdsurvey[[#This Row],[gad7_score]]&lt;=4,"Minimal",stdsurvey[[#This Row],[gad7_score]]&lt;=9,"Mild",stdsurvey[[#This Row],[gad7_score]]&lt;=14,"Moderate",stdsurvey[[#This Row],[gad7_score]]&lt;=21,"Severe")</f>
        <v>Minimal</v>
      </c>
      <c r="N55">
        <v>18.100000000000001</v>
      </c>
      <c r="O55" s="4" t="str" cm="1">
        <f t="array" ref="O55">_xlfn.IFS(stdsurvey[[#This Row],[perceived_stress_scale]]="","Answer Not Provided",stdsurvey[[#This Row],[perceived_stress_scale]]&lt;=13,"Low Stress",stdsurvey[[#This Row],[perceived_stress_scale]]&lt;=26,"Moderate Stress",stdsurvey[[#This Row],[perceived_stress_scale]]&lt;=40,"High Stress")</f>
        <v>Moderate Stress</v>
      </c>
      <c r="P55">
        <v>76.900000000000006</v>
      </c>
      <c r="Q55">
        <v>2</v>
      </c>
      <c r="R55" s="4" t="str" cm="1">
        <f t="array" ref="R55">_xlfn.IFS(stdsurvey[[#This Row],[class_attendance_percent]]&lt;60,"Less than 0%",stdsurvey[[#This Row],[class_attendance_percent]]&lt;70,"60-70 %",stdsurvey[[#This Row],[class_attendance_percent]]&lt;80, "70-80%",stdsurvey[[#This Row],[class_attendance_percent]]&lt;90,"80-90%",TRUE,"More than 90%")</f>
        <v>70-80%</v>
      </c>
      <c r="S55" t="s">
        <v>22</v>
      </c>
      <c r="T55">
        <v>4</v>
      </c>
      <c r="U55" t="s">
        <v>51</v>
      </c>
      <c r="V55">
        <v>2.86</v>
      </c>
      <c r="W55" s="4" t="str" cm="1">
        <f t="array" ref="W5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55" s="4" t="str" cm="1">
        <f t="array" ref="X55">_xlfn.IFS(stdsurvey[[#This Row],[daily_sleep_hours]]&lt;4,"&lt; 4 hrs",stdsurvey[[#This Row],[daily_sleep_hours]]&lt;=6,"4-6 hrs",stdsurvey[[#This Row],[daily_sleep_hours]]&lt;=8,"6-8 hrs",TRUE,"&gt; 8 hrs")</f>
        <v>4-6 hrs</v>
      </c>
      <c r="Y55" t="s">
        <v>20</v>
      </c>
    </row>
    <row r="56" spans="1:25" x14ac:dyDescent="0.3">
      <c r="A56" t="s">
        <v>89</v>
      </c>
      <c r="B56">
        <v>23</v>
      </c>
      <c r="C56" t="s">
        <v>27</v>
      </c>
      <c r="D56">
        <v>3</v>
      </c>
      <c r="E56" t="s">
        <v>49</v>
      </c>
      <c r="F56">
        <v>5.3</v>
      </c>
      <c r="G56">
        <v>5.9</v>
      </c>
      <c r="H56">
        <v>2</v>
      </c>
      <c r="I56">
        <v>4</v>
      </c>
      <c r="J56">
        <v>4</v>
      </c>
      <c r="K56" s="4" t="str" cm="1">
        <f t="array" ref="K56">_xlfn.IFS(stdsurvey[[#This Row],[phq9_score]]="","Answer Not Provided",stdsurvey[[#This Row],[phq9_score]]&lt;=4,"Minimal",stdsurvey[[#This Row],[phq9_score]]&lt;=9,"Mild",stdsurvey[[#This Row],[phq9_score]]&lt;=14,"Moderate",stdsurvey[[#This Row],[phq9_score]]&lt;=19,"Moderately Severe",stdsurvey[[#This Row],[phq9_score]]&lt;=27,"Severe")</f>
        <v>Minimal</v>
      </c>
      <c r="L56">
        <v>14</v>
      </c>
      <c r="M56" s="4" t="str" cm="1">
        <f t="array" ref="M56">_xlfn.IFS(stdsurvey[[#This Row],[gad7_score]]="","Answer Not Provided",stdsurvey[[#This Row],[gad7_score]]&lt;=4,"Minimal",stdsurvey[[#This Row],[gad7_score]]&lt;=9,"Mild",stdsurvey[[#This Row],[gad7_score]]&lt;=14,"Moderate",stdsurvey[[#This Row],[gad7_score]]&lt;=21,"Severe")</f>
        <v>Minimal</v>
      </c>
      <c r="N56">
        <v>23.7</v>
      </c>
      <c r="O56" s="4" t="str" cm="1">
        <f t="array" ref="O56">_xlfn.IFS(stdsurvey[[#This Row],[perceived_stress_scale]]="","Answer Not Provided",stdsurvey[[#This Row],[perceived_stress_scale]]&lt;=13,"Low Stress",stdsurvey[[#This Row],[perceived_stress_scale]]&lt;=26,"Moderate Stress",stdsurvey[[#This Row],[perceived_stress_scale]]&lt;=40,"High Stress")</f>
        <v>Moderate Stress</v>
      </c>
      <c r="P56">
        <v>77.599999999999994</v>
      </c>
      <c r="R56" s="4" t="str" cm="1">
        <f t="array" ref="R56">_xlfn.IFS(stdsurvey[[#This Row],[class_attendance_percent]]&lt;60,"Less than 0%",stdsurvey[[#This Row],[class_attendance_percent]]&lt;70,"60-70 %",stdsurvey[[#This Row],[class_attendance_percent]]&lt;80, "70-80%",stdsurvey[[#This Row],[class_attendance_percent]]&lt;90,"80-90%",TRUE,"More than 90%")</f>
        <v>70-80%</v>
      </c>
      <c r="S56" t="s">
        <v>22</v>
      </c>
      <c r="T56">
        <v>4</v>
      </c>
      <c r="U56" t="s">
        <v>23</v>
      </c>
      <c r="V56">
        <v>2.85</v>
      </c>
      <c r="W56" s="4" t="str" cm="1">
        <f t="array" ref="W5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6" s="4" t="str" cm="1">
        <f t="array" ref="X56">_xlfn.IFS(stdsurvey[[#This Row],[daily_sleep_hours]]&lt;4,"&lt; 4 hrs",stdsurvey[[#This Row],[daily_sleep_hours]]&lt;=6,"4-6 hrs",stdsurvey[[#This Row],[daily_sleep_hours]]&lt;=8,"6-8 hrs",TRUE,"&gt; 8 hrs")</f>
        <v>4-6 hrs</v>
      </c>
      <c r="Y56" t="s">
        <v>27</v>
      </c>
    </row>
    <row r="57" spans="1:25" x14ac:dyDescent="0.3">
      <c r="A57" t="s">
        <v>90</v>
      </c>
      <c r="B57">
        <v>18</v>
      </c>
      <c r="C57" t="s">
        <v>20</v>
      </c>
      <c r="D57">
        <v>5</v>
      </c>
      <c r="E57" t="s">
        <v>49</v>
      </c>
      <c r="F57">
        <v>7.9</v>
      </c>
      <c r="G57">
        <v>5.5</v>
      </c>
      <c r="H57">
        <v>4</v>
      </c>
      <c r="I57">
        <v>4</v>
      </c>
      <c r="J57">
        <v>7</v>
      </c>
      <c r="K57" s="4" t="str" cm="1">
        <f t="array" ref="K57">_xlfn.IFS(stdsurvey[[#This Row],[phq9_score]]="","Answer Not Provided",stdsurvey[[#This Row],[phq9_score]]&lt;=4,"Minimal",stdsurvey[[#This Row],[phq9_score]]&lt;=9,"Mild",stdsurvey[[#This Row],[phq9_score]]&lt;=14,"Moderate",stdsurvey[[#This Row],[phq9_score]]&lt;=19,"Moderately Severe",stdsurvey[[#This Row],[phq9_score]]&lt;=27,"Severe")</f>
        <v>Minimal</v>
      </c>
      <c r="L57">
        <v>13</v>
      </c>
      <c r="M57" s="4" t="str" cm="1">
        <f t="array" ref="M57">_xlfn.IFS(stdsurvey[[#This Row],[gad7_score]]="","Answer Not Provided",stdsurvey[[#This Row],[gad7_score]]&lt;=4,"Minimal",stdsurvey[[#This Row],[gad7_score]]&lt;=9,"Mild",stdsurvey[[#This Row],[gad7_score]]&lt;=14,"Moderate",stdsurvey[[#This Row],[gad7_score]]&lt;=21,"Severe")</f>
        <v>Mild</v>
      </c>
      <c r="N57">
        <v>11.9</v>
      </c>
      <c r="O57" s="4" t="str" cm="1">
        <f t="array" ref="O57">_xlfn.IFS(stdsurvey[[#This Row],[perceived_stress_scale]]="","Answer Not Provided",stdsurvey[[#This Row],[perceived_stress_scale]]&lt;=13,"Low Stress",stdsurvey[[#This Row],[perceived_stress_scale]]&lt;=26,"Moderate Stress",stdsurvey[[#This Row],[perceived_stress_scale]]&lt;=40,"High Stress")</f>
        <v>Low Stress</v>
      </c>
      <c r="P57">
        <v>69.5</v>
      </c>
      <c r="Q57">
        <v>4</v>
      </c>
      <c r="R57" s="4" t="str" cm="1">
        <f t="array" ref="R57">_xlfn.IFS(stdsurvey[[#This Row],[class_attendance_percent]]&lt;60,"Less than 0%",stdsurvey[[#This Row],[class_attendance_percent]]&lt;70,"60-70 %",stdsurvey[[#This Row],[class_attendance_percent]]&lt;80, "70-80%",stdsurvey[[#This Row],[class_attendance_percent]]&lt;90,"80-90%",TRUE,"More than 90%")</f>
        <v>60-70 %</v>
      </c>
      <c r="S57" t="s">
        <v>22</v>
      </c>
      <c r="T57">
        <v>4</v>
      </c>
      <c r="U57" t="s">
        <v>23</v>
      </c>
      <c r="V57">
        <v>2.52</v>
      </c>
      <c r="W57" s="4" t="str" cm="1">
        <f t="array" ref="W5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7" s="4" t="str" cm="1">
        <f t="array" ref="X57">_xlfn.IFS(stdsurvey[[#This Row],[daily_sleep_hours]]&lt;4,"&lt; 4 hrs",stdsurvey[[#This Row],[daily_sleep_hours]]&lt;=6,"4-6 hrs",stdsurvey[[#This Row],[daily_sleep_hours]]&lt;=8,"6-8 hrs",TRUE,"&gt; 8 hrs")</f>
        <v>6-8 hrs</v>
      </c>
      <c r="Y57" t="s">
        <v>20</v>
      </c>
    </row>
    <row r="58" spans="1:25" x14ac:dyDescent="0.3">
      <c r="A58" t="s">
        <v>91</v>
      </c>
      <c r="B58">
        <v>21</v>
      </c>
      <c r="C58" t="s">
        <v>27</v>
      </c>
      <c r="D58">
        <v>5</v>
      </c>
      <c r="E58" t="s">
        <v>63</v>
      </c>
      <c r="F58">
        <v>4.8</v>
      </c>
      <c r="G58">
        <v>6</v>
      </c>
      <c r="H58">
        <v>0</v>
      </c>
      <c r="I58">
        <v>3</v>
      </c>
      <c r="J58">
        <v>4</v>
      </c>
      <c r="K58" s="4" t="str" cm="1">
        <f t="array" ref="K58">_xlfn.IFS(stdsurvey[[#This Row],[phq9_score]]="","Answer Not Provided",stdsurvey[[#This Row],[phq9_score]]&lt;=4,"Minimal",stdsurvey[[#This Row],[phq9_score]]&lt;=9,"Mild",stdsurvey[[#This Row],[phq9_score]]&lt;=14,"Moderate",stdsurvey[[#This Row],[phq9_score]]&lt;=19,"Moderately Severe",stdsurvey[[#This Row],[phq9_score]]&lt;=27,"Severe")</f>
        <v>Minimal</v>
      </c>
      <c r="L58">
        <v>8</v>
      </c>
      <c r="M58" s="4" t="str" cm="1">
        <f t="array" ref="M58">_xlfn.IFS(stdsurvey[[#This Row],[gad7_score]]="","Answer Not Provided",stdsurvey[[#This Row],[gad7_score]]&lt;=4,"Minimal",stdsurvey[[#This Row],[gad7_score]]&lt;=9,"Mild",stdsurvey[[#This Row],[gad7_score]]&lt;=14,"Moderate",stdsurvey[[#This Row],[gad7_score]]&lt;=21,"Severe")</f>
        <v>Minimal</v>
      </c>
      <c r="N58">
        <v>16.399999999999999</v>
      </c>
      <c r="O58" s="4" t="str" cm="1">
        <f t="array" ref="O58">_xlfn.IFS(stdsurvey[[#This Row],[perceived_stress_scale]]="","Answer Not Provided",stdsurvey[[#This Row],[perceived_stress_scale]]&lt;=13,"Low Stress",stdsurvey[[#This Row],[perceived_stress_scale]]&lt;=26,"Moderate Stress",stdsurvey[[#This Row],[perceived_stress_scale]]&lt;=40,"High Stress")</f>
        <v>Low Stress</v>
      </c>
      <c r="P58">
        <v>96.9</v>
      </c>
      <c r="Q58">
        <v>5</v>
      </c>
      <c r="R58" s="4" t="str" cm="1">
        <f t="array" ref="R58">_xlfn.IFS(stdsurvey[[#This Row],[class_attendance_percent]]&lt;60,"Less than 0%",stdsurvey[[#This Row],[class_attendance_percent]]&lt;70,"60-70 %",stdsurvey[[#This Row],[class_attendance_percent]]&lt;80, "70-80%",stdsurvey[[#This Row],[class_attendance_percent]]&lt;90,"80-90%",TRUE,"More than 90%")</f>
        <v>More than 90%</v>
      </c>
      <c r="S58" t="s">
        <v>33</v>
      </c>
      <c r="T58">
        <v>4</v>
      </c>
      <c r="U58" t="s">
        <v>23</v>
      </c>
      <c r="V58">
        <v>2.81</v>
      </c>
      <c r="W58" s="4" t="str" cm="1">
        <f t="array" ref="W5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8" s="4" t="str" cm="1">
        <f t="array" ref="X58">_xlfn.IFS(stdsurvey[[#This Row],[daily_sleep_hours]]&lt;4,"&lt; 4 hrs",stdsurvey[[#This Row],[daily_sleep_hours]]&lt;=6,"4-6 hrs",stdsurvey[[#This Row],[daily_sleep_hours]]&lt;=8,"6-8 hrs",TRUE,"&gt; 8 hrs")</f>
        <v>4-6 hrs</v>
      </c>
      <c r="Y58" t="s">
        <v>27</v>
      </c>
    </row>
    <row r="59" spans="1:25" x14ac:dyDescent="0.3">
      <c r="A59" t="s">
        <v>92</v>
      </c>
      <c r="B59">
        <v>21</v>
      </c>
      <c r="C59" t="s">
        <v>27</v>
      </c>
      <c r="D59">
        <v>1</v>
      </c>
      <c r="E59" t="s">
        <v>21</v>
      </c>
      <c r="F59">
        <v>4.7</v>
      </c>
      <c r="G59">
        <v>5.8</v>
      </c>
      <c r="H59">
        <v>2</v>
      </c>
      <c r="I59">
        <v>6</v>
      </c>
      <c r="J59">
        <v>5</v>
      </c>
      <c r="K59" s="4" t="str" cm="1">
        <f t="array" ref="K59">_xlfn.IFS(stdsurvey[[#This Row],[phq9_score]]="","Answer Not Provided",stdsurvey[[#This Row],[phq9_score]]&lt;=4,"Minimal",stdsurvey[[#This Row],[phq9_score]]&lt;=9,"Mild",stdsurvey[[#This Row],[phq9_score]]&lt;=14,"Moderate",stdsurvey[[#This Row],[phq9_score]]&lt;=19,"Moderately Severe",stdsurvey[[#This Row],[phq9_score]]&lt;=27,"Severe")</f>
        <v>Mild</v>
      </c>
      <c r="L59">
        <v>10</v>
      </c>
      <c r="M59" s="4" t="str" cm="1">
        <f t="array" ref="M59">_xlfn.IFS(stdsurvey[[#This Row],[gad7_score]]="","Answer Not Provided",stdsurvey[[#This Row],[gad7_score]]&lt;=4,"Minimal",stdsurvey[[#This Row],[gad7_score]]&lt;=9,"Mild",stdsurvey[[#This Row],[gad7_score]]&lt;=14,"Moderate",stdsurvey[[#This Row],[gad7_score]]&lt;=21,"Severe")</f>
        <v>Mild</v>
      </c>
      <c r="N59">
        <v>25.6</v>
      </c>
      <c r="O59" s="4" t="str" cm="1">
        <f t="array" ref="O59">_xlfn.IFS(stdsurvey[[#This Row],[perceived_stress_scale]]="","Answer Not Provided",stdsurvey[[#This Row],[perceived_stress_scale]]&lt;=13,"Low Stress",stdsurvey[[#This Row],[perceived_stress_scale]]&lt;=26,"Moderate Stress",stdsurvey[[#This Row],[perceived_stress_scale]]&lt;=40,"High Stress")</f>
        <v>Low Stress</v>
      </c>
      <c r="P59">
        <v>68.400000000000006</v>
      </c>
      <c r="Q59">
        <v>3</v>
      </c>
      <c r="R59" s="4" t="str" cm="1">
        <f t="array" ref="R59">_xlfn.IFS(stdsurvey[[#This Row],[class_attendance_percent]]&lt;60,"Less than 0%",stdsurvey[[#This Row],[class_attendance_percent]]&lt;70,"60-70 %",stdsurvey[[#This Row],[class_attendance_percent]]&lt;80, "70-80%",stdsurvey[[#This Row],[class_attendance_percent]]&lt;90,"80-90%",TRUE,"More than 90%")</f>
        <v>60-70 %</v>
      </c>
      <c r="S59" t="s">
        <v>33</v>
      </c>
      <c r="T59">
        <v>2</v>
      </c>
      <c r="U59" t="s">
        <v>26</v>
      </c>
      <c r="V59">
        <v>3.17</v>
      </c>
      <c r="W59" s="4" t="str" cm="1">
        <f t="array" ref="W5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9" s="4" t="str" cm="1">
        <f t="array" ref="X59">_xlfn.IFS(stdsurvey[[#This Row],[daily_sleep_hours]]&lt;4,"&lt; 4 hrs",stdsurvey[[#This Row],[daily_sleep_hours]]&lt;=6,"4-6 hrs",stdsurvey[[#This Row],[daily_sleep_hours]]&lt;=8,"6-8 hrs",TRUE,"&gt; 8 hrs")</f>
        <v>4-6 hrs</v>
      </c>
      <c r="Y59" t="s">
        <v>27</v>
      </c>
    </row>
    <row r="60" spans="1:25" x14ac:dyDescent="0.3">
      <c r="A60" t="s">
        <v>93</v>
      </c>
      <c r="B60">
        <v>20</v>
      </c>
      <c r="C60" t="s">
        <v>61</v>
      </c>
      <c r="D60">
        <v>1</v>
      </c>
      <c r="E60" t="s">
        <v>21</v>
      </c>
      <c r="F60">
        <v>6.6</v>
      </c>
      <c r="G60">
        <v>3.7</v>
      </c>
      <c r="H60">
        <v>3</v>
      </c>
      <c r="I60">
        <v>12</v>
      </c>
      <c r="J60">
        <v>12</v>
      </c>
      <c r="K60" s="4" t="str" cm="1">
        <f t="array" ref="K60">_xlfn.IFS(stdsurvey[[#This Row],[phq9_score]]="","Answer Not Provided",stdsurvey[[#This Row],[phq9_score]]&lt;=4,"Minimal",stdsurvey[[#This Row],[phq9_score]]&lt;=9,"Mild",stdsurvey[[#This Row],[phq9_score]]&lt;=14,"Moderate",stdsurvey[[#This Row],[phq9_score]]&lt;=19,"Moderately Severe",stdsurvey[[#This Row],[phq9_score]]&lt;=27,"Severe")</f>
        <v>Moderate</v>
      </c>
      <c r="L60">
        <v>22</v>
      </c>
      <c r="M60" s="4" t="str" cm="1">
        <f t="array" ref="M60">_xlfn.IFS(stdsurvey[[#This Row],[gad7_score]]="","Answer Not Provided",stdsurvey[[#This Row],[gad7_score]]&lt;=4,"Minimal",stdsurvey[[#This Row],[gad7_score]]&lt;=9,"Mild",stdsurvey[[#This Row],[gad7_score]]&lt;=14,"Moderate",stdsurvey[[#This Row],[gad7_score]]&lt;=21,"Severe")</f>
        <v>Moderate</v>
      </c>
      <c r="N60">
        <v>13.7</v>
      </c>
      <c r="O60" s="4" t="str" cm="1">
        <f t="array" ref="O60">_xlfn.IFS(stdsurvey[[#This Row],[perceived_stress_scale]]="","Answer Not Provided",stdsurvey[[#This Row],[perceived_stress_scale]]&lt;=13,"Low Stress",stdsurvey[[#This Row],[perceived_stress_scale]]&lt;=26,"Moderate Stress",stdsurvey[[#This Row],[perceived_stress_scale]]&lt;=40,"High Stress")</f>
        <v>Moderate Stress</v>
      </c>
      <c r="P60">
        <v>100</v>
      </c>
      <c r="Q60">
        <v>3</v>
      </c>
      <c r="R60" s="4" t="str" cm="1">
        <f t="array" ref="R60">_xlfn.IFS(stdsurvey[[#This Row],[class_attendance_percent]]&lt;60,"Less than 0%",stdsurvey[[#This Row],[class_attendance_percent]]&lt;70,"60-70 %",stdsurvey[[#This Row],[class_attendance_percent]]&lt;80, "70-80%",stdsurvey[[#This Row],[class_attendance_percent]]&lt;90,"80-90%",TRUE,"More than 90%")</f>
        <v>More than 90%</v>
      </c>
      <c r="S60" t="s">
        <v>22</v>
      </c>
      <c r="T60">
        <v>3</v>
      </c>
      <c r="U60" t="s">
        <v>26</v>
      </c>
      <c r="V60">
        <v>3</v>
      </c>
      <c r="W60" s="4" t="str" cm="1">
        <f t="array" ref="W6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0" s="4" t="str" cm="1">
        <f t="array" ref="X60">_xlfn.IFS(stdsurvey[[#This Row],[daily_sleep_hours]]&lt;4,"&lt; 4 hrs",stdsurvey[[#This Row],[daily_sleep_hours]]&lt;=6,"4-6 hrs",stdsurvey[[#This Row],[daily_sleep_hours]]&lt;=8,"6-8 hrs",TRUE,"&gt; 8 hrs")</f>
        <v>6-8 hrs</v>
      </c>
      <c r="Y60" t="s">
        <v>61</v>
      </c>
    </row>
    <row r="61" spans="1:25" x14ac:dyDescent="0.3">
      <c r="A61" t="s">
        <v>94</v>
      </c>
      <c r="B61">
        <v>21</v>
      </c>
      <c r="C61" t="s">
        <v>20</v>
      </c>
      <c r="D61">
        <v>4</v>
      </c>
      <c r="E61" t="s">
        <v>35</v>
      </c>
      <c r="F61">
        <v>6.6</v>
      </c>
      <c r="G61">
        <v>2.6</v>
      </c>
      <c r="H61">
        <v>1</v>
      </c>
      <c r="I61">
        <v>20</v>
      </c>
      <c r="J61">
        <v>18</v>
      </c>
      <c r="K61" s="4" t="str" cm="1">
        <f t="array" ref="K61">_xlfn.IFS(stdsurvey[[#This Row],[phq9_score]]="","Answer Not Provided",stdsurvey[[#This Row],[phq9_score]]&lt;=4,"Minimal",stdsurvey[[#This Row],[phq9_score]]&lt;=9,"Mild",stdsurvey[[#This Row],[phq9_score]]&lt;=14,"Moderate",stdsurvey[[#This Row],[phq9_score]]&lt;=19,"Moderately Severe",stdsurvey[[#This Row],[phq9_score]]&lt;=27,"Severe")</f>
        <v>Severe</v>
      </c>
      <c r="L61">
        <v>25</v>
      </c>
      <c r="M61" s="4" t="str" cm="1">
        <f t="array" ref="M61">_xlfn.IFS(stdsurvey[[#This Row],[gad7_score]]="","Answer Not Provided",stdsurvey[[#This Row],[gad7_score]]&lt;=4,"Minimal",stdsurvey[[#This Row],[gad7_score]]&lt;=9,"Mild",stdsurvey[[#This Row],[gad7_score]]&lt;=14,"Moderate",stdsurvey[[#This Row],[gad7_score]]&lt;=21,"Severe")</f>
        <v>Severe</v>
      </c>
      <c r="N61">
        <v>1.3</v>
      </c>
      <c r="O61" s="4" t="str" cm="1">
        <f t="array" ref="O61">_xlfn.IFS(stdsurvey[[#This Row],[perceived_stress_scale]]="","Answer Not Provided",stdsurvey[[#This Row],[perceived_stress_scale]]&lt;=13,"Low Stress",stdsurvey[[#This Row],[perceived_stress_scale]]&lt;=26,"Moderate Stress",stdsurvey[[#This Row],[perceived_stress_scale]]&lt;=40,"High Stress")</f>
        <v>Moderate Stress</v>
      </c>
      <c r="P61">
        <v>100</v>
      </c>
      <c r="Q61">
        <v>4</v>
      </c>
      <c r="R61" s="4" t="str" cm="1">
        <f t="array" ref="R61">_xlfn.IFS(stdsurvey[[#This Row],[class_attendance_percent]]&lt;60,"Less than 0%",stdsurvey[[#This Row],[class_attendance_percent]]&lt;70,"60-70 %",stdsurvey[[#This Row],[class_attendance_percent]]&lt;80, "70-80%",stdsurvey[[#This Row],[class_attendance_percent]]&lt;90,"80-90%",TRUE,"More than 90%")</f>
        <v>More than 90%</v>
      </c>
      <c r="S61" t="s">
        <v>22</v>
      </c>
      <c r="T61">
        <v>1</v>
      </c>
      <c r="U61" t="s">
        <v>51</v>
      </c>
      <c r="V61">
        <v>2.4</v>
      </c>
      <c r="W61" s="4" t="str" cm="1">
        <f t="array" ref="W6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1" s="4" t="str" cm="1">
        <f t="array" ref="X61">_xlfn.IFS(stdsurvey[[#This Row],[daily_sleep_hours]]&lt;4,"&lt; 4 hrs",stdsurvey[[#This Row],[daily_sleep_hours]]&lt;=6,"4-6 hrs",stdsurvey[[#This Row],[daily_sleep_hours]]&lt;=8,"6-8 hrs",TRUE,"&gt; 8 hrs")</f>
        <v>6-8 hrs</v>
      </c>
      <c r="Y61" t="s">
        <v>20</v>
      </c>
    </row>
    <row r="62" spans="1:25" x14ac:dyDescent="0.3">
      <c r="A62" t="s">
        <v>95</v>
      </c>
      <c r="B62">
        <v>25</v>
      </c>
      <c r="C62" t="s">
        <v>29</v>
      </c>
      <c r="D62">
        <v>2</v>
      </c>
      <c r="E62" t="s">
        <v>30</v>
      </c>
      <c r="F62">
        <v>6.3</v>
      </c>
      <c r="G62">
        <v>4.8</v>
      </c>
      <c r="H62">
        <v>5</v>
      </c>
      <c r="I62">
        <v>10</v>
      </c>
      <c r="J62">
        <v>11</v>
      </c>
      <c r="K62" s="4" t="str" cm="1">
        <f t="array" ref="K62">_xlfn.IFS(stdsurvey[[#This Row],[phq9_score]]="","Answer Not Provided",stdsurvey[[#This Row],[phq9_score]]&lt;=4,"Minimal",stdsurvey[[#This Row],[phq9_score]]&lt;=9,"Mild",stdsurvey[[#This Row],[phq9_score]]&lt;=14,"Moderate",stdsurvey[[#This Row],[phq9_score]]&lt;=19,"Moderately Severe",stdsurvey[[#This Row],[phq9_score]]&lt;=27,"Severe")</f>
        <v>Moderate</v>
      </c>
      <c r="L62">
        <v>15</v>
      </c>
      <c r="M62" s="4" t="str" cm="1">
        <f t="array" ref="M62">_xlfn.IFS(stdsurvey[[#This Row],[gad7_score]]="","Answer Not Provided",stdsurvey[[#This Row],[gad7_score]]&lt;=4,"Minimal",stdsurvey[[#This Row],[gad7_score]]&lt;=9,"Mild",stdsurvey[[#This Row],[gad7_score]]&lt;=14,"Moderate",stdsurvey[[#This Row],[gad7_score]]&lt;=21,"Severe")</f>
        <v>Moderate</v>
      </c>
      <c r="N62">
        <v>25</v>
      </c>
      <c r="O62" s="4" t="str" cm="1">
        <f t="array" ref="O62">_xlfn.IFS(stdsurvey[[#This Row],[perceived_stress_scale]]="","Answer Not Provided",stdsurvey[[#This Row],[perceived_stress_scale]]&lt;=13,"Low Stress",stdsurvey[[#This Row],[perceived_stress_scale]]&lt;=26,"Moderate Stress",stdsurvey[[#This Row],[perceived_stress_scale]]&lt;=40,"High Stress")</f>
        <v>Moderate Stress</v>
      </c>
      <c r="P62">
        <v>100</v>
      </c>
      <c r="Q62">
        <v>2</v>
      </c>
      <c r="R62" s="4" t="str" cm="1">
        <f t="array" ref="R62">_xlfn.IFS(stdsurvey[[#This Row],[class_attendance_percent]]&lt;60,"Less than 0%",stdsurvey[[#This Row],[class_attendance_percent]]&lt;70,"60-70 %",stdsurvey[[#This Row],[class_attendance_percent]]&lt;80, "70-80%",stdsurvey[[#This Row],[class_attendance_percent]]&lt;90,"80-90%",TRUE,"More than 90%")</f>
        <v>More than 90%</v>
      </c>
      <c r="S62" t="s">
        <v>33</v>
      </c>
      <c r="T62">
        <v>5</v>
      </c>
      <c r="U62" t="s">
        <v>23</v>
      </c>
      <c r="V62">
        <v>3.24</v>
      </c>
      <c r="W62" s="4" t="str" cm="1">
        <f t="array" ref="W6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62" s="4" t="str" cm="1">
        <f t="array" ref="X62">_xlfn.IFS(stdsurvey[[#This Row],[daily_sleep_hours]]&lt;4,"&lt; 4 hrs",stdsurvey[[#This Row],[daily_sleep_hours]]&lt;=6,"4-6 hrs",stdsurvey[[#This Row],[daily_sleep_hours]]&lt;=8,"6-8 hrs",TRUE,"&gt; 8 hrs")</f>
        <v>6-8 hrs</v>
      </c>
      <c r="Y62" t="s">
        <v>29</v>
      </c>
    </row>
    <row r="63" spans="1:25" x14ac:dyDescent="0.3">
      <c r="A63" t="s">
        <v>96</v>
      </c>
      <c r="B63">
        <v>20</v>
      </c>
      <c r="C63" t="s">
        <v>20</v>
      </c>
      <c r="D63">
        <v>4</v>
      </c>
      <c r="E63" t="s">
        <v>49</v>
      </c>
      <c r="F63">
        <v>7.5</v>
      </c>
      <c r="G63">
        <v>3.7</v>
      </c>
      <c r="H63">
        <v>1</v>
      </c>
      <c r="I63">
        <v>2</v>
      </c>
      <c r="J63">
        <v>2</v>
      </c>
      <c r="K63" s="4" t="str" cm="1">
        <f t="array" ref="K63">_xlfn.IFS(stdsurvey[[#This Row],[phq9_score]]="","Answer Not Provided",stdsurvey[[#This Row],[phq9_score]]&lt;=4,"Minimal",stdsurvey[[#This Row],[phq9_score]]&lt;=9,"Mild",stdsurvey[[#This Row],[phq9_score]]&lt;=14,"Moderate",stdsurvey[[#This Row],[phq9_score]]&lt;=19,"Moderately Severe",stdsurvey[[#This Row],[phq9_score]]&lt;=27,"Severe")</f>
        <v>Minimal</v>
      </c>
      <c r="L63">
        <v>13</v>
      </c>
      <c r="M63" s="4" t="str" cm="1">
        <f t="array" ref="M63">_xlfn.IFS(stdsurvey[[#This Row],[gad7_score]]="","Answer Not Provided",stdsurvey[[#This Row],[gad7_score]]&lt;=4,"Minimal",stdsurvey[[#This Row],[gad7_score]]&lt;=9,"Mild",stdsurvey[[#This Row],[gad7_score]]&lt;=14,"Moderate",stdsurvey[[#This Row],[gad7_score]]&lt;=21,"Severe")</f>
        <v>Minimal</v>
      </c>
      <c r="N63">
        <v>12.4</v>
      </c>
      <c r="O63" s="4" t="str" cm="1">
        <f t="array" ref="O63">_xlfn.IFS(stdsurvey[[#This Row],[perceived_stress_scale]]="","Answer Not Provided",stdsurvey[[#This Row],[perceived_stress_scale]]&lt;=13,"Low Stress",stdsurvey[[#This Row],[perceived_stress_scale]]&lt;=26,"Moderate Stress",stdsurvey[[#This Row],[perceived_stress_scale]]&lt;=40,"High Stress")</f>
        <v>Low Stress</v>
      </c>
      <c r="P63">
        <v>100</v>
      </c>
      <c r="Q63">
        <v>4</v>
      </c>
      <c r="R63" s="4" t="str" cm="1">
        <f t="array" ref="R63">_xlfn.IFS(stdsurvey[[#This Row],[class_attendance_percent]]&lt;60,"Less than 0%",stdsurvey[[#This Row],[class_attendance_percent]]&lt;70,"60-70 %",stdsurvey[[#This Row],[class_attendance_percent]]&lt;80, "70-80%",stdsurvey[[#This Row],[class_attendance_percent]]&lt;90,"80-90%",TRUE,"More than 90%")</f>
        <v>More than 90%</v>
      </c>
      <c r="S63" t="s">
        <v>33</v>
      </c>
      <c r="T63">
        <v>3</v>
      </c>
      <c r="U63" t="s">
        <v>26</v>
      </c>
      <c r="V63">
        <v>3.74</v>
      </c>
      <c r="W63" s="4" t="str" cm="1">
        <f t="array" ref="W6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3" s="4" t="str" cm="1">
        <f t="array" ref="X63">_xlfn.IFS(stdsurvey[[#This Row],[daily_sleep_hours]]&lt;4,"&lt; 4 hrs",stdsurvey[[#This Row],[daily_sleep_hours]]&lt;=6,"4-6 hrs",stdsurvey[[#This Row],[daily_sleep_hours]]&lt;=8,"6-8 hrs",TRUE,"&gt; 8 hrs")</f>
        <v>6-8 hrs</v>
      </c>
      <c r="Y63" t="s">
        <v>20</v>
      </c>
    </row>
    <row r="64" spans="1:25" x14ac:dyDescent="0.3">
      <c r="A64" t="s">
        <v>97</v>
      </c>
      <c r="B64">
        <v>24</v>
      </c>
      <c r="C64" t="s">
        <v>20</v>
      </c>
      <c r="D64">
        <v>3</v>
      </c>
      <c r="E64" t="s">
        <v>49</v>
      </c>
      <c r="F64">
        <v>7.1</v>
      </c>
      <c r="G64">
        <v>1</v>
      </c>
      <c r="H64">
        <v>5</v>
      </c>
      <c r="I64">
        <v>8</v>
      </c>
      <c r="J64">
        <v>6</v>
      </c>
      <c r="K64" s="4" t="str" cm="1">
        <f t="array" ref="K64">_xlfn.IFS(stdsurvey[[#This Row],[phq9_score]]="","Answer Not Provided",stdsurvey[[#This Row],[phq9_score]]&lt;=4,"Minimal",stdsurvey[[#This Row],[phq9_score]]&lt;=9,"Mild",stdsurvey[[#This Row],[phq9_score]]&lt;=14,"Moderate",stdsurvey[[#This Row],[phq9_score]]&lt;=19,"Moderately Severe",stdsurvey[[#This Row],[phq9_score]]&lt;=27,"Severe")</f>
        <v>Mild</v>
      </c>
      <c r="L64">
        <v>13</v>
      </c>
      <c r="M64" s="4" t="str" cm="1">
        <f t="array" ref="M64">_xlfn.IFS(stdsurvey[[#This Row],[gad7_score]]="","Answer Not Provided",stdsurvey[[#This Row],[gad7_score]]&lt;=4,"Minimal",stdsurvey[[#This Row],[gad7_score]]&lt;=9,"Mild",stdsurvey[[#This Row],[gad7_score]]&lt;=14,"Moderate",stdsurvey[[#This Row],[gad7_score]]&lt;=21,"Severe")</f>
        <v>Mild</v>
      </c>
      <c r="N64">
        <v>28.4</v>
      </c>
      <c r="O64" s="4" t="str" cm="1">
        <f t="array" ref="O64">_xlfn.IFS(stdsurvey[[#This Row],[perceived_stress_scale]]="","Answer Not Provided",stdsurvey[[#This Row],[perceived_stress_scale]]&lt;=13,"Low Stress",stdsurvey[[#This Row],[perceived_stress_scale]]&lt;=26,"Moderate Stress",stdsurvey[[#This Row],[perceived_stress_scale]]&lt;=40,"High Stress")</f>
        <v>Low Stress</v>
      </c>
      <c r="P64">
        <v>75.8</v>
      </c>
      <c r="Q64">
        <v>2</v>
      </c>
      <c r="R64" s="4" t="str" cm="1">
        <f t="array" ref="R64">_xlfn.IFS(stdsurvey[[#This Row],[class_attendance_percent]]&lt;60,"Less than 0%",stdsurvey[[#This Row],[class_attendance_percent]]&lt;70,"60-70 %",stdsurvey[[#This Row],[class_attendance_percent]]&lt;80, "70-80%",stdsurvey[[#This Row],[class_attendance_percent]]&lt;90,"80-90%",TRUE,"More than 90%")</f>
        <v>70-80%</v>
      </c>
      <c r="S64" t="s">
        <v>33</v>
      </c>
      <c r="T64">
        <v>2</v>
      </c>
      <c r="U64" t="s">
        <v>26</v>
      </c>
      <c r="V64">
        <v>3.11</v>
      </c>
      <c r="W64" s="4" t="str" cm="1">
        <f t="array" ref="W6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4" s="4" t="str" cm="1">
        <f t="array" ref="X64">_xlfn.IFS(stdsurvey[[#This Row],[daily_sleep_hours]]&lt;4,"&lt; 4 hrs",stdsurvey[[#This Row],[daily_sleep_hours]]&lt;=6,"4-6 hrs",stdsurvey[[#This Row],[daily_sleep_hours]]&lt;=8,"6-8 hrs",TRUE,"&gt; 8 hrs")</f>
        <v>6-8 hrs</v>
      </c>
      <c r="Y64" t="s">
        <v>20</v>
      </c>
    </row>
    <row r="65" spans="1:25" x14ac:dyDescent="0.3">
      <c r="A65" t="s">
        <v>98</v>
      </c>
      <c r="B65">
        <v>18</v>
      </c>
      <c r="C65" t="s">
        <v>39</v>
      </c>
      <c r="D65">
        <v>1</v>
      </c>
      <c r="E65" t="s">
        <v>30</v>
      </c>
      <c r="F65">
        <v>7.3</v>
      </c>
      <c r="G65">
        <v>1.9</v>
      </c>
      <c r="H65">
        <v>1</v>
      </c>
      <c r="I65">
        <v>27</v>
      </c>
      <c r="J65">
        <v>21</v>
      </c>
      <c r="K65" s="4" t="str" cm="1">
        <f t="array" ref="K65">_xlfn.IFS(stdsurvey[[#This Row],[phq9_score]]="","Answer Not Provided",stdsurvey[[#This Row],[phq9_score]]&lt;=4,"Minimal",stdsurvey[[#This Row],[phq9_score]]&lt;=9,"Mild",stdsurvey[[#This Row],[phq9_score]]&lt;=14,"Moderate",stdsurvey[[#This Row],[phq9_score]]&lt;=19,"Moderately Severe",stdsurvey[[#This Row],[phq9_score]]&lt;=27,"Severe")</f>
        <v>Severe</v>
      </c>
      <c r="L65">
        <v>38</v>
      </c>
      <c r="M65" s="4" t="str" cm="1">
        <f t="array" ref="M65">_xlfn.IFS(stdsurvey[[#This Row],[gad7_score]]="","Answer Not Provided",stdsurvey[[#This Row],[gad7_score]]&lt;=4,"Minimal",stdsurvey[[#This Row],[gad7_score]]&lt;=9,"Mild",stdsurvey[[#This Row],[gad7_score]]&lt;=14,"Moderate",stdsurvey[[#This Row],[gad7_score]]&lt;=21,"Severe")</f>
        <v>Severe</v>
      </c>
      <c r="N65">
        <v>12.9</v>
      </c>
      <c r="O65" s="4" t="str" cm="1">
        <f t="array" ref="O65">_xlfn.IFS(stdsurvey[[#This Row],[perceived_stress_scale]]="","Answer Not Provided",stdsurvey[[#This Row],[perceived_stress_scale]]&lt;=13,"Low Stress",stdsurvey[[#This Row],[perceived_stress_scale]]&lt;=26,"Moderate Stress",stdsurvey[[#This Row],[perceived_stress_scale]]&lt;=40,"High Stress")</f>
        <v>High Stress</v>
      </c>
      <c r="P65">
        <v>85.4</v>
      </c>
      <c r="Q65">
        <v>5</v>
      </c>
      <c r="R65" s="4" t="str" cm="1">
        <f t="array" ref="R65">_xlfn.IFS(stdsurvey[[#This Row],[class_attendance_percent]]&lt;60,"Less than 0%",stdsurvey[[#This Row],[class_attendance_percent]]&lt;70,"60-70 %",stdsurvey[[#This Row],[class_attendance_percent]]&lt;80, "70-80%",stdsurvey[[#This Row],[class_attendance_percent]]&lt;90,"80-90%",TRUE,"More than 90%")</f>
        <v>80-90%</v>
      </c>
      <c r="S65" t="s">
        <v>33</v>
      </c>
      <c r="T65">
        <v>1</v>
      </c>
      <c r="U65" t="s">
        <v>51</v>
      </c>
      <c r="V65">
        <v>2.9</v>
      </c>
      <c r="W65" s="4" t="str" cm="1">
        <f t="array" ref="W6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5" s="4" t="str" cm="1">
        <f t="array" ref="X65">_xlfn.IFS(stdsurvey[[#This Row],[daily_sleep_hours]]&lt;4,"&lt; 4 hrs",stdsurvey[[#This Row],[daily_sleep_hours]]&lt;=6,"4-6 hrs",stdsurvey[[#This Row],[daily_sleep_hours]]&lt;=8,"6-8 hrs",TRUE,"&gt; 8 hrs")</f>
        <v>6-8 hrs</v>
      </c>
      <c r="Y65" t="s">
        <v>27</v>
      </c>
    </row>
    <row r="66" spans="1:25" x14ac:dyDescent="0.3">
      <c r="A66" t="s">
        <v>99</v>
      </c>
      <c r="B66">
        <v>21</v>
      </c>
      <c r="C66" t="s">
        <v>45</v>
      </c>
      <c r="D66">
        <v>4</v>
      </c>
      <c r="E66" t="s">
        <v>21</v>
      </c>
      <c r="F66">
        <v>6.3</v>
      </c>
      <c r="G66">
        <v>3.3</v>
      </c>
      <c r="H66">
        <v>7</v>
      </c>
      <c r="I66">
        <v>2</v>
      </c>
      <c r="J66">
        <v>4</v>
      </c>
      <c r="K66" s="4" t="str" cm="1">
        <f t="array" ref="K66">_xlfn.IFS(stdsurvey[[#This Row],[phq9_score]]="","Answer Not Provided",stdsurvey[[#This Row],[phq9_score]]&lt;=4,"Minimal",stdsurvey[[#This Row],[phq9_score]]&lt;=9,"Mild",stdsurvey[[#This Row],[phq9_score]]&lt;=14,"Moderate",stdsurvey[[#This Row],[phq9_score]]&lt;=19,"Moderately Severe",stdsurvey[[#This Row],[phq9_score]]&lt;=27,"Severe")</f>
        <v>Minimal</v>
      </c>
      <c r="L66">
        <v>4</v>
      </c>
      <c r="M66" s="4" t="str" cm="1">
        <f t="array" ref="M66">_xlfn.IFS(stdsurvey[[#This Row],[gad7_score]]="","Answer Not Provided",stdsurvey[[#This Row],[gad7_score]]&lt;=4,"Minimal",stdsurvey[[#This Row],[gad7_score]]&lt;=9,"Mild",stdsurvey[[#This Row],[gad7_score]]&lt;=14,"Moderate",stdsurvey[[#This Row],[gad7_score]]&lt;=21,"Severe")</f>
        <v>Minimal</v>
      </c>
      <c r="N66">
        <v>25.8</v>
      </c>
      <c r="O66" s="4" t="str" cm="1">
        <f t="array" ref="O66">_xlfn.IFS(stdsurvey[[#This Row],[perceived_stress_scale]]="","Answer Not Provided",stdsurvey[[#This Row],[perceived_stress_scale]]&lt;=13,"Low Stress",stdsurvey[[#This Row],[perceived_stress_scale]]&lt;=26,"Moderate Stress",stdsurvey[[#This Row],[perceived_stress_scale]]&lt;=40,"High Stress")</f>
        <v>Low Stress</v>
      </c>
      <c r="P66">
        <v>84</v>
      </c>
      <c r="Q66">
        <v>4</v>
      </c>
      <c r="R66" s="4" t="str" cm="1">
        <f t="array" ref="R66">_xlfn.IFS(stdsurvey[[#This Row],[class_attendance_percent]]&lt;60,"Less than 0%",stdsurvey[[#This Row],[class_attendance_percent]]&lt;70,"60-70 %",stdsurvey[[#This Row],[class_attendance_percent]]&lt;80, "70-80%",stdsurvey[[#This Row],[class_attendance_percent]]&lt;90,"80-90%",TRUE,"More than 90%")</f>
        <v>80-90%</v>
      </c>
      <c r="S66" t="s">
        <v>22</v>
      </c>
      <c r="T66">
        <v>4</v>
      </c>
      <c r="U66" t="s">
        <v>23</v>
      </c>
      <c r="V66">
        <v>3.17</v>
      </c>
      <c r="W66" s="4" t="str" cm="1">
        <f t="array" ref="W6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6" s="4" t="str" cm="1">
        <f t="array" ref="X66">_xlfn.IFS(stdsurvey[[#This Row],[daily_sleep_hours]]&lt;4,"&lt; 4 hrs",stdsurvey[[#This Row],[daily_sleep_hours]]&lt;=6,"4-6 hrs",stdsurvey[[#This Row],[daily_sleep_hours]]&lt;=8,"6-8 hrs",TRUE,"&gt; 8 hrs")</f>
        <v>6-8 hrs</v>
      </c>
      <c r="Y66" t="s">
        <v>20</v>
      </c>
    </row>
    <row r="67" spans="1:25" x14ac:dyDescent="0.3">
      <c r="A67" t="s">
        <v>100</v>
      </c>
      <c r="B67">
        <v>22</v>
      </c>
      <c r="C67" t="s">
        <v>39</v>
      </c>
      <c r="D67">
        <v>1</v>
      </c>
      <c r="E67" t="s">
        <v>30</v>
      </c>
      <c r="F67">
        <v>5.4</v>
      </c>
      <c r="G67">
        <v>7.8</v>
      </c>
      <c r="H67">
        <v>3</v>
      </c>
      <c r="I67">
        <v>17</v>
      </c>
      <c r="J67">
        <v>13</v>
      </c>
      <c r="K67" s="4" t="str" cm="1">
        <f t="array" ref="K67">_xlfn.IFS(stdsurvey[[#This Row],[phq9_score]]="","Answer Not Provided",stdsurvey[[#This Row],[phq9_score]]&lt;=4,"Minimal",stdsurvey[[#This Row],[phq9_score]]&lt;=9,"Mild",stdsurvey[[#This Row],[phq9_score]]&lt;=14,"Moderate",stdsurvey[[#This Row],[phq9_score]]&lt;=19,"Moderately Severe",stdsurvey[[#This Row],[phq9_score]]&lt;=27,"Severe")</f>
        <v>Moderately Severe</v>
      </c>
      <c r="L67">
        <v>24</v>
      </c>
      <c r="M67" s="4" t="str" cm="1">
        <f t="array" ref="M67">_xlfn.IFS(stdsurvey[[#This Row],[gad7_score]]="","Answer Not Provided",stdsurvey[[#This Row],[gad7_score]]&lt;=4,"Minimal",stdsurvey[[#This Row],[gad7_score]]&lt;=9,"Mild",stdsurvey[[#This Row],[gad7_score]]&lt;=14,"Moderate",stdsurvey[[#This Row],[gad7_score]]&lt;=21,"Severe")</f>
        <v>Moderate</v>
      </c>
      <c r="N67">
        <v>31.8</v>
      </c>
      <c r="O67" s="4" t="str" cm="1">
        <f t="array" ref="O67">_xlfn.IFS(stdsurvey[[#This Row],[perceived_stress_scale]]="","Answer Not Provided",stdsurvey[[#This Row],[perceived_stress_scale]]&lt;=13,"Low Stress",stdsurvey[[#This Row],[perceived_stress_scale]]&lt;=26,"Moderate Stress",stdsurvey[[#This Row],[perceived_stress_scale]]&lt;=40,"High Stress")</f>
        <v>Moderate Stress</v>
      </c>
      <c r="P67">
        <v>56.2</v>
      </c>
      <c r="Q67">
        <v>3</v>
      </c>
      <c r="R67" s="4" t="str" cm="1">
        <f t="array" ref="R67">_xlfn.IFS(stdsurvey[[#This Row],[class_attendance_percent]]&lt;60,"Less than 0%",stdsurvey[[#This Row],[class_attendance_percent]]&lt;70,"60-70 %",stdsurvey[[#This Row],[class_attendance_percent]]&lt;80, "70-80%",stdsurvey[[#This Row],[class_attendance_percent]]&lt;90,"80-90%",TRUE,"More than 90%")</f>
        <v>Less than 0%</v>
      </c>
      <c r="S67" t="s">
        <v>33</v>
      </c>
      <c r="T67">
        <v>4</v>
      </c>
      <c r="U67" t="s">
        <v>23</v>
      </c>
      <c r="V67">
        <v>2.52</v>
      </c>
      <c r="W67" s="4" t="str" cm="1">
        <f t="array" ref="W6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67" s="4" t="str" cm="1">
        <f t="array" ref="X67">_xlfn.IFS(stdsurvey[[#This Row],[daily_sleep_hours]]&lt;4,"&lt; 4 hrs",stdsurvey[[#This Row],[daily_sleep_hours]]&lt;=6,"4-6 hrs",stdsurvey[[#This Row],[daily_sleep_hours]]&lt;=8,"6-8 hrs",TRUE,"&gt; 8 hrs")</f>
        <v>4-6 hrs</v>
      </c>
      <c r="Y67" t="s">
        <v>27</v>
      </c>
    </row>
    <row r="68" spans="1:25" x14ac:dyDescent="0.3">
      <c r="A68" t="s">
        <v>101</v>
      </c>
      <c r="B68">
        <v>23</v>
      </c>
      <c r="C68" t="s">
        <v>102</v>
      </c>
      <c r="D68">
        <v>2</v>
      </c>
      <c r="E68" t="s">
        <v>30</v>
      </c>
      <c r="F68">
        <v>5.9</v>
      </c>
      <c r="G68">
        <v>4.8</v>
      </c>
      <c r="H68">
        <v>0</v>
      </c>
      <c r="I68">
        <v>4</v>
      </c>
      <c r="J68">
        <v>6</v>
      </c>
      <c r="K68" s="4" t="str" cm="1">
        <f t="array" ref="K68">_xlfn.IFS(stdsurvey[[#This Row],[phq9_score]]="","Answer Not Provided",stdsurvey[[#This Row],[phq9_score]]&lt;=4,"Minimal",stdsurvey[[#This Row],[phq9_score]]&lt;=9,"Mild",stdsurvey[[#This Row],[phq9_score]]&lt;=14,"Moderate",stdsurvey[[#This Row],[phq9_score]]&lt;=19,"Moderately Severe",stdsurvey[[#This Row],[phq9_score]]&lt;=27,"Severe")</f>
        <v>Minimal</v>
      </c>
      <c r="L68">
        <v>16</v>
      </c>
      <c r="M68" s="4" t="str" cm="1">
        <f t="array" ref="M68">_xlfn.IFS(stdsurvey[[#This Row],[gad7_score]]="","Answer Not Provided",stdsurvey[[#This Row],[gad7_score]]&lt;=4,"Minimal",stdsurvey[[#This Row],[gad7_score]]&lt;=9,"Mild",stdsurvey[[#This Row],[gad7_score]]&lt;=14,"Moderate",stdsurvey[[#This Row],[gad7_score]]&lt;=21,"Severe")</f>
        <v>Mild</v>
      </c>
      <c r="N68">
        <v>12.6</v>
      </c>
      <c r="O68" s="4" t="str" cm="1">
        <f t="array" ref="O68">_xlfn.IFS(stdsurvey[[#This Row],[perceived_stress_scale]]="","Answer Not Provided",stdsurvey[[#This Row],[perceived_stress_scale]]&lt;=13,"Low Stress",stdsurvey[[#This Row],[perceived_stress_scale]]&lt;=26,"Moderate Stress",stdsurvey[[#This Row],[perceived_stress_scale]]&lt;=40,"High Stress")</f>
        <v>Moderate Stress</v>
      </c>
      <c r="P68">
        <v>96.8</v>
      </c>
      <c r="Q68">
        <v>3</v>
      </c>
      <c r="R68" s="4" t="str" cm="1">
        <f t="array" ref="R68">_xlfn.IFS(stdsurvey[[#This Row],[class_attendance_percent]]&lt;60,"Less than 0%",stdsurvey[[#This Row],[class_attendance_percent]]&lt;70,"60-70 %",stdsurvey[[#This Row],[class_attendance_percent]]&lt;80, "70-80%",stdsurvey[[#This Row],[class_attendance_percent]]&lt;90,"80-90%",TRUE,"More than 90%")</f>
        <v>More than 90%</v>
      </c>
      <c r="S68" t="s">
        <v>22</v>
      </c>
      <c r="T68">
        <v>4</v>
      </c>
      <c r="U68" t="s">
        <v>26</v>
      </c>
      <c r="V68">
        <v>2.96</v>
      </c>
      <c r="W68" s="4" t="str" cm="1">
        <f t="array" ref="W6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68" s="4" t="str" cm="1">
        <f t="array" ref="X68">_xlfn.IFS(stdsurvey[[#This Row],[daily_sleep_hours]]&lt;4,"&lt; 4 hrs",stdsurvey[[#This Row],[daily_sleep_hours]]&lt;=6,"4-6 hrs",stdsurvey[[#This Row],[daily_sleep_hours]]&lt;=8,"6-8 hrs",TRUE,"&gt; 8 hrs")</f>
        <v>4-6 hrs</v>
      </c>
      <c r="Y68" t="s">
        <v>20</v>
      </c>
    </row>
    <row r="69" spans="1:25" x14ac:dyDescent="0.3">
      <c r="A69" t="s">
        <v>103</v>
      </c>
      <c r="B69">
        <v>23</v>
      </c>
      <c r="C69" t="s">
        <v>39</v>
      </c>
      <c r="D69">
        <v>3</v>
      </c>
      <c r="E69" t="s">
        <v>21</v>
      </c>
      <c r="F69">
        <v>7.4</v>
      </c>
      <c r="G69">
        <v>2.2999999999999998</v>
      </c>
      <c r="H69">
        <v>0</v>
      </c>
      <c r="I69">
        <v>2</v>
      </c>
      <c r="J69">
        <v>5</v>
      </c>
      <c r="K69" s="4" t="str" cm="1">
        <f t="array" ref="K69">_xlfn.IFS(stdsurvey[[#This Row],[phq9_score]]="","Answer Not Provided",stdsurvey[[#This Row],[phq9_score]]&lt;=4,"Minimal",stdsurvey[[#This Row],[phq9_score]]&lt;=9,"Mild",stdsurvey[[#This Row],[phq9_score]]&lt;=14,"Moderate",stdsurvey[[#This Row],[phq9_score]]&lt;=19,"Moderately Severe",stdsurvey[[#This Row],[phq9_score]]&lt;=27,"Severe")</f>
        <v>Minimal</v>
      </c>
      <c r="L69">
        <v>8</v>
      </c>
      <c r="M69" s="4" t="str" cm="1">
        <f t="array" ref="M69">_xlfn.IFS(stdsurvey[[#This Row],[gad7_score]]="","Answer Not Provided",stdsurvey[[#This Row],[gad7_score]]&lt;=4,"Minimal",stdsurvey[[#This Row],[gad7_score]]&lt;=9,"Mild",stdsurvey[[#This Row],[gad7_score]]&lt;=14,"Moderate",stdsurvey[[#This Row],[gad7_score]]&lt;=21,"Severe")</f>
        <v>Mild</v>
      </c>
      <c r="N69">
        <v>14.4</v>
      </c>
      <c r="O69" s="4" t="str" cm="1">
        <f t="array" ref="O69">_xlfn.IFS(stdsurvey[[#This Row],[perceived_stress_scale]]="","Answer Not Provided",stdsurvey[[#This Row],[perceived_stress_scale]]&lt;=13,"Low Stress",stdsurvey[[#This Row],[perceived_stress_scale]]&lt;=26,"Moderate Stress",stdsurvey[[#This Row],[perceived_stress_scale]]&lt;=40,"High Stress")</f>
        <v>Low Stress</v>
      </c>
      <c r="P69">
        <v>100</v>
      </c>
      <c r="Q69">
        <v>2</v>
      </c>
      <c r="R69" s="4" t="str" cm="1">
        <f t="array" ref="R69">_xlfn.IFS(stdsurvey[[#This Row],[class_attendance_percent]]&lt;60,"Less than 0%",stdsurvey[[#This Row],[class_attendance_percent]]&lt;70,"60-70 %",stdsurvey[[#This Row],[class_attendance_percent]]&lt;80, "70-80%",stdsurvey[[#This Row],[class_attendance_percent]]&lt;90,"80-90%",TRUE,"More than 90%")</f>
        <v>More than 90%</v>
      </c>
      <c r="S69" t="s">
        <v>22</v>
      </c>
      <c r="T69">
        <v>2</v>
      </c>
      <c r="U69" t="s">
        <v>51</v>
      </c>
      <c r="V69">
        <v>3.09</v>
      </c>
      <c r="W69" s="4" t="str" cm="1">
        <f t="array" ref="W6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69" s="4" t="str" cm="1">
        <f t="array" ref="X69">_xlfn.IFS(stdsurvey[[#This Row],[daily_sleep_hours]]&lt;4,"&lt; 4 hrs",stdsurvey[[#This Row],[daily_sleep_hours]]&lt;=6,"4-6 hrs",stdsurvey[[#This Row],[daily_sleep_hours]]&lt;=8,"6-8 hrs",TRUE,"&gt; 8 hrs")</f>
        <v>6-8 hrs</v>
      </c>
      <c r="Y69" t="s">
        <v>27</v>
      </c>
    </row>
    <row r="70" spans="1:25" x14ac:dyDescent="0.3">
      <c r="A70" t="s">
        <v>104</v>
      </c>
      <c r="B70">
        <v>23</v>
      </c>
      <c r="C70" t="s">
        <v>45</v>
      </c>
      <c r="D70">
        <v>3</v>
      </c>
      <c r="E70" t="s">
        <v>30</v>
      </c>
      <c r="F70">
        <v>7.2</v>
      </c>
      <c r="G70">
        <v>1.8</v>
      </c>
      <c r="H70">
        <v>0</v>
      </c>
      <c r="I70">
        <v>2</v>
      </c>
      <c r="J70">
        <v>2</v>
      </c>
      <c r="K70" s="4" t="str" cm="1">
        <f t="array" ref="K70">_xlfn.IFS(stdsurvey[[#This Row],[phq9_score]]="","Answer Not Provided",stdsurvey[[#This Row],[phq9_score]]&lt;=4,"Minimal",stdsurvey[[#This Row],[phq9_score]]&lt;=9,"Mild",stdsurvey[[#This Row],[phq9_score]]&lt;=14,"Moderate",stdsurvey[[#This Row],[phq9_score]]&lt;=19,"Moderately Severe",stdsurvey[[#This Row],[phq9_score]]&lt;=27,"Severe")</f>
        <v>Minimal</v>
      </c>
      <c r="L70">
        <v>6</v>
      </c>
      <c r="M70" s="4" t="str" cm="1">
        <f t="array" ref="M70">_xlfn.IFS(stdsurvey[[#This Row],[gad7_score]]="","Answer Not Provided",stdsurvey[[#This Row],[gad7_score]]&lt;=4,"Minimal",stdsurvey[[#This Row],[gad7_score]]&lt;=9,"Mild",stdsurvey[[#This Row],[gad7_score]]&lt;=14,"Moderate",stdsurvey[[#This Row],[gad7_score]]&lt;=21,"Severe")</f>
        <v>Minimal</v>
      </c>
      <c r="N70">
        <v>24.9</v>
      </c>
      <c r="O70" s="4" t="str" cm="1">
        <f t="array" ref="O70">_xlfn.IFS(stdsurvey[[#This Row],[perceived_stress_scale]]="","Answer Not Provided",stdsurvey[[#This Row],[perceived_stress_scale]]&lt;=13,"Low Stress",stdsurvey[[#This Row],[perceived_stress_scale]]&lt;=26,"Moderate Stress",stdsurvey[[#This Row],[perceived_stress_scale]]&lt;=40,"High Stress")</f>
        <v>Low Stress</v>
      </c>
      <c r="P70">
        <v>83.3</v>
      </c>
      <c r="Q70">
        <v>3</v>
      </c>
      <c r="R70" s="4" t="str" cm="1">
        <f t="array" ref="R70">_xlfn.IFS(stdsurvey[[#This Row],[class_attendance_percent]]&lt;60,"Less than 0%",stdsurvey[[#This Row],[class_attendance_percent]]&lt;70,"60-70 %",stdsurvey[[#This Row],[class_attendance_percent]]&lt;80, "70-80%",stdsurvey[[#This Row],[class_attendance_percent]]&lt;90,"80-90%",TRUE,"More than 90%")</f>
        <v>80-90%</v>
      </c>
      <c r="S70" t="s">
        <v>22</v>
      </c>
      <c r="T70">
        <v>5</v>
      </c>
      <c r="U70" t="s">
        <v>51</v>
      </c>
      <c r="V70">
        <v>3.27</v>
      </c>
      <c r="W70" s="4" t="str" cm="1">
        <f t="array" ref="W7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70" s="4" t="str" cm="1">
        <f t="array" ref="X70">_xlfn.IFS(stdsurvey[[#This Row],[daily_sleep_hours]]&lt;4,"&lt; 4 hrs",stdsurvey[[#This Row],[daily_sleep_hours]]&lt;=6,"4-6 hrs",stdsurvey[[#This Row],[daily_sleep_hours]]&lt;=8,"6-8 hrs",TRUE,"&gt; 8 hrs")</f>
        <v>6-8 hrs</v>
      </c>
      <c r="Y70" t="s">
        <v>20</v>
      </c>
    </row>
    <row r="71" spans="1:25" x14ac:dyDescent="0.3">
      <c r="A71" t="s">
        <v>105</v>
      </c>
      <c r="B71">
        <v>21</v>
      </c>
      <c r="C71" t="s">
        <v>27</v>
      </c>
      <c r="D71">
        <v>3</v>
      </c>
      <c r="E71" t="s">
        <v>47</v>
      </c>
      <c r="F71">
        <v>6.6</v>
      </c>
      <c r="G71">
        <v>8.8000000000000007</v>
      </c>
      <c r="H71">
        <v>3</v>
      </c>
      <c r="I71">
        <v>2</v>
      </c>
      <c r="J71">
        <v>4</v>
      </c>
      <c r="K71" s="4" t="str" cm="1">
        <f t="array" ref="K71">_xlfn.IFS(stdsurvey[[#This Row],[phq9_score]]="","Answer Not Provided",stdsurvey[[#This Row],[phq9_score]]&lt;=4,"Minimal",stdsurvey[[#This Row],[phq9_score]]&lt;=9,"Mild",stdsurvey[[#This Row],[phq9_score]]&lt;=14,"Moderate",stdsurvey[[#This Row],[phq9_score]]&lt;=19,"Moderately Severe",stdsurvey[[#This Row],[phq9_score]]&lt;=27,"Severe")</f>
        <v>Minimal</v>
      </c>
      <c r="L71">
        <v>4</v>
      </c>
      <c r="M71" s="4" t="str" cm="1">
        <f t="array" ref="M71">_xlfn.IFS(stdsurvey[[#This Row],[gad7_score]]="","Answer Not Provided",stdsurvey[[#This Row],[gad7_score]]&lt;=4,"Minimal",stdsurvey[[#This Row],[gad7_score]]&lt;=9,"Mild",stdsurvey[[#This Row],[gad7_score]]&lt;=14,"Moderate",stdsurvey[[#This Row],[gad7_score]]&lt;=21,"Severe")</f>
        <v>Minimal</v>
      </c>
      <c r="N71">
        <v>13.4</v>
      </c>
      <c r="O71" s="4" t="str" cm="1">
        <f t="array" ref="O71">_xlfn.IFS(stdsurvey[[#This Row],[perceived_stress_scale]]="","Answer Not Provided",stdsurvey[[#This Row],[perceived_stress_scale]]&lt;=13,"Low Stress",stdsurvey[[#This Row],[perceived_stress_scale]]&lt;=26,"Moderate Stress",stdsurvey[[#This Row],[perceived_stress_scale]]&lt;=40,"High Stress")</f>
        <v>Low Stress</v>
      </c>
      <c r="P71">
        <v>61.8</v>
      </c>
      <c r="Q71">
        <v>4</v>
      </c>
      <c r="R71" s="4" t="str" cm="1">
        <f t="array" ref="R71">_xlfn.IFS(stdsurvey[[#This Row],[class_attendance_percent]]&lt;60,"Less than 0%",stdsurvey[[#This Row],[class_attendance_percent]]&lt;70,"60-70 %",stdsurvey[[#This Row],[class_attendance_percent]]&lt;80, "70-80%",stdsurvey[[#This Row],[class_attendance_percent]]&lt;90,"80-90%",TRUE,"More than 90%")</f>
        <v>60-70 %</v>
      </c>
      <c r="S71" t="s">
        <v>22</v>
      </c>
      <c r="T71">
        <v>4</v>
      </c>
      <c r="U71" t="s">
        <v>23</v>
      </c>
      <c r="V71">
        <v>3.19</v>
      </c>
      <c r="W71" s="4" t="str" cm="1">
        <f t="array" ref="W7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71" s="4" t="str" cm="1">
        <f t="array" ref="X71">_xlfn.IFS(stdsurvey[[#This Row],[daily_sleep_hours]]&lt;4,"&lt; 4 hrs",stdsurvey[[#This Row],[daily_sleep_hours]]&lt;=6,"4-6 hrs",stdsurvey[[#This Row],[daily_sleep_hours]]&lt;=8,"6-8 hrs",TRUE,"&gt; 8 hrs")</f>
        <v>6-8 hrs</v>
      </c>
      <c r="Y71" t="s">
        <v>27</v>
      </c>
    </row>
    <row r="72" spans="1:25" x14ac:dyDescent="0.3">
      <c r="A72" t="s">
        <v>106</v>
      </c>
      <c r="B72">
        <v>21</v>
      </c>
      <c r="C72" t="s">
        <v>39</v>
      </c>
      <c r="D72">
        <v>3</v>
      </c>
      <c r="E72" t="s">
        <v>35</v>
      </c>
      <c r="F72">
        <v>6.2</v>
      </c>
      <c r="G72">
        <v>3.8</v>
      </c>
      <c r="H72">
        <v>4</v>
      </c>
      <c r="I72">
        <v>6</v>
      </c>
      <c r="J72">
        <v>8</v>
      </c>
      <c r="K72" s="4" t="str" cm="1">
        <f t="array" ref="K72">_xlfn.IFS(stdsurvey[[#This Row],[phq9_score]]="","Answer Not Provided",stdsurvey[[#This Row],[phq9_score]]&lt;=4,"Minimal",stdsurvey[[#This Row],[phq9_score]]&lt;=9,"Mild",stdsurvey[[#This Row],[phq9_score]]&lt;=14,"Moderate",stdsurvey[[#This Row],[phq9_score]]&lt;=19,"Moderately Severe",stdsurvey[[#This Row],[phq9_score]]&lt;=27,"Severe")</f>
        <v>Mild</v>
      </c>
      <c r="L72">
        <v>16</v>
      </c>
      <c r="M72" s="4" t="str" cm="1">
        <f t="array" ref="M72">_xlfn.IFS(stdsurvey[[#This Row],[gad7_score]]="","Answer Not Provided",stdsurvey[[#This Row],[gad7_score]]&lt;=4,"Minimal",stdsurvey[[#This Row],[gad7_score]]&lt;=9,"Mild",stdsurvey[[#This Row],[gad7_score]]&lt;=14,"Moderate",stdsurvey[[#This Row],[gad7_score]]&lt;=21,"Severe")</f>
        <v>Mild</v>
      </c>
      <c r="N72">
        <v>13.5</v>
      </c>
      <c r="O72" s="4" t="str" cm="1">
        <f t="array" ref="O72">_xlfn.IFS(stdsurvey[[#This Row],[perceived_stress_scale]]="","Answer Not Provided",stdsurvey[[#This Row],[perceived_stress_scale]]&lt;=13,"Low Stress",stdsurvey[[#This Row],[perceived_stress_scale]]&lt;=26,"Moderate Stress",stdsurvey[[#This Row],[perceived_stress_scale]]&lt;=40,"High Stress")</f>
        <v>Moderate Stress</v>
      </c>
      <c r="P72">
        <v>67.3</v>
      </c>
      <c r="Q72">
        <v>3</v>
      </c>
      <c r="R72" s="4" t="str" cm="1">
        <f t="array" ref="R72">_xlfn.IFS(stdsurvey[[#This Row],[class_attendance_percent]]&lt;60,"Less than 0%",stdsurvey[[#This Row],[class_attendance_percent]]&lt;70,"60-70 %",stdsurvey[[#This Row],[class_attendance_percent]]&lt;80, "70-80%",stdsurvey[[#This Row],[class_attendance_percent]]&lt;90,"80-90%",TRUE,"More than 90%")</f>
        <v>60-70 %</v>
      </c>
      <c r="S72" t="s">
        <v>33</v>
      </c>
      <c r="T72">
        <v>4</v>
      </c>
      <c r="U72" t="s">
        <v>26</v>
      </c>
      <c r="V72">
        <v>2.65</v>
      </c>
      <c r="W72" s="4" t="str" cm="1">
        <f t="array" ref="W7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72" s="4" t="str" cm="1">
        <f t="array" ref="X72">_xlfn.IFS(stdsurvey[[#This Row],[daily_sleep_hours]]&lt;4,"&lt; 4 hrs",stdsurvey[[#This Row],[daily_sleep_hours]]&lt;=6,"4-6 hrs",stdsurvey[[#This Row],[daily_sleep_hours]]&lt;=8,"6-8 hrs",TRUE,"&gt; 8 hrs")</f>
        <v>6-8 hrs</v>
      </c>
      <c r="Y72" t="s">
        <v>27</v>
      </c>
    </row>
    <row r="73" spans="1:25" x14ac:dyDescent="0.3">
      <c r="A73" t="s">
        <v>107</v>
      </c>
      <c r="B73">
        <v>23</v>
      </c>
      <c r="C73" t="s">
        <v>20</v>
      </c>
      <c r="D73">
        <v>5</v>
      </c>
      <c r="E73" t="s">
        <v>47</v>
      </c>
      <c r="F73">
        <v>5.7</v>
      </c>
      <c r="G73">
        <v>1</v>
      </c>
      <c r="H73">
        <v>2</v>
      </c>
      <c r="I73">
        <v>9</v>
      </c>
      <c r="J73">
        <v>6</v>
      </c>
      <c r="K73" s="4" t="str" cm="1">
        <f t="array" ref="K73">_xlfn.IFS(stdsurvey[[#This Row],[phq9_score]]="","Answer Not Provided",stdsurvey[[#This Row],[phq9_score]]&lt;=4,"Minimal",stdsurvey[[#This Row],[phq9_score]]&lt;=9,"Mild",stdsurvey[[#This Row],[phq9_score]]&lt;=14,"Moderate",stdsurvey[[#This Row],[phq9_score]]&lt;=19,"Moderately Severe",stdsurvey[[#This Row],[phq9_score]]&lt;=27,"Severe")</f>
        <v>Mild</v>
      </c>
      <c r="L73">
        <v>11</v>
      </c>
      <c r="M73" s="4" t="str" cm="1">
        <f t="array" ref="M73">_xlfn.IFS(stdsurvey[[#This Row],[gad7_score]]="","Answer Not Provided",stdsurvey[[#This Row],[gad7_score]]&lt;=4,"Minimal",stdsurvey[[#This Row],[gad7_score]]&lt;=9,"Mild",stdsurvey[[#This Row],[gad7_score]]&lt;=14,"Moderate",stdsurvey[[#This Row],[gad7_score]]&lt;=21,"Severe")</f>
        <v>Mild</v>
      </c>
      <c r="N73">
        <v>19.399999999999999</v>
      </c>
      <c r="O73" s="4" t="str" cm="1">
        <f t="array" ref="O73">_xlfn.IFS(stdsurvey[[#This Row],[perceived_stress_scale]]="","Answer Not Provided",stdsurvey[[#This Row],[perceived_stress_scale]]&lt;=13,"Low Stress",stdsurvey[[#This Row],[perceived_stress_scale]]&lt;=26,"Moderate Stress",stdsurvey[[#This Row],[perceived_stress_scale]]&lt;=40,"High Stress")</f>
        <v>Low Stress</v>
      </c>
      <c r="P73">
        <v>59.8</v>
      </c>
      <c r="Q73">
        <v>3</v>
      </c>
      <c r="R73" s="4" t="str" cm="1">
        <f t="array" ref="R73">_xlfn.IFS(stdsurvey[[#This Row],[class_attendance_percent]]&lt;60,"Less than 0%",stdsurvey[[#This Row],[class_attendance_percent]]&lt;70,"60-70 %",stdsurvey[[#This Row],[class_attendance_percent]]&lt;80, "70-80%",stdsurvey[[#This Row],[class_attendance_percent]]&lt;90,"80-90%",TRUE,"More than 90%")</f>
        <v>Less than 0%</v>
      </c>
      <c r="S73" t="s">
        <v>33</v>
      </c>
      <c r="T73">
        <v>4</v>
      </c>
      <c r="U73" t="s">
        <v>23</v>
      </c>
      <c r="V73">
        <v>2.64</v>
      </c>
      <c r="W73" s="4" t="str" cm="1">
        <f t="array" ref="W7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73" s="4" t="str" cm="1">
        <f t="array" ref="X73">_xlfn.IFS(stdsurvey[[#This Row],[daily_sleep_hours]]&lt;4,"&lt; 4 hrs",stdsurvey[[#This Row],[daily_sleep_hours]]&lt;=6,"4-6 hrs",stdsurvey[[#This Row],[daily_sleep_hours]]&lt;=8,"6-8 hrs",TRUE,"&gt; 8 hrs")</f>
        <v>4-6 hrs</v>
      </c>
      <c r="Y73" t="s">
        <v>20</v>
      </c>
    </row>
    <row r="74" spans="1:25" x14ac:dyDescent="0.3">
      <c r="A74" t="s">
        <v>108</v>
      </c>
      <c r="B74">
        <v>21</v>
      </c>
      <c r="C74" t="s">
        <v>20</v>
      </c>
      <c r="D74">
        <v>5</v>
      </c>
      <c r="E74" t="s">
        <v>30</v>
      </c>
      <c r="F74">
        <v>6.2</v>
      </c>
      <c r="G74">
        <v>4</v>
      </c>
      <c r="H74">
        <v>2</v>
      </c>
      <c r="I74">
        <v>9</v>
      </c>
      <c r="J74">
        <v>8</v>
      </c>
      <c r="K74" s="4" t="str" cm="1">
        <f t="array" ref="K74">_xlfn.IFS(stdsurvey[[#This Row],[phq9_score]]="","Answer Not Provided",stdsurvey[[#This Row],[phq9_score]]&lt;=4,"Minimal",stdsurvey[[#This Row],[phq9_score]]&lt;=9,"Mild",stdsurvey[[#This Row],[phq9_score]]&lt;=14,"Moderate",stdsurvey[[#This Row],[phq9_score]]&lt;=19,"Moderately Severe",stdsurvey[[#This Row],[phq9_score]]&lt;=27,"Severe")</f>
        <v>Mild</v>
      </c>
      <c r="L74">
        <v>14</v>
      </c>
      <c r="M74" s="4" t="str" cm="1">
        <f t="array" ref="M74">_xlfn.IFS(stdsurvey[[#This Row],[gad7_score]]="","Answer Not Provided",stdsurvey[[#This Row],[gad7_score]]&lt;=4,"Minimal",stdsurvey[[#This Row],[gad7_score]]&lt;=9,"Mild",stdsurvey[[#This Row],[gad7_score]]&lt;=14,"Moderate",stdsurvey[[#This Row],[gad7_score]]&lt;=21,"Severe")</f>
        <v>Mild</v>
      </c>
      <c r="N74">
        <v>15.9</v>
      </c>
      <c r="O74" s="4" t="str" cm="1">
        <f t="array" ref="O74">_xlfn.IFS(stdsurvey[[#This Row],[perceived_stress_scale]]="","Answer Not Provided",stdsurvey[[#This Row],[perceived_stress_scale]]&lt;=13,"Low Stress",stdsurvey[[#This Row],[perceived_stress_scale]]&lt;=26,"Moderate Stress",stdsurvey[[#This Row],[perceived_stress_scale]]&lt;=40,"High Stress")</f>
        <v>Moderate Stress</v>
      </c>
      <c r="P74">
        <v>91.6</v>
      </c>
      <c r="Q74">
        <v>2</v>
      </c>
      <c r="R74" s="4" t="str" cm="1">
        <f t="array" ref="R74">_xlfn.IFS(stdsurvey[[#This Row],[class_attendance_percent]]&lt;60,"Less than 0%",stdsurvey[[#This Row],[class_attendance_percent]]&lt;70,"60-70 %",stdsurvey[[#This Row],[class_attendance_percent]]&lt;80, "70-80%",stdsurvey[[#This Row],[class_attendance_percent]]&lt;90,"80-90%",TRUE,"More than 90%")</f>
        <v>More than 90%</v>
      </c>
      <c r="S74" t="s">
        <v>33</v>
      </c>
      <c r="T74">
        <v>5</v>
      </c>
      <c r="U74" t="s">
        <v>51</v>
      </c>
      <c r="V74">
        <v>3.23</v>
      </c>
      <c r="W74" s="4" t="str" cm="1">
        <f t="array" ref="W7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74" s="4" t="str" cm="1">
        <f t="array" ref="X74">_xlfn.IFS(stdsurvey[[#This Row],[daily_sleep_hours]]&lt;4,"&lt; 4 hrs",stdsurvey[[#This Row],[daily_sleep_hours]]&lt;=6,"4-6 hrs",stdsurvey[[#This Row],[daily_sleep_hours]]&lt;=8,"6-8 hrs",TRUE,"&gt; 8 hrs")</f>
        <v>6-8 hrs</v>
      </c>
      <c r="Y74" t="s">
        <v>20</v>
      </c>
    </row>
    <row r="75" spans="1:25" x14ac:dyDescent="0.3">
      <c r="A75" t="s">
        <v>109</v>
      </c>
      <c r="B75">
        <v>19</v>
      </c>
      <c r="C75" t="s">
        <v>20</v>
      </c>
      <c r="D75">
        <v>3</v>
      </c>
      <c r="E75" t="s">
        <v>30</v>
      </c>
      <c r="F75">
        <v>6.1</v>
      </c>
      <c r="G75">
        <v>6.8</v>
      </c>
      <c r="H75">
        <v>3</v>
      </c>
      <c r="I75">
        <v>3</v>
      </c>
      <c r="J75">
        <v>2</v>
      </c>
      <c r="K75" s="4" t="str" cm="1">
        <f t="array" ref="K75">_xlfn.IFS(stdsurvey[[#This Row],[phq9_score]]="","Answer Not Provided",stdsurvey[[#This Row],[phq9_score]]&lt;=4,"Minimal",stdsurvey[[#This Row],[phq9_score]]&lt;=9,"Mild",stdsurvey[[#This Row],[phq9_score]]&lt;=14,"Moderate",stdsurvey[[#This Row],[phq9_score]]&lt;=19,"Moderately Severe",stdsurvey[[#This Row],[phq9_score]]&lt;=27,"Severe")</f>
        <v>Minimal</v>
      </c>
      <c r="L75">
        <v>4</v>
      </c>
      <c r="M75" s="4" t="str" cm="1">
        <f t="array" ref="M75">_xlfn.IFS(stdsurvey[[#This Row],[gad7_score]]="","Answer Not Provided",stdsurvey[[#This Row],[gad7_score]]&lt;=4,"Minimal",stdsurvey[[#This Row],[gad7_score]]&lt;=9,"Mild",stdsurvey[[#This Row],[gad7_score]]&lt;=14,"Moderate",stdsurvey[[#This Row],[gad7_score]]&lt;=21,"Severe")</f>
        <v>Minimal</v>
      </c>
      <c r="N75">
        <v>21.8</v>
      </c>
      <c r="O75" s="4" t="str" cm="1">
        <f t="array" ref="O75">_xlfn.IFS(stdsurvey[[#This Row],[perceived_stress_scale]]="","Answer Not Provided",stdsurvey[[#This Row],[perceived_stress_scale]]&lt;=13,"Low Stress",stdsurvey[[#This Row],[perceived_stress_scale]]&lt;=26,"Moderate Stress",stdsurvey[[#This Row],[perceived_stress_scale]]&lt;=40,"High Stress")</f>
        <v>Low Stress</v>
      </c>
      <c r="P75">
        <v>63.2</v>
      </c>
      <c r="Q75">
        <v>4</v>
      </c>
      <c r="R75" s="4" t="str" cm="1">
        <f t="array" ref="R75">_xlfn.IFS(stdsurvey[[#This Row],[class_attendance_percent]]&lt;60,"Less than 0%",stdsurvey[[#This Row],[class_attendance_percent]]&lt;70,"60-70 %",stdsurvey[[#This Row],[class_attendance_percent]]&lt;80, "70-80%",stdsurvey[[#This Row],[class_attendance_percent]]&lt;90,"80-90%",TRUE,"More than 90%")</f>
        <v>60-70 %</v>
      </c>
      <c r="S75" t="s">
        <v>33</v>
      </c>
      <c r="T75">
        <v>5</v>
      </c>
      <c r="U75" t="s">
        <v>23</v>
      </c>
      <c r="V75">
        <v>2.82</v>
      </c>
      <c r="W75" s="4" t="str" cm="1">
        <f t="array" ref="W7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75" s="4" t="str" cm="1">
        <f t="array" ref="X75">_xlfn.IFS(stdsurvey[[#This Row],[daily_sleep_hours]]&lt;4,"&lt; 4 hrs",stdsurvey[[#This Row],[daily_sleep_hours]]&lt;=6,"4-6 hrs",stdsurvey[[#This Row],[daily_sleep_hours]]&lt;=8,"6-8 hrs",TRUE,"&gt; 8 hrs")</f>
        <v>6-8 hrs</v>
      </c>
      <c r="Y75" t="s">
        <v>20</v>
      </c>
    </row>
    <row r="76" spans="1:25" x14ac:dyDescent="0.3">
      <c r="A76" t="s">
        <v>110</v>
      </c>
      <c r="B76">
        <v>19</v>
      </c>
      <c r="C76" t="s">
        <v>102</v>
      </c>
      <c r="D76">
        <v>1</v>
      </c>
      <c r="E76" t="s">
        <v>30</v>
      </c>
      <c r="F76">
        <v>6.9</v>
      </c>
      <c r="G76">
        <v>1.8</v>
      </c>
      <c r="H76">
        <v>3</v>
      </c>
      <c r="I76">
        <v>7</v>
      </c>
      <c r="J76">
        <v>5</v>
      </c>
      <c r="K76" s="4" t="str" cm="1">
        <f t="array" ref="K76">_xlfn.IFS(stdsurvey[[#This Row],[phq9_score]]="","Answer Not Provided",stdsurvey[[#This Row],[phq9_score]]&lt;=4,"Minimal",stdsurvey[[#This Row],[phq9_score]]&lt;=9,"Mild",stdsurvey[[#This Row],[phq9_score]]&lt;=14,"Moderate",stdsurvey[[#This Row],[phq9_score]]&lt;=19,"Moderately Severe",stdsurvey[[#This Row],[phq9_score]]&lt;=27,"Severe")</f>
        <v>Mild</v>
      </c>
      <c r="L76">
        <v>17</v>
      </c>
      <c r="M76" s="4" t="str" cm="1">
        <f t="array" ref="M76">_xlfn.IFS(stdsurvey[[#This Row],[gad7_score]]="","Answer Not Provided",stdsurvey[[#This Row],[gad7_score]]&lt;=4,"Minimal",stdsurvey[[#This Row],[gad7_score]]&lt;=9,"Mild",stdsurvey[[#This Row],[gad7_score]]&lt;=14,"Moderate",stdsurvey[[#This Row],[gad7_score]]&lt;=21,"Severe")</f>
        <v>Mild</v>
      </c>
      <c r="N76">
        <v>23.2</v>
      </c>
      <c r="O76" s="4" t="str" cm="1">
        <f t="array" ref="O76">_xlfn.IFS(stdsurvey[[#This Row],[perceived_stress_scale]]="","Answer Not Provided",stdsurvey[[#This Row],[perceived_stress_scale]]&lt;=13,"Low Stress",stdsurvey[[#This Row],[perceived_stress_scale]]&lt;=26,"Moderate Stress",stdsurvey[[#This Row],[perceived_stress_scale]]&lt;=40,"High Stress")</f>
        <v>Moderate Stress</v>
      </c>
      <c r="P76">
        <v>87.2</v>
      </c>
      <c r="R76" s="4" t="str" cm="1">
        <f t="array" ref="R76">_xlfn.IFS(stdsurvey[[#This Row],[class_attendance_percent]]&lt;60,"Less than 0%",stdsurvey[[#This Row],[class_attendance_percent]]&lt;70,"60-70 %",stdsurvey[[#This Row],[class_attendance_percent]]&lt;80, "70-80%",stdsurvey[[#This Row],[class_attendance_percent]]&lt;90,"80-90%",TRUE,"More than 90%")</f>
        <v>80-90%</v>
      </c>
      <c r="S76" t="s">
        <v>33</v>
      </c>
      <c r="T76">
        <v>3</v>
      </c>
      <c r="U76" t="s">
        <v>51</v>
      </c>
      <c r="V76">
        <v>3.44</v>
      </c>
      <c r="W76" s="4" t="str" cm="1">
        <f t="array" ref="W7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76" s="4" t="str" cm="1">
        <f t="array" ref="X76">_xlfn.IFS(stdsurvey[[#This Row],[daily_sleep_hours]]&lt;4,"&lt; 4 hrs",stdsurvey[[#This Row],[daily_sleep_hours]]&lt;=6,"4-6 hrs",stdsurvey[[#This Row],[daily_sleep_hours]]&lt;=8,"6-8 hrs",TRUE,"&gt; 8 hrs")</f>
        <v>6-8 hrs</v>
      </c>
      <c r="Y76" t="s">
        <v>20</v>
      </c>
    </row>
    <row r="77" spans="1:25" x14ac:dyDescent="0.3">
      <c r="A77" t="s">
        <v>111</v>
      </c>
      <c r="B77">
        <v>20</v>
      </c>
      <c r="C77" t="s">
        <v>29</v>
      </c>
      <c r="D77">
        <v>4</v>
      </c>
      <c r="E77" t="s">
        <v>30</v>
      </c>
      <c r="F77">
        <v>8.8000000000000007</v>
      </c>
      <c r="G77">
        <v>4.5</v>
      </c>
      <c r="H77">
        <v>4</v>
      </c>
      <c r="I77">
        <v>9</v>
      </c>
      <c r="J77">
        <v>7</v>
      </c>
      <c r="K77" s="4" t="str" cm="1">
        <f t="array" ref="K77">_xlfn.IFS(stdsurvey[[#This Row],[phq9_score]]="","Answer Not Provided",stdsurvey[[#This Row],[phq9_score]]&lt;=4,"Minimal",stdsurvey[[#This Row],[phq9_score]]&lt;=9,"Mild",stdsurvey[[#This Row],[phq9_score]]&lt;=14,"Moderate",stdsurvey[[#This Row],[phq9_score]]&lt;=19,"Moderately Severe",stdsurvey[[#This Row],[phq9_score]]&lt;=27,"Severe")</f>
        <v>Mild</v>
      </c>
      <c r="L77">
        <v>18</v>
      </c>
      <c r="M77" s="4" t="str" cm="1">
        <f t="array" ref="M77">_xlfn.IFS(stdsurvey[[#This Row],[gad7_score]]="","Answer Not Provided",stdsurvey[[#This Row],[gad7_score]]&lt;=4,"Minimal",stdsurvey[[#This Row],[gad7_score]]&lt;=9,"Mild",stdsurvey[[#This Row],[gad7_score]]&lt;=14,"Moderate",stdsurvey[[#This Row],[gad7_score]]&lt;=21,"Severe")</f>
        <v>Mild</v>
      </c>
      <c r="N77">
        <v>20.8</v>
      </c>
      <c r="O77" s="4" t="str" cm="1">
        <f t="array" ref="O77">_xlfn.IFS(stdsurvey[[#This Row],[perceived_stress_scale]]="","Answer Not Provided",stdsurvey[[#This Row],[perceived_stress_scale]]&lt;=13,"Low Stress",stdsurvey[[#This Row],[perceived_stress_scale]]&lt;=26,"Moderate Stress",stdsurvey[[#This Row],[perceived_stress_scale]]&lt;=40,"High Stress")</f>
        <v>Moderate Stress</v>
      </c>
      <c r="P77">
        <v>66.099999999999994</v>
      </c>
      <c r="Q77">
        <v>2</v>
      </c>
      <c r="R77" s="4" t="str" cm="1">
        <f t="array" ref="R77">_xlfn.IFS(stdsurvey[[#This Row],[class_attendance_percent]]&lt;60,"Less than 0%",stdsurvey[[#This Row],[class_attendance_percent]]&lt;70,"60-70 %",stdsurvey[[#This Row],[class_attendance_percent]]&lt;80, "70-80%",stdsurvey[[#This Row],[class_attendance_percent]]&lt;90,"80-90%",TRUE,"More than 90%")</f>
        <v>60-70 %</v>
      </c>
      <c r="S77" t="s">
        <v>33</v>
      </c>
      <c r="T77">
        <v>3</v>
      </c>
      <c r="U77" t="s">
        <v>23</v>
      </c>
      <c r="V77">
        <v>2.95</v>
      </c>
      <c r="W77" s="4" t="str" cm="1">
        <f t="array" ref="W7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77" s="4" t="str" cm="1">
        <f t="array" ref="X77">_xlfn.IFS(stdsurvey[[#This Row],[daily_sleep_hours]]&lt;4,"&lt; 4 hrs",stdsurvey[[#This Row],[daily_sleep_hours]]&lt;=6,"4-6 hrs",stdsurvey[[#This Row],[daily_sleep_hours]]&lt;=8,"6-8 hrs",TRUE,"&gt; 8 hrs")</f>
        <v>&gt; 8 hrs</v>
      </c>
      <c r="Y77" t="s">
        <v>29</v>
      </c>
    </row>
    <row r="78" spans="1:25" x14ac:dyDescent="0.3">
      <c r="A78" t="s">
        <v>112</v>
      </c>
      <c r="B78">
        <v>23</v>
      </c>
      <c r="C78" t="s">
        <v>27</v>
      </c>
      <c r="D78">
        <v>5</v>
      </c>
      <c r="E78" t="s">
        <v>35</v>
      </c>
      <c r="F78">
        <v>5.3</v>
      </c>
      <c r="G78">
        <v>4.8</v>
      </c>
      <c r="H78">
        <v>3</v>
      </c>
      <c r="I78">
        <v>7</v>
      </c>
      <c r="J78">
        <v>8</v>
      </c>
      <c r="K78" s="4" t="str" cm="1">
        <f t="array" ref="K78">_xlfn.IFS(stdsurvey[[#This Row],[phq9_score]]="","Answer Not Provided",stdsurvey[[#This Row],[phq9_score]]&lt;=4,"Minimal",stdsurvey[[#This Row],[phq9_score]]&lt;=9,"Mild",stdsurvey[[#This Row],[phq9_score]]&lt;=14,"Moderate",stdsurvey[[#This Row],[phq9_score]]&lt;=19,"Moderately Severe",stdsurvey[[#This Row],[phq9_score]]&lt;=27,"Severe")</f>
        <v>Mild</v>
      </c>
      <c r="L78">
        <v>13</v>
      </c>
      <c r="M78" s="4" t="str" cm="1">
        <f t="array" ref="M78">_xlfn.IFS(stdsurvey[[#This Row],[gad7_score]]="","Answer Not Provided",stdsurvey[[#This Row],[gad7_score]]&lt;=4,"Minimal",stdsurvey[[#This Row],[gad7_score]]&lt;=9,"Mild",stdsurvey[[#This Row],[gad7_score]]&lt;=14,"Moderate",stdsurvey[[#This Row],[gad7_score]]&lt;=21,"Severe")</f>
        <v>Mild</v>
      </c>
      <c r="N78">
        <v>14.7</v>
      </c>
      <c r="O78" s="4" t="str" cm="1">
        <f t="array" ref="O78">_xlfn.IFS(stdsurvey[[#This Row],[perceived_stress_scale]]="","Answer Not Provided",stdsurvey[[#This Row],[perceived_stress_scale]]&lt;=13,"Low Stress",stdsurvey[[#This Row],[perceived_stress_scale]]&lt;=26,"Moderate Stress",stdsurvey[[#This Row],[perceived_stress_scale]]&lt;=40,"High Stress")</f>
        <v>Low Stress</v>
      </c>
      <c r="P78">
        <v>57.3</v>
      </c>
      <c r="Q78">
        <v>5</v>
      </c>
      <c r="R78" s="4" t="str" cm="1">
        <f t="array" ref="R78">_xlfn.IFS(stdsurvey[[#This Row],[class_attendance_percent]]&lt;60,"Less than 0%",stdsurvey[[#This Row],[class_attendance_percent]]&lt;70,"60-70 %",stdsurvey[[#This Row],[class_attendance_percent]]&lt;80, "70-80%",stdsurvey[[#This Row],[class_attendance_percent]]&lt;90,"80-90%",TRUE,"More than 90%")</f>
        <v>Less than 0%</v>
      </c>
      <c r="S78" t="s">
        <v>33</v>
      </c>
      <c r="T78">
        <v>3</v>
      </c>
      <c r="U78" t="s">
        <v>26</v>
      </c>
      <c r="V78">
        <v>2.5099999999999998</v>
      </c>
      <c r="W78" s="4" t="str" cm="1">
        <f t="array" ref="W7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78" s="4" t="str" cm="1">
        <f t="array" ref="X78">_xlfn.IFS(stdsurvey[[#This Row],[daily_sleep_hours]]&lt;4,"&lt; 4 hrs",stdsurvey[[#This Row],[daily_sleep_hours]]&lt;=6,"4-6 hrs",stdsurvey[[#This Row],[daily_sleep_hours]]&lt;=8,"6-8 hrs",TRUE,"&gt; 8 hrs")</f>
        <v>4-6 hrs</v>
      </c>
      <c r="Y78" t="s">
        <v>27</v>
      </c>
    </row>
    <row r="79" spans="1:25" x14ac:dyDescent="0.3">
      <c r="A79" t="s">
        <v>113</v>
      </c>
      <c r="B79">
        <v>22</v>
      </c>
      <c r="C79" t="s">
        <v>39</v>
      </c>
      <c r="D79">
        <v>2</v>
      </c>
      <c r="E79" t="s">
        <v>21</v>
      </c>
      <c r="F79">
        <v>7.2</v>
      </c>
      <c r="G79">
        <v>1.9</v>
      </c>
      <c r="H79">
        <v>4</v>
      </c>
      <c r="K79" s="4" t="str" cm="1">
        <f t="array" ref="K79">_xlfn.IFS(stdsurvey[[#This Row],[phq9_score]]="","Answer Not Provided",stdsurvey[[#This Row],[phq9_score]]&lt;=4,"Minimal",stdsurvey[[#This Row],[phq9_score]]&lt;=9,"Mild",stdsurvey[[#This Row],[phq9_score]]&lt;=14,"Moderate",stdsurvey[[#This Row],[phq9_score]]&lt;=19,"Moderately Severe",stdsurvey[[#This Row],[phq9_score]]&lt;=27,"Severe")</f>
        <v>Answer Not Provided</v>
      </c>
      <c r="L79">
        <v>7</v>
      </c>
      <c r="M79" s="4" t="str" cm="1">
        <f t="array" ref="M79">_xlfn.IFS(stdsurvey[[#This Row],[gad7_score]]="","Answer Not Provided",stdsurvey[[#This Row],[gad7_score]]&lt;=4,"Minimal",stdsurvey[[#This Row],[gad7_score]]&lt;=9,"Mild",stdsurvey[[#This Row],[gad7_score]]&lt;=14,"Moderate",stdsurvey[[#This Row],[gad7_score]]&lt;=21,"Severe")</f>
        <v>Answer Not Provided</v>
      </c>
      <c r="N79">
        <v>13.7</v>
      </c>
      <c r="O79" s="4" t="str" cm="1">
        <f t="array" ref="O79">_xlfn.IFS(stdsurvey[[#This Row],[perceived_stress_scale]]="","Answer Not Provided",stdsurvey[[#This Row],[perceived_stress_scale]]&lt;=13,"Low Stress",stdsurvey[[#This Row],[perceived_stress_scale]]&lt;=26,"Moderate Stress",stdsurvey[[#This Row],[perceived_stress_scale]]&lt;=40,"High Stress")</f>
        <v>Low Stress</v>
      </c>
      <c r="P79">
        <v>86.9</v>
      </c>
      <c r="Q79">
        <v>3</v>
      </c>
      <c r="R79" s="4" t="str" cm="1">
        <f t="array" ref="R79">_xlfn.IFS(stdsurvey[[#This Row],[class_attendance_percent]]&lt;60,"Less than 0%",stdsurvey[[#This Row],[class_attendance_percent]]&lt;70,"60-70 %",stdsurvey[[#This Row],[class_attendance_percent]]&lt;80, "70-80%",stdsurvey[[#This Row],[class_attendance_percent]]&lt;90,"80-90%",TRUE,"More than 90%")</f>
        <v>80-90%</v>
      </c>
      <c r="S79" t="s">
        <v>33</v>
      </c>
      <c r="T79">
        <v>4</v>
      </c>
      <c r="U79" t="s">
        <v>23</v>
      </c>
      <c r="V79">
        <v>2.5499999999999998</v>
      </c>
      <c r="W79" s="4" t="str" cm="1">
        <f t="array" ref="W7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79" s="4" t="str" cm="1">
        <f t="array" ref="X79">_xlfn.IFS(stdsurvey[[#This Row],[daily_sleep_hours]]&lt;4,"&lt; 4 hrs",stdsurvey[[#This Row],[daily_sleep_hours]]&lt;=6,"4-6 hrs",stdsurvey[[#This Row],[daily_sleep_hours]]&lt;=8,"6-8 hrs",TRUE,"&gt; 8 hrs")</f>
        <v>6-8 hrs</v>
      </c>
      <c r="Y79" t="s">
        <v>27</v>
      </c>
    </row>
    <row r="80" spans="1:25" x14ac:dyDescent="0.3">
      <c r="A80" t="s">
        <v>114</v>
      </c>
      <c r="B80">
        <v>23</v>
      </c>
      <c r="C80" t="s">
        <v>39</v>
      </c>
      <c r="D80">
        <v>2</v>
      </c>
      <c r="E80" t="s">
        <v>30</v>
      </c>
      <c r="F80">
        <v>6.6</v>
      </c>
      <c r="G80">
        <v>9.3000000000000007</v>
      </c>
      <c r="H80">
        <v>7</v>
      </c>
      <c r="I80">
        <v>4</v>
      </c>
      <c r="J80">
        <v>3</v>
      </c>
      <c r="K80" s="4" t="str" cm="1">
        <f t="array" ref="K80">_xlfn.IFS(stdsurvey[[#This Row],[phq9_score]]="","Answer Not Provided",stdsurvey[[#This Row],[phq9_score]]&lt;=4,"Minimal",stdsurvey[[#This Row],[phq9_score]]&lt;=9,"Mild",stdsurvey[[#This Row],[phq9_score]]&lt;=14,"Moderate",stdsurvey[[#This Row],[phq9_score]]&lt;=19,"Moderately Severe",stdsurvey[[#This Row],[phq9_score]]&lt;=27,"Severe")</f>
        <v>Minimal</v>
      </c>
      <c r="L80">
        <v>14</v>
      </c>
      <c r="M80" s="4" t="str" cm="1">
        <f t="array" ref="M80">_xlfn.IFS(stdsurvey[[#This Row],[gad7_score]]="","Answer Not Provided",stdsurvey[[#This Row],[gad7_score]]&lt;=4,"Minimal",stdsurvey[[#This Row],[gad7_score]]&lt;=9,"Mild",stdsurvey[[#This Row],[gad7_score]]&lt;=14,"Moderate",stdsurvey[[#This Row],[gad7_score]]&lt;=21,"Severe")</f>
        <v>Minimal</v>
      </c>
      <c r="N80">
        <v>22.7</v>
      </c>
      <c r="O80" s="4" t="str" cm="1">
        <f t="array" ref="O80">_xlfn.IFS(stdsurvey[[#This Row],[perceived_stress_scale]]="","Answer Not Provided",stdsurvey[[#This Row],[perceived_stress_scale]]&lt;=13,"Low Stress",stdsurvey[[#This Row],[perceived_stress_scale]]&lt;=26,"Moderate Stress",stdsurvey[[#This Row],[perceived_stress_scale]]&lt;=40,"High Stress")</f>
        <v>Moderate Stress</v>
      </c>
      <c r="P80">
        <v>81.099999999999994</v>
      </c>
      <c r="Q80">
        <v>3</v>
      </c>
      <c r="R80" s="4" t="str" cm="1">
        <f t="array" ref="R80">_xlfn.IFS(stdsurvey[[#This Row],[class_attendance_percent]]&lt;60,"Less than 0%",stdsurvey[[#This Row],[class_attendance_percent]]&lt;70,"60-70 %",stdsurvey[[#This Row],[class_attendance_percent]]&lt;80, "70-80%",stdsurvey[[#This Row],[class_attendance_percent]]&lt;90,"80-90%",TRUE,"More than 90%")</f>
        <v>80-90%</v>
      </c>
      <c r="S80" t="s">
        <v>22</v>
      </c>
      <c r="T80">
        <v>4</v>
      </c>
      <c r="U80" t="s">
        <v>23</v>
      </c>
      <c r="V80">
        <v>3.15</v>
      </c>
      <c r="W80" s="4" t="str" cm="1">
        <f t="array" ref="W8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80" s="4" t="str" cm="1">
        <f t="array" ref="X80">_xlfn.IFS(stdsurvey[[#This Row],[daily_sleep_hours]]&lt;4,"&lt; 4 hrs",stdsurvey[[#This Row],[daily_sleep_hours]]&lt;=6,"4-6 hrs",stdsurvey[[#This Row],[daily_sleep_hours]]&lt;=8,"6-8 hrs",TRUE,"&gt; 8 hrs")</f>
        <v>6-8 hrs</v>
      </c>
      <c r="Y80" t="s">
        <v>27</v>
      </c>
    </row>
    <row r="81" spans="1:25" x14ac:dyDescent="0.3">
      <c r="A81" t="s">
        <v>115</v>
      </c>
      <c r="B81">
        <v>21</v>
      </c>
      <c r="C81" t="s">
        <v>20</v>
      </c>
      <c r="D81">
        <v>2</v>
      </c>
      <c r="E81" t="s">
        <v>47</v>
      </c>
      <c r="F81">
        <v>6.5</v>
      </c>
      <c r="G81">
        <v>4.9000000000000004</v>
      </c>
      <c r="H81">
        <v>2</v>
      </c>
      <c r="I81">
        <v>4</v>
      </c>
      <c r="J81">
        <v>5</v>
      </c>
      <c r="K81" s="4" t="str" cm="1">
        <f t="array" ref="K81">_xlfn.IFS(stdsurvey[[#This Row],[phq9_score]]="","Answer Not Provided",stdsurvey[[#This Row],[phq9_score]]&lt;=4,"Minimal",stdsurvey[[#This Row],[phq9_score]]&lt;=9,"Mild",stdsurvey[[#This Row],[phq9_score]]&lt;=14,"Moderate",stdsurvey[[#This Row],[phq9_score]]&lt;=19,"Moderately Severe",stdsurvey[[#This Row],[phq9_score]]&lt;=27,"Severe")</f>
        <v>Minimal</v>
      </c>
      <c r="L81">
        <v>9</v>
      </c>
      <c r="M81" s="4" t="str" cm="1">
        <f t="array" ref="M81">_xlfn.IFS(stdsurvey[[#This Row],[gad7_score]]="","Answer Not Provided",stdsurvey[[#This Row],[gad7_score]]&lt;=4,"Minimal",stdsurvey[[#This Row],[gad7_score]]&lt;=9,"Mild",stdsurvey[[#This Row],[gad7_score]]&lt;=14,"Moderate",stdsurvey[[#This Row],[gad7_score]]&lt;=21,"Severe")</f>
        <v>Mild</v>
      </c>
      <c r="N81">
        <v>18</v>
      </c>
      <c r="O81" s="4" t="str" cm="1">
        <f t="array" ref="O81">_xlfn.IFS(stdsurvey[[#This Row],[perceived_stress_scale]]="","Answer Not Provided",stdsurvey[[#This Row],[perceived_stress_scale]]&lt;=13,"Low Stress",stdsurvey[[#This Row],[perceived_stress_scale]]&lt;=26,"Moderate Stress",stdsurvey[[#This Row],[perceived_stress_scale]]&lt;=40,"High Stress")</f>
        <v>Low Stress</v>
      </c>
      <c r="P81">
        <v>86.5</v>
      </c>
      <c r="Q81">
        <v>5</v>
      </c>
      <c r="R81" s="4" t="str" cm="1">
        <f t="array" ref="R81">_xlfn.IFS(stdsurvey[[#This Row],[class_attendance_percent]]&lt;60,"Less than 0%",stdsurvey[[#This Row],[class_attendance_percent]]&lt;70,"60-70 %",stdsurvey[[#This Row],[class_attendance_percent]]&lt;80, "70-80%",stdsurvey[[#This Row],[class_attendance_percent]]&lt;90,"80-90%",TRUE,"More than 90%")</f>
        <v>80-90%</v>
      </c>
      <c r="S81" t="s">
        <v>33</v>
      </c>
      <c r="T81">
        <v>1</v>
      </c>
      <c r="U81" t="s">
        <v>26</v>
      </c>
      <c r="V81">
        <v>3.22</v>
      </c>
      <c r="W81" s="4" t="str" cm="1">
        <f t="array" ref="W8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81" s="4" t="str" cm="1">
        <f t="array" ref="X81">_xlfn.IFS(stdsurvey[[#This Row],[daily_sleep_hours]]&lt;4,"&lt; 4 hrs",stdsurvey[[#This Row],[daily_sleep_hours]]&lt;=6,"4-6 hrs",stdsurvey[[#This Row],[daily_sleep_hours]]&lt;=8,"6-8 hrs",TRUE,"&gt; 8 hrs")</f>
        <v>6-8 hrs</v>
      </c>
      <c r="Y81" t="s">
        <v>20</v>
      </c>
    </row>
    <row r="82" spans="1:25" x14ac:dyDescent="0.3">
      <c r="A82" t="s">
        <v>116</v>
      </c>
      <c r="B82">
        <v>22</v>
      </c>
      <c r="C82" t="s">
        <v>27</v>
      </c>
      <c r="D82">
        <v>1</v>
      </c>
      <c r="E82" t="s">
        <v>21</v>
      </c>
      <c r="F82">
        <v>10</v>
      </c>
      <c r="G82">
        <v>3.3</v>
      </c>
      <c r="H82">
        <v>0</v>
      </c>
      <c r="I82">
        <v>10</v>
      </c>
      <c r="J82">
        <v>6</v>
      </c>
      <c r="K82" s="4" t="str" cm="1">
        <f t="array" ref="K82">_xlfn.IFS(stdsurvey[[#This Row],[phq9_score]]="","Answer Not Provided",stdsurvey[[#This Row],[phq9_score]]&lt;=4,"Minimal",stdsurvey[[#This Row],[phq9_score]]&lt;=9,"Mild",stdsurvey[[#This Row],[phq9_score]]&lt;=14,"Moderate",stdsurvey[[#This Row],[phq9_score]]&lt;=19,"Moderately Severe",stdsurvey[[#This Row],[phq9_score]]&lt;=27,"Severe")</f>
        <v>Moderate</v>
      </c>
      <c r="L82">
        <v>11</v>
      </c>
      <c r="M82" s="4" t="str" cm="1">
        <f t="array" ref="M82">_xlfn.IFS(stdsurvey[[#This Row],[gad7_score]]="","Answer Not Provided",stdsurvey[[#This Row],[gad7_score]]&lt;=4,"Minimal",stdsurvey[[#This Row],[gad7_score]]&lt;=9,"Mild",stdsurvey[[#This Row],[gad7_score]]&lt;=14,"Moderate",stdsurvey[[#This Row],[gad7_score]]&lt;=21,"Severe")</f>
        <v>Mild</v>
      </c>
      <c r="N82">
        <v>13.4</v>
      </c>
      <c r="O82" s="4" t="str" cm="1">
        <f t="array" ref="O82">_xlfn.IFS(stdsurvey[[#This Row],[perceived_stress_scale]]="","Answer Not Provided",stdsurvey[[#This Row],[perceived_stress_scale]]&lt;=13,"Low Stress",stdsurvey[[#This Row],[perceived_stress_scale]]&lt;=26,"Moderate Stress",stdsurvey[[#This Row],[perceived_stress_scale]]&lt;=40,"High Stress")</f>
        <v>Low Stress</v>
      </c>
      <c r="P82">
        <v>61.6</v>
      </c>
      <c r="Q82">
        <v>3</v>
      </c>
      <c r="R82" s="4" t="str" cm="1">
        <f t="array" ref="R82">_xlfn.IFS(stdsurvey[[#This Row],[class_attendance_percent]]&lt;60,"Less than 0%",stdsurvey[[#This Row],[class_attendance_percent]]&lt;70,"60-70 %",stdsurvey[[#This Row],[class_attendance_percent]]&lt;80, "70-80%",stdsurvey[[#This Row],[class_attendance_percent]]&lt;90,"80-90%",TRUE,"More than 90%")</f>
        <v>60-70 %</v>
      </c>
      <c r="S82" t="s">
        <v>22</v>
      </c>
      <c r="T82">
        <v>2</v>
      </c>
      <c r="U82" t="s">
        <v>26</v>
      </c>
      <c r="V82">
        <v>3.16</v>
      </c>
      <c r="W82" s="4" t="str" cm="1">
        <f t="array" ref="W8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2" s="4" t="str" cm="1">
        <f t="array" ref="X82">_xlfn.IFS(stdsurvey[[#This Row],[daily_sleep_hours]]&lt;4,"&lt; 4 hrs",stdsurvey[[#This Row],[daily_sleep_hours]]&lt;=6,"4-6 hrs",stdsurvey[[#This Row],[daily_sleep_hours]]&lt;=8,"6-8 hrs",TRUE,"&gt; 8 hrs")</f>
        <v>&gt; 8 hrs</v>
      </c>
      <c r="Y82" t="s">
        <v>27</v>
      </c>
    </row>
    <row r="83" spans="1:25" x14ac:dyDescent="0.3">
      <c r="A83" t="s">
        <v>117</v>
      </c>
      <c r="B83">
        <v>23</v>
      </c>
      <c r="C83" t="s">
        <v>27</v>
      </c>
      <c r="D83">
        <v>3</v>
      </c>
      <c r="E83" t="s">
        <v>30</v>
      </c>
      <c r="F83">
        <v>6.3</v>
      </c>
      <c r="G83">
        <v>3.9</v>
      </c>
      <c r="H83">
        <v>1</v>
      </c>
      <c r="I83">
        <v>5</v>
      </c>
      <c r="J83">
        <v>6</v>
      </c>
      <c r="K83" s="4" t="str" cm="1">
        <f t="array" ref="K83">_xlfn.IFS(stdsurvey[[#This Row],[phq9_score]]="","Answer Not Provided",stdsurvey[[#This Row],[phq9_score]]&lt;=4,"Minimal",stdsurvey[[#This Row],[phq9_score]]&lt;=9,"Mild",stdsurvey[[#This Row],[phq9_score]]&lt;=14,"Moderate",stdsurvey[[#This Row],[phq9_score]]&lt;=19,"Moderately Severe",stdsurvey[[#This Row],[phq9_score]]&lt;=27,"Severe")</f>
        <v>Mild</v>
      </c>
      <c r="L83">
        <v>6</v>
      </c>
      <c r="M83" s="4" t="str" cm="1">
        <f t="array" ref="M83">_xlfn.IFS(stdsurvey[[#This Row],[gad7_score]]="","Answer Not Provided",stdsurvey[[#This Row],[gad7_score]]&lt;=4,"Minimal",stdsurvey[[#This Row],[gad7_score]]&lt;=9,"Mild",stdsurvey[[#This Row],[gad7_score]]&lt;=14,"Moderate",stdsurvey[[#This Row],[gad7_score]]&lt;=21,"Severe")</f>
        <v>Mild</v>
      </c>
      <c r="N83">
        <v>23.9</v>
      </c>
      <c r="O83" s="4" t="str" cm="1">
        <f t="array" ref="O83">_xlfn.IFS(stdsurvey[[#This Row],[perceived_stress_scale]]="","Answer Not Provided",stdsurvey[[#This Row],[perceived_stress_scale]]&lt;=13,"Low Stress",stdsurvey[[#This Row],[perceived_stress_scale]]&lt;=26,"Moderate Stress",stdsurvey[[#This Row],[perceived_stress_scale]]&lt;=40,"High Stress")</f>
        <v>Low Stress</v>
      </c>
      <c r="P83">
        <v>70.3</v>
      </c>
      <c r="Q83">
        <v>5</v>
      </c>
      <c r="R83" s="4" t="str" cm="1">
        <f t="array" ref="R83">_xlfn.IFS(stdsurvey[[#This Row],[class_attendance_percent]]&lt;60,"Less than 0%",stdsurvey[[#This Row],[class_attendance_percent]]&lt;70,"60-70 %",stdsurvey[[#This Row],[class_attendance_percent]]&lt;80, "70-80%",stdsurvey[[#This Row],[class_attendance_percent]]&lt;90,"80-90%",TRUE,"More than 90%")</f>
        <v>70-80%</v>
      </c>
      <c r="S83" t="s">
        <v>22</v>
      </c>
      <c r="T83">
        <v>5</v>
      </c>
      <c r="U83" t="s">
        <v>23</v>
      </c>
      <c r="V83">
        <v>3.28</v>
      </c>
      <c r="W83" s="4" t="str" cm="1">
        <f t="array" ref="W8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3" s="4" t="str" cm="1">
        <f t="array" ref="X83">_xlfn.IFS(stdsurvey[[#This Row],[daily_sleep_hours]]&lt;4,"&lt; 4 hrs",stdsurvey[[#This Row],[daily_sleep_hours]]&lt;=6,"4-6 hrs",stdsurvey[[#This Row],[daily_sleep_hours]]&lt;=8,"6-8 hrs",TRUE,"&gt; 8 hrs")</f>
        <v>6-8 hrs</v>
      </c>
      <c r="Y83" t="s">
        <v>27</v>
      </c>
    </row>
    <row r="84" spans="1:25" x14ac:dyDescent="0.3">
      <c r="A84" t="s">
        <v>118</v>
      </c>
      <c r="B84">
        <v>21</v>
      </c>
      <c r="C84" t="s">
        <v>39</v>
      </c>
      <c r="D84">
        <v>2</v>
      </c>
      <c r="E84" t="s">
        <v>30</v>
      </c>
      <c r="F84">
        <v>7.2</v>
      </c>
      <c r="G84">
        <v>1.6</v>
      </c>
      <c r="H84">
        <v>3</v>
      </c>
      <c r="I84">
        <v>2</v>
      </c>
      <c r="J84">
        <v>6</v>
      </c>
      <c r="K84" s="4" t="str" cm="1">
        <f t="array" ref="K84">_xlfn.IFS(stdsurvey[[#This Row],[phq9_score]]="","Answer Not Provided",stdsurvey[[#This Row],[phq9_score]]&lt;=4,"Minimal",stdsurvey[[#This Row],[phq9_score]]&lt;=9,"Mild",stdsurvey[[#This Row],[phq9_score]]&lt;=14,"Moderate",stdsurvey[[#This Row],[phq9_score]]&lt;=19,"Moderately Severe",stdsurvey[[#This Row],[phq9_score]]&lt;=27,"Severe")</f>
        <v>Minimal</v>
      </c>
      <c r="L84">
        <v>7</v>
      </c>
      <c r="M84" s="4" t="str" cm="1">
        <f t="array" ref="M84">_xlfn.IFS(stdsurvey[[#This Row],[gad7_score]]="","Answer Not Provided",stdsurvey[[#This Row],[gad7_score]]&lt;=4,"Minimal",stdsurvey[[#This Row],[gad7_score]]&lt;=9,"Mild",stdsurvey[[#This Row],[gad7_score]]&lt;=14,"Moderate",stdsurvey[[#This Row],[gad7_score]]&lt;=21,"Severe")</f>
        <v>Mild</v>
      </c>
      <c r="N84">
        <v>7.6</v>
      </c>
      <c r="O84" s="4" t="str" cm="1">
        <f t="array" ref="O84">_xlfn.IFS(stdsurvey[[#This Row],[perceived_stress_scale]]="","Answer Not Provided",stdsurvey[[#This Row],[perceived_stress_scale]]&lt;=13,"Low Stress",stdsurvey[[#This Row],[perceived_stress_scale]]&lt;=26,"Moderate Stress",stdsurvey[[#This Row],[perceived_stress_scale]]&lt;=40,"High Stress")</f>
        <v>Low Stress</v>
      </c>
      <c r="P84">
        <v>42.4</v>
      </c>
      <c r="Q84">
        <v>4</v>
      </c>
      <c r="R84" s="4" t="str" cm="1">
        <f t="array" ref="R84">_xlfn.IFS(stdsurvey[[#This Row],[class_attendance_percent]]&lt;60,"Less than 0%",stdsurvey[[#This Row],[class_attendance_percent]]&lt;70,"60-70 %",stdsurvey[[#This Row],[class_attendance_percent]]&lt;80, "70-80%",stdsurvey[[#This Row],[class_attendance_percent]]&lt;90,"80-90%",TRUE,"More than 90%")</f>
        <v>Less than 0%</v>
      </c>
      <c r="S84" t="s">
        <v>33</v>
      </c>
      <c r="T84">
        <v>5</v>
      </c>
      <c r="U84" t="s">
        <v>23</v>
      </c>
      <c r="V84">
        <v>2.85</v>
      </c>
      <c r="W84" s="4" t="str" cm="1">
        <f t="array" ref="W8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4" s="4" t="str" cm="1">
        <f t="array" ref="X84">_xlfn.IFS(stdsurvey[[#This Row],[daily_sleep_hours]]&lt;4,"&lt; 4 hrs",stdsurvey[[#This Row],[daily_sleep_hours]]&lt;=6,"4-6 hrs",stdsurvey[[#This Row],[daily_sleep_hours]]&lt;=8,"6-8 hrs",TRUE,"&gt; 8 hrs")</f>
        <v>6-8 hrs</v>
      </c>
      <c r="Y84" t="s">
        <v>27</v>
      </c>
    </row>
    <row r="85" spans="1:25" x14ac:dyDescent="0.3">
      <c r="A85" t="s">
        <v>119</v>
      </c>
      <c r="B85">
        <v>22</v>
      </c>
      <c r="C85" t="s">
        <v>20</v>
      </c>
      <c r="D85">
        <v>4</v>
      </c>
      <c r="E85" t="s">
        <v>49</v>
      </c>
      <c r="F85">
        <v>5.6</v>
      </c>
      <c r="G85">
        <v>1.5</v>
      </c>
      <c r="H85">
        <v>2</v>
      </c>
      <c r="I85">
        <v>3</v>
      </c>
      <c r="J85">
        <v>4</v>
      </c>
      <c r="K85" s="4" t="str" cm="1">
        <f t="array" ref="K85">_xlfn.IFS(stdsurvey[[#This Row],[phq9_score]]="","Answer Not Provided",stdsurvey[[#This Row],[phq9_score]]&lt;=4,"Minimal",stdsurvey[[#This Row],[phq9_score]]&lt;=9,"Mild",stdsurvey[[#This Row],[phq9_score]]&lt;=14,"Moderate",stdsurvey[[#This Row],[phq9_score]]&lt;=19,"Moderately Severe",stdsurvey[[#This Row],[phq9_score]]&lt;=27,"Severe")</f>
        <v>Minimal</v>
      </c>
      <c r="L85">
        <v>4</v>
      </c>
      <c r="M85" s="4" t="str" cm="1">
        <f t="array" ref="M85">_xlfn.IFS(stdsurvey[[#This Row],[gad7_score]]="","Answer Not Provided",stdsurvey[[#This Row],[gad7_score]]&lt;=4,"Minimal",stdsurvey[[#This Row],[gad7_score]]&lt;=9,"Mild",stdsurvey[[#This Row],[gad7_score]]&lt;=14,"Moderate",stdsurvey[[#This Row],[gad7_score]]&lt;=21,"Severe")</f>
        <v>Minimal</v>
      </c>
      <c r="N85">
        <v>14.7</v>
      </c>
      <c r="O85" s="4" t="str" cm="1">
        <f t="array" ref="O85">_xlfn.IFS(stdsurvey[[#This Row],[perceived_stress_scale]]="","Answer Not Provided",stdsurvey[[#This Row],[perceived_stress_scale]]&lt;=13,"Low Stress",stdsurvey[[#This Row],[perceived_stress_scale]]&lt;=26,"Moderate Stress",stdsurvey[[#This Row],[perceived_stress_scale]]&lt;=40,"High Stress")</f>
        <v>Low Stress</v>
      </c>
      <c r="P85">
        <v>50.2</v>
      </c>
      <c r="Q85">
        <v>4</v>
      </c>
      <c r="R85" s="4" t="str" cm="1">
        <f t="array" ref="R85">_xlfn.IFS(stdsurvey[[#This Row],[class_attendance_percent]]&lt;60,"Less than 0%",stdsurvey[[#This Row],[class_attendance_percent]]&lt;70,"60-70 %",stdsurvey[[#This Row],[class_attendance_percent]]&lt;80, "70-80%",stdsurvey[[#This Row],[class_attendance_percent]]&lt;90,"80-90%",TRUE,"More than 90%")</f>
        <v>Less than 0%</v>
      </c>
      <c r="S85" t="s">
        <v>22</v>
      </c>
      <c r="T85">
        <v>5</v>
      </c>
      <c r="U85" t="s">
        <v>23</v>
      </c>
      <c r="V85">
        <v>2.35</v>
      </c>
      <c r="W85" s="4" t="str" cm="1">
        <f t="array" ref="W8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5" s="4" t="str" cm="1">
        <f t="array" ref="X85">_xlfn.IFS(stdsurvey[[#This Row],[daily_sleep_hours]]&lt;4,"&lt; 4 hrs",stdsurvey[[#This Row],[daily_sleep_hours]]&lt;=6,"4-6 hrs",stdsurvey[[#This Row],[daily_sleep_hours]]&lt;=8,"6-8 hrs",TRUE,"&gt; 8 hrs")</f>
        <v>4-6 hrs</v>
      </c>
      <c r="Y85" t="s">
        <v>20</v>
      </c>
    </row>
    <row r="86" spans="1:25" x14ac:dyDescent="0.3">
      <c r="A86" t="s">
        <v>120</v>
      </c>
      <c r="B86">
        <v>20</v>
      </c>
      <c r="C86" t="s">
        <v>29</v>
      </c>
      <c r="D86">
        <v>4</v>
      </c>
      <c r="E86" t="s">
        <v>47</v>
      </c>
      <c r="F86">
        <v>5.4</v>
      </c>
      <c r="G86">
        <v>3.1</v>
      </c>
      <c r="H86">
        <v>5</v>
      </c>
      <c r="I86">
        <v>10</v>
      </c>
      <c r="J86">
        <v>8</v>
      </c>
      <c r="K86" s="4" t="str" cm="1">
        <f t="array" ref="K86">_xlfn.IFS(stdsurvey[[#This Row],[phq9_score]]="","Answer Not Provided",stdsurvey[[#This Row],[phq9_score]]&lt;=4,"Minimal",stdsurvey[[#This Row],[phq9_score]]&lt;=9,"Mild",stdsurvey[[#This Row],[phq9_score]]&lt;=14,"Moderate",stdsurvey[[#This Row],[phq9_score]]&lt;=19,"Moderately Severe",stdsurvey[[#This Row],[phq9_score]]&lt;=27,"Severe")</f>
        <v>Moderate</v>
      </c>
      <c r="L86">
        <v>13</v>
      </c>
      <c r="M86" s="4" t="str" cm="1">
        <f t="array" ref="M86">_xlfn.IFS(stdsurvey[[#This Row],[gad7_score]]="","Answer Not Provided",stdsurvey[[#This Row],[gad7_score]]&lt;=4,"Minimal",stdsurvey[[#This Row],[gad7_score]]&lt;=9,"Mild",stdsurvey[[#This Row],[gad7_score]]&lt;=14,"Moderate",stdsurvey[[#This Row],[gad7_score]]&lt;=21,"Severe")</f>
        <v>Mild</v>
      </c>
      <c r="N86">
        <v>16.7</v>
      </c>
      <c r="O86" s="4" t="str" cm="1">
        <f t="array" ref="O86">_xlfn.IFS(stdsurvey[[#This Row],[perceived_stress_scale]]="","Answer Not Provided",stdsurvey[[#This Row],[perceived_stress_scale]]&lt;=13,"Low Stress",stdsurvey[[#This Row],[perceived_stress_scale]]&lt;=26,"Moderate Stress",stdsurvey[[#This Row],[perceived_stress_scale]]&lt;=40,"High Stress")</f>
        <v>Low Stress</v>
      </c>
      <c r="P86">
        <v>99.5</v>
      </c>
      <c r="R86" s="4" t="str" cm="1">
        <f t="array" ref="R86">_xlfn.IFS(stdsurvey[[#This Row],[class_attendance_percent]]&lt;60,"Less than 0%",stdsurvey[[#This Row],[class_attendance_percent]]&lt;70,"60-70 %",stdsurvey[[#This Row],[class_attendance_percent]]&lt;80, "70-80%",stdsurvey[[#This Row],[class_attendance_percent]]&lt;90,"80-90%",TRUE,"More than 90%")</f>
        <v>More than 90%</v>
      </c>
      <c r="S86" t="s">
        <v>22</v>
      </c>
      <c r="T86">
        <v>3</v>
      </c>
      <c r="U86" t="s">
        <v>26</v>
      </c>
      <c r="V86">
        <v>2.93</v>
      </c>
      <c r="W86" s="4" t="str" cm="1">
        <f t="array" ref="W8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6" s="4" t="str" cm="1">
        <f t="array" ref="X86">_xlfn.IFS(stdsurvey[[#This Row],[daily_sleep_hours]]&lt;4,"&lt; 4 hrs",stdsurvey[[#This Row],[daily_sleep_hours]]&lt;=6,"4-6 hrs",stdsurvey[[#This Row],[daily_sleep_hours]]&lt;=8,"6-8 hrs",TRUE,"&gt; 8 hrs")</f>
        <v>4-6 hrs</v>
      </c>
      <c r="Y86" t="s">
        <v>29</v>
      </c>
    </row>
    <row r="87" spans="1:25" x14ac:dyDescent="0.3">
      <c r="A87" t="s">
        <v>121</v>
      </c>
      <c r="B87">
        <v>21</v>
      </c>
      <c r="C87" t="s">
        <v>20</v>
      </c>
      <c r="D87">
        <v>4</v>
      </c>
      <c r="E87" t="s">
        <v>30</v>
      </c>
      <c r="F87">
        <v>6.3</v>
      </c>
      <c r="G87">
        <v>3.3</v>
      </c>
      <c r="H87">
        <v>3</v>
      </c>
      <c r="I87">
        <v>15</v>
      </c>
      <c r="J87">
        <v>12</v>
      </c>
      <c r="K87" s="4" t="str" cm="1">
        <f t="array" ref="K87">_xlfn.IFS(stdsurvey[[#This Row],[phq9_score]]="","Answer Not Provided",stdsurvey[[#This Row],[phq9_score]]&lt;=4,"Minimal",stdsurvey[[#This Row],[phq9_score]]&lt;=9,"Mild",stdsurvey[[#This Row],[phq9_score]]&lt;=14,"Moderate",stdsurvey[[#This Row],[phq9_score]]&lt;=19,"Moderately Severe",stdsurvey[[#This Row],[phq9_score]]&lt;=27,"Severe")</f>
        <v>Moderately Severe</v>
      </c>
      <c r="L87">
        <v>23</v>
      </c>
      <c r="M87" s="4" t="str" cm="1">
        <f t="array" ref="M87">_xlfn.IFS(stdsurvey[[#This Row],[gad7_score]]="","Answer Not Provided",stdsurvey[[#This Row],[gad7_score]]&lt;=4,"Minimal",stdsurvey[[#This Row],[gad7_score]]&lt;=9,"Mild",stdsurvey[[#This Row],[gad7_score]]&lt;=14,"Moderate",stdsurvey[[#This Row],[gad7_score]]&lt;=21,"Severe")</f>
        <v>Moderate</v>
      </c>
      <c r="N87">
        <v>16.899999999999999</v>
      </c>
      <c r="O87" s="4" t="str" cm="1">
        <f t="array" ref="O87">_xlfn.IFS(stdsurvey[[#This Row],[perceived_stress_scale]]="","Answer Not Provided",stdsurvey[[#This Row],[perceived_stress_scale]]&lt;=13,"Low Stress",stdsurvey[[#This Row],[perceived_stress_scale]]&lt;=26,"Moderate Stress",stdsurvey[[#This Row],[perceived_stress_scale]]&lt;=40,"High Stress")</f>
        <v>Moderate Stress</v>
      </c>
      <c r="P87">
        <v>100</v>
      </c>
      <c r="Q87">
        <v>1</v>
      </c>
      <c r="R87" s="4" t="str" cm="1">
        <f t="array" ref="R87">_xlfn.IFS(stdsurvey[[#This Row],[class_attendance_percent]]&lt;60,"Less than 0%",stdsurvey[[#This Row],[class_attendance_percent]]&lt;70,"60-70 %",stdsurvey[[#This Row],[class_attendance_percent]]&lt;80, "70-80%",stdsurvey[[#This Row],[class_attendance_percent]]&lt;90,"80-90%",TRUE,"More than 90%")</f>
        <v>More than 90%</v>
      </c>
      <c r="S87" t="s">
        <v>22</v>
      </c>
      <c r="T87">
        <v>4</v>
      </c>
      <c r="U87" t="s">
        <v>26</v>
      </c>
      <c r="V87">
        <v>3.42</v>
      </c>
      <c r="W87" s="4" t="str" cm="1">
        <f t="array" ref="W8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7" s="4" t="str" cm="1">
        <f t="array" ref="X87">_xlfn.IFS(stdsurvey[[#This Row],[daily_sleep_hours]]&lt;4,"&lt; 4 hrs",stdsurvey[[#This Row],[daily_sleep_hours]]&lt;=6,"4-6 hrs",stdsurvey[[#This Row],[daily_sleep_hours]]&lt;=8,"6-8 hrs",TRUE,"&gt; 8 hrs")</f>
        <v>6-8 hrs</v>
      </c>
      <c r="Y87" t="s">
        <v>20</v>
      </c>
    </row>
    <row r="88" spans="1:25" x14ac:dyDescent="0.3">
      <c r="A88" t="s">
        <v>122</v>
      </c>
      <c r="B88">
        <v>21</v>
      </c>
      <c r="C88" t="s">
        <v>102</v>
      </c>
      <c r="D88">
        <v>2</v>
      </c>
      <c r="E88" t="s">
        <v>35</v>
      </c>
      <c r="F88">
        <v>7.8</v>
      </c>
      <c r="G88">
        <v>3.7</v>
      </c>
      <c r="H88">
        <v>3</v>
      </c>
      <c r="I88">
        <v>4</v>
      </c>
      <c r="J88">
        <v>1</v>
      </c>
      <c r="K88" s="4" t="str" cm="1">
        <f t="array" ref="K88">_xlfn.IFS(stdsurvey[[#This Row],[phq9_score]]="","Answer Not Provided",stdsurvey[[#This Row],[phq9_score]]&lt;=4,"Minimal",stdsurvey[[#This Row],[phq9_score]]&lt;=9,"Mild",stdsurvey[[#This Row],[phq9_score]]&lt;=14,"Moderate",stdsurvey[[#This Row],[phq9_score]]&lt;=19,"Moderately Severe",stdsurvey[[#This Row],[phq9_score]]&lt;=27,"Severe")</f>
        <v>Minimal</v>
      </c>
      <c r="L88">
        <v>7</v>
      </c>
      <c r="M88" s="4" t="str" cm="1">
        <f t="array" ref="M88">_xlfn.IFS(stdsurvey[[#This Row],[gad7_score]]="","Answer Not Provided",stdsurvey[[#This Row],[gad7_score]]&lt;=4,"Minimal",stdsurvey[[#This Row],[gad7_score]]&lt;=9,"Mild",stdsurvey[[#This Row],[gad7_score]]&lt;=14,"Moderate",stdsurvey[[#This Row],[gad7_score]]&lt;=21,"Severe")</f>
        <v>Minimal</v>
      </c>
      <c r="N88">
        <v>33</v>
      </c>
      <c r="O88" s="4" t="str" cm="1">
        <f t="array" ref="O88">_xlfn.IFS(stdsurvey[[#This Row],[perceived_stress_scale]]="","Answer Not Provided",stdsurvey[[#This Row],[perceived_stress_scale]]&lt;=13,"Low Stress",stdsurvey[[#This Row],[perceived_stress_scale]]&lt;=26,"Moderate Stress",stdsurvey[[#This Row],[perceived_stress_scale]]&lt;=40,"High Stress")</f>
        <v>Low Stress</v>
      </c>
      <c r="P88">
        <v>82.3</v>
      </c>
      <c r="Q88">
        <v>3</v>
      </c>
      <c r="R88" s="4" t="str" cm="1">
        <f t="array" ref="R88">_xlfn.IFS(stdsurvey[[#This Row],[class_attendance_percent]]&lt;60,"Less than 0%",stdsurvey[[#This Row],[class_attendance_percent]]&lt;70,"60-70 %",stdsurvey[[#This Row],[class_attendance_percent]]&lt;80, "70-80%",stdsurvey[[#This Row],[class_attendance_percent]]&lt;90,"80-90%",TRUE,"More than 90%")</f>
        <v>80-90%</v>
      </c>
      <c r="S88" t="s">
        <v>33</v>
      </c>
      <c r="T88">
        <v>4</v>
      </c>
      <c r="U88" t="s">
        <v>26</v>
      </c>
      <c r="V88">
        <v>3.07</v>
      </c>
      <c r="W88" s="4" t="str" cm="1">
        <f t="array" ref="W8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88" s="4" t="str" cm="1">
        <f t="array" ref="X88">_xlfn.IFS(stdsurvey[[#This Row],[daily_sleep_hours]]&lt;4,"&lt; 4 hrs",stdsurvey[[#This Row],[daily_sleep_hours]]&lt;=6,"4-6 hrs",stdsurvey[[#This Row],[daily_sleep_hours]]&lt;=8,"6-8 hrs",TRUE,"&gt; 8 hrs")</f>
        <v>6-8 hrs</v>
      </c>
      <c r="Y88" t="s">
        <v>20</v>
      </c>
    </row>
    <row r="89" spans="1:25" x14ac:dyDescent="0.3">
      <c r="A89" t="s">
        <v>123</v>
      </c>
      <c r="B89">
        <v>19</v>
      </c>
      <c r="C89" t="s">
        <v>20</v>
      </c>
      <c r="D89">
        <v>2</v>
      </c>
      <c r="E89" t="s">
        <v>47</v>
      </c>
      <c r="F89">
        <v>5.8</v>
      </c>
      <c r="G89">
        <v>9.9</v>
      </c>
      <c r="H89">
        <v>4</v>
      </c>
      <c r="I89">
        <v>5</v>
      </c>
      <c r="J89">
        <v>6</v>
      </c>
      <c r="K89" s="4" t="str" cm="1">
        <f t="array" ref="K89">_xlfn.IFS(stdsurvey[[#This Row],[phq9_score]]="","Answer Not Provided",stdsurvey[[#This Row],[phq9_score]]&lt;=4,"Minimal",stdsurvey[[#This Row],[phq9_score]]&lt;=9,"Mild",stdsurvey[[#This Row],[phq9_score]]&lt;=14,"Moderate",stdsurvey[[#This Row],[phq9_score]]&lt;=19,"Moderately Severe",stdsurvey[[#This Row],[phq9_score]]&lt;=27,"Severe")</f>
        <v>Mild</v>
      </c>
      <c r="L89">
        <v>12</v>
      </c>
      <c r="M89" s="4" t="str" cm="1">
        <f t="array" ref="M89">_xlfn.IFS(stdsurvey[[#This Row],[gad7_score]]="","Answer Not Provided",stdsurvey[[#This Row],[gad7_score]]&lt;=4,"Minimal",stdsurvey[[#This Row],[gad7_score]]&lt;=9,"Mild",stdsurvey[[#This Row],[gad7_score]]&lt;=14,"Moderate",stdsurvey[[#This Row],[gad7_score]]&lt;=21,"Severe")</f>
        <v>Mild</v>
      </c>
      <c r="N89">
        <v>20.9</v>
      </c>
      <c r="O89" s="4" t="str" cm="1">
        <f t="array" ref="O89">_xlfn.IFS(stdsurvey[[#This Row],[perceived_stress_scale]]="","Answer Not Provided",stdsurvey[[#This Row],[perceived_stress_scale]]&lt;=13,"Low Stress",stdsurvey[[#This Row],[perceived_stress_scale]]&lt;=26,"Moderate Stress",stdsurvey[[#This Row],[perceived_stress_scale]]&lt;=40,"High Stress")</f>
        <v>Low Stress</v>
      </c>
      <c r="P89">
        <v>67.599999999999994</v>
      </c>
      <c r="Q89">
        <v>1</v>
      </c>
      <c r="R89" s="4" t="str" cm="1">
        <f t="array" ref="R89">_xlfn.IFS(stdsurvey[[#This Row],[class_attendance_percent]]&lt;60,"Less than 0%",stdsurvey[[#This Row],[class_attendance_percent]]&lt;70,"60-70 %",stdsurvey[[#This Row],[class_attendance_percent]]&lt;80, "70-80%",stdsurvey[[#This Row],[class_attendance_percent]]&lt;90,"80-90%",TRUE,"More than 90%")</f>
        <v>60-70 %</v>
      </c>
      <c r="S89" t="s">
        <v>22</v>
      </c>
      <c r="T89">
        <v>2</v>
      </c>
      <c r="U89" t="s">
        <v>23</v>
      </c>
      <c r="V89">
        <v>3.09</v>
      </c>
      <c r="W89" s="4" t="str" cm="1">
        <f t="array" ref="W8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89" s="4" t="str" cm="1">
        <f t="array" ref="X89">_xlfn.IFS(stdsurvey[[#This Row],[daily_sleep_hours]]&lt;4,"&lt; 4 hrs",stdsurvey[[#This Row],[daily_sleep_hours]]&lt;=6,"4-6 hrs",stdsurvey[[#This Row],[daily_sleep_hours]]&lt;=8,"6-8 hrs",TRUE,"&gt; 8 hrs")</f>
        <v>4-6 hrs</v>
      </c>
      <c r="Y89" t="s">
        <v>20</v>
      </c>
    </row>
    <row r="90" spans="1:25" x14ac:dyDescent="0.3">
      <c r="A90" t="s">
        <v>124</v>
      </c>
      <c r="B90">
        <v>23</v>
      </c>
      <c r="C90" t="s">
        <v>39</v>
      </c>
      <c r="D90">
        <v>4</v>
      </c>
      <c r="E90" t="s">
        <v>47</v>
      </c>
      <c r="F90">
        <v>7.3</v>
      </c>
      <c r="G90">
        <v>6.5</v>
      </c>
      <c r="H90">
        <v>1</v>
      </c>
      <c r="I90">
        <v>2</v>
      </c>
      <c r="J90">
        <v>10</v>
      </c>
      <c r="K90" s="4" t="str" cm="1">
        <f t="array" ref="K90">_xlfn.IFS(stdsurvey[[#This Row],[phq9_score]]="","Answer Not Provided",stdsurvey[[#This Row],[phq9_score]]&lt;=4,"Minimal",stdsurvey[[#This Row],[phq9_score]]&lt;=9,"Mild",stdsurvey[[#This Row],[phq9_score]]&lt;=14,"Moderate",stdsurvey[[#This Row],[phq9_score]]&lt;=19,"Moderately Severe",stdsurvey[[#This Row],[phq9_score]]&lt;=27,"Severe")</f>
        <v>Minimal</v>
      </c>
      <c r="L90">
        <v>8</v>
      </c>
      <c r="M90" s="4" t="str" cm="1">
        <f t="array" ref="M90">_xlfn.IFS(stdsurvey[[#This Row],[gad7_score]]="","Answer Not Provided",stdsurvey[[#This Row],[gad7_score]]&lt;=4,"Minimal",stdsurvey[[#This Row],[gad7_score]]&lt;=9,"Mild",stdsurvey[[#This Row],[gad7_score]]&lt;=14,"Moderate",stdsurvey[[#This Row],[gad7_score]]&lt;=21,"Severe")</f>
        <v>Moderate</v>
      </c>
      <c r="N90">
        <v>23</v>
      </c>
      <c r="O90" s="4" t="str" cm="1">
        <f t="array" ref="O90">_xlfn.IFS(stdsurvey[[#This Row],[perceived_stress_scale]]="","Answer Not Provided",stdsurvey[[#This Row],[perceived_stress_scale]]&lt;=13,"Low Stress",stdsurvey[[#This Row],[perceived_stress_scale]]&lt;=26,"Moderate Stress",stdsurvey[[#This Row],[perceived_stress_scale]]&lt;=40,"High Stress")</f>
        <v>Low Stress</v>
      </c>
      <c r="P90">
        <v>77.599999999999994</v>
      </c>
      <c r="Q90">
        <v>1</v>
      </c>
      <c r="R90" s="4" t="str" cm="1">
        <f t="array" ref="R90">_xlfn.IFS(stdsurvey[[#This Row],[class_attendance_percent]]&lt;60,"Less than 0%",stdsurvey[[#This Row],[class_attendance_percent]]&lt;70,"60-70 %",stdsurvey[[#This Row],[class_attendance_percent]]&lt;80, "70-80%",stdsurvey[[#This Row],[class_attendance_percent]]&lt;90,"80-90%",TRUE,"More than 90%")</f>
        <v>70-80%</v>
      </c>
      <c r="S90" t="s">
        <v>22</v>
      </c>
      <c r="T90">
        <v>2</v>
      </c>
      <c r="U90" t="s">
        <v>23</v>
      </c>
      <c r="V90">
        <v>3.37</v>
      </c>
      <c r="W90" s="4" t="str" cm="1">
        <f t="array" ref="W9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90" s="4" t="str" cm="1">
        <f t="array" ref="X90">_xlfn.IFS(stdsurvey[[#This Row],[daily_sleep_hours]]&lt;4,"&lt; 4 hrs",stdsurvey[[#This Row],[daily_sleep_hours]]&lt;=6,"4-6 hrs",stdsurvey[[#This Row],[daily_sleep_hours]]&lt;=8,"6-8 hrs",TRUE,"&gt; 8 hrs")</f>
        <v>6-8 hrs</v>
      </c>
      <c r="Y90" t="s">
        <v>27</v>
      </c>
    </row>
    <row r="91" spans="1:25" x14ac:dyDescent="0.3">
      <c r="A91" t="s">
        <v>125</v>
      </c>
      <c r="B91">
        <v>21</v>
      </c>
      <c r="C91" t="s">
        <v>27</v>
      </c>
      <c r="D91">
        <v>4</v>
      </c>
      <c r="E91" t="s">
        <v>30</v>
      </c>
      <c r="F91">
        <v>6.5</v>
      </c>
      <c r="G91">
        <v>1</v>
      </c>
      <c r="H91">
        <v>4</v>
      </c>
      <c r="I91">
        <v>2</v>
      </c>
      <c r="J91">
        <v>3</v>
      </c>
      <c r="K91" s="4" t="str" cm="1">
        <f t="array" ref="K91">_xlfn.IFS(stdsurvey[[#This Row],[phq9_score]]="","Answer Not Provided",stdsurvey[[#This Row],[phq9_score]]&lt;=4,"Minimal",stdsurvey[[#This Row],[phq9_score]]&lt;=9,"Mild",stdsurvey[[#This Row],[phq9_score]]&lt;=14,"Moderate",stdsurvey[[#This Row],[phq9_score]]&lt;=19,"Moderately Severe",stdsurvey[[#This Row],[phq9_score]]&lt;=27,"Severe")</f>
        <v>Minimal</v>
      </c>
      <c r="L91">
        <v>8</v>
      </c>
      <c r="M91" s="4" t="str" cm="1">
        <f t="array" ref="M91">_xlfn.IFS(stdsurvey[[#This Row],[gad7_score]]="","Answer Not Provided",stdsurvey[[#This Row],[gad7_score]]&lt;=4,"Minimal",stdsurvey[[#This Row],[gad7_score]]&lt;=9,"Mild",stdsurvey[[#This Row],[gad7_score]]&lt;=14,"Moderate",stdsurvey[[#This Row],[gad7_score]]&lt;=21,"Severe")</f>
        <v>Minimal</v>
      </c>
      <c r="N91">
        <v>19.7</v>
      </c>
      <c r="O91" s="4" t="str" cm="1">
        <f t="array" ref="O91">_xlfn.IFS(stdsurvey[[#This Row],[perceived_stress_scale]]="","Answer Not Provided",stdsurvey[[#This Row],[perceived_stress_scale]]&lt;=13,"Low Stress",stdsurvey[[#This Row],[perceived_stress_scale]]&lt;=26,"Moderate Stress",stdsurvey[[#This Row],[perceived_stress_scale]]&lt;=40,"High Stress")</f>
        <v>Low Stress</v>
      </c>
      <c r="P91">
        <v>90.5</v>
      </c>
      <c r="Q91">
        <v>4</v>
      </c>
      <c r="R91" s="4" t="str" cm="1">
        <f t="array" ref="R91">_xlfn.IFS(stdsurvey[[#This Row],[class_attendance_percent]]&lt;60,"Less than 0%",stdsurvey[[#This Row],[class_attendance_percent]]&lt;70,"60-70 %",stdsurvey[[#This Row],[class_attendance_percent]]&lt;80, "70-80%",stdsurvey[[#This Row],[class_attendance_percent]]&lt;90,"80-90%",TRUE,"More than 90%")</f>
        <v>More than 90%</v>
      </c>
      <c r="S91" t="s">
        <v>33</v>
      </c>
      <c r="T91">
        <v>5</v>
      </c>
      <c r="U91" t="s">
        <v>23</v>
      </c>
      <c r="V91">
        <v>3.29</v>
      </c>
      <c r="W91" s="4" t="str" cm="1">
        <f t="array" ref="W9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91" s="4" t="str" cm="1">
        <f t="array" ref="X91">_xlfn.IFS(stdsurvey[[#This Row],[daily_sleep_hours]]&lt;4,"&lt; 4 hrs",stdsurvey[[#This Row],[daily_sleep_hours]]&lt;=6,"4-6 hrs",stdsurvey[[#This Row],[daily_sleep_hours]]&lt;=8,"6-8 hrs",TRUE,"&gt; 8 hrs")</f>
        <v>6-8 hrs</v>
      </c>
      <c r="Y91" t="s">
        <v>27</v>
      </c>
    </row>
    <row r="92" spans="1:25" x14ac:dyDescent="0.3">
      <c r="A92" t="s">
        <v>126</v>
      </c>
      <c r="B92">
        <v>22</v>
      </c>
      <c r="C92" t="s">
        <v>20</v>
      </c>
      <c r="D92">
        <v>3</v>
      </c>
      <c r="E92" t="s">
        <v>30</v>
      </c>
      <c r="F92">
        <v>5</v>
      </c>
      <c r="G92">
        <v>8.6999999999999993</v>
      </c>
      <c r="H92">
        <v>0</v>
      </c>
      <c r="I92">
        <v>7</v>
      </c>
      <c r="J92">
        <v>6</v>
      </c>
      <c r="K92" s="4" t="str" cm="1">
        <f t="array" ref="K92">_xlfn.IFS(stdsurvey[[#This Row],[phq9_score]]="","Answer Not Provided",stdsurvey[[#This Row],[phq9_score]]&lt;=4,"Minimal",stdsurvey[[#This Row],[phq9_score]]&lt;=9,"Mild",stdsurvey[[#This Row],[phq9_score]]&lt;=14,"Moderate",stdsurvey[[#This Row],[phq9_score]]&lt;=19,"Moderately Severe",stdsurvey[[#This Row],[phq9_score]]&lt;=27,"Severe")</f>
        <v>Mild</v>
      </c>
      <c r="L92">
        <v>18</v>
      </c>
      <c r="M92" s="4" t="str" cm="1">
        <f t="array" ref="M92">_xlfn.IFS(stdsurvey[[#This Row],[gad7_score]]="","Answer Not Provided",stdsurvey[[#This Row],[gad7_score]]&lt;=4,"Minimal",stdsurvey[[#This Row],[gad7_score]]&lt;=9,"Mild",stdsurvey[[#This Row],[gad7_score]]&lt;=14,"Moderate",stdsurvey[[#This Row],[gad7_score]]&lt;=21,"Severe")</f>
        <v>Mild</v>
      </c>
      <c r="N92">
        <v>17.5</v>
      </c>
      <c r="O92" s="4" t="str" cm="1">
        <f t="array" ref="O92">_xlfn.IFS(stdsurvey[[#This Row],[perceived_stress_scale]]="","Answer Not Provided",stdsurvey[[#This Row],[perceived_stress_scale]]&lt;=13,"Low Stress",stdsurvey[[#This Row],[perceived_stress_scale]]&lt;=26,"Moderate Stress",stdsurvey[[#This Row],[perceived_stress_scale]]&lt;=40,"High Stress")</f>
        <v>Moderate Stress</v>
      </c>
      <c r="P92">
        <v>76.900000000000006</v>
      </c>
      <c r="Q92">
        <v>4</v>
      </c>
      <c r="R92" s="4" t="str" cm="1">
        <f t="array" ref="R92">_xlfn.IFS(stdsurvey[[#This Row],[class_attendance_percent]]&lt;60,"Less than 0%",stdsurvey[[#This Row],[class_attendance_percent]]&lt;70,"60-70 %",stdsurvey[[#This Row],[class_attendance_percent]]&lt;80, "70-80%",stdsurvey[[#This Row],[class_attendance_percent]]&lt;90,"80-90%",TRUE,"More than 90%")</f>
        <v>70-80%</v>
      </c>
      <c r="S92" t="s">
        <v>33</v>
      </c>
      <c r="T92">
        <v>1</v>
      </c>
      <c r="U92" t="s">
        <v>23</v>
      </c>
      <c r="V92">
        <v>2.69</v>
      </c>
      <c r="W92" s="4" t="str" cm="1">
        <f t="array" ref="W9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92" s="4" t="str" cm="1">
        <f t="array" ref="X92">_xlfn.IFS(stdsurvey[[#This Row],[daily_sleep_hours]]&lt;4,"&lt; 4 hrs",stdsurvey[[#This Row],[daily_sleep_hours]]&lt;=6,"4-6 hrs",stdsurvey[[#This Row],[daily_sleep_hours]]&lt;=8,"6-8 hrs",TRUE,"&gt; 8 hrs")</f>
        <v>4-6 hrs</v>
      </c>
      <c r="Y92" t="s">
        <v>20</v>
      </c>
    </row>
    <row r="93" spans="1:25" x14ac:dyDescent="0.3">
      <c r="A93" t="s">
        <v>127</v>
      </c>
      <c r="B93">
        <v>23</v>
      </c>
      <c r="C93" t="s">
        <v>25</v>
      </c>
      <c r="D93">
        <v>4</v>
      </c>
      <c r="E93" t="s">
        <v>47</v>
      </c>
      <c r="F93">
        <v>9.3000000000000007</v>
      </c>
      <c r="G93">
        <v>3.1</v>
      </c>
      <c r="H93">
        <v>3</v>
      </c>
      <c r="I93">
        <v>22</v>
      </c>
      <c r="J93">
        <v>18</v>
      </c>
      <c r="K93" s="4" t="str" cm="1">
        <f t="array" ref="K93">_xlfn.IFS(stdsurvey[[#This Row],[phq9_score]]="","Answer Not Provided",stdsurvey[[#This Row],[phq9_score]]&lt;=4,"Minimal",stdsurvey[[#This Row],[phq9_score]]&lt;=9,"Mild",stdsurvey[[#This Row],[phq9_score]]&lt;=14,"Moderate",stdsurvey[[#This Row],[phq9_score]]&lt;=19,"Moderately Severe",stdsurvey[[#This Row],[phq9_score]]&lt;=27,"Severe")</f>
        <v>Severe</v>
      </c>
      <c r="L93">
        <v>27</v>
      </c>
      <c r="M93" s="4" t="str" cm="1">
        <f t="array" ref="M93">_xlfn.IFS(stdsurvey[[#This Row],[gad7_score]]="","Answer Not Provided",stdsurvey[[#This Row],[gad7_score]]&lt;=4,"Minimal",stdsurvey[[#This Row],[gad7_score]]&lt;=9,"Mild",stdsurvey[[#This Row],[gad7_score]]&lt;=14,"Moderate",stdsurvey[[#This Row],[gad7_score]]&lt;=21,"Severe")</f>
        <v>Severe</v>
      </c>
      <c r="N93">
        <v>6.6</v>
      </c>
      <c r="O93" s="4" t="str" cm="1">
        <f t="array" ref="O93">_xlfn.IFS(stdsurvey[[#This Row],[perceived_stress_scale]]="","Answer Not Provided",stdsurvey[[#This Row],[perceived_stress_scale]]&lt;=13,"Low Stress",stdsurvey[[#This Row],[perceived_stress_scale]]&lt;=26,"Moderate Stress",stdsurvey[[#This Row],[perceived_stress_scale]]&lt;=40,"High Stress")</f>
        <v>High Stress</v>
      </c>
      <c r="P93">
        <v>77.5</v>
      </c>
      <c r="Q93">
        <v>2</v>
      </c>
      <c r="R93" s="4" t="str" cm="1">
        <f t="array" ref="R93">_xlfn.IFS(stdsurvey[[#This Row],[class_attendance_percent]]&lt;60,"Less than 0%",stdsurvey[[#This Row],[class_attendance_percent]]&lt;70,"60-70 %",stdsurvey[[#This Row],[class_attendance_percent]]&lt;80, "70-80%",stdsurvey[[#This Row],[class_attendance_percent]]&lt;90,"80-90%",TRUE,"More than 90%")</f>
        <v>70-80%</v>
      </c>
      <c r="S93" t="s">
        <v>33</v>
      </c>
      <c r="T93">
        <v>3</v>
      </c>
      <c r="U93" t="s">
        <v>26</v>
      </c>
      <c r="V93">
        <v>2.1</v>
      </c>
      <c r="W93" s="4" t="str" cm="1">
        <f t="array" ref="W9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93" s="4" t="str" cm="1">
        <f t="array" ref="X93">_xlfn.IFS(stdsurvey[[#This Row],[daily_sleep_hours]]&lt;4,"&lt; 4 hrs",stdsurvey[[#This Row],[daily_sleep_hours]]&lt;=6,"4-6 hrs",stdsurvey[[#This Row],[daily_sleep_hours]]&lt;=8,"6-8 hrs",TRUE,"&gt; 8 hrs")</f>
        <v>&gt; 8 hrs</v>
      </c>
      <c r="Y93" t="s">
        <v>27</v>
      </c>
    </row>
    <row r="94" spans="1:25" x14ac:dyDescent="0.3">
      <c r="A94" t="s">
        <v>128</v>
      </c>
      <c r="B94">
        <v>22</v>
      </c>
      <c r="C94" t="s">
        <v>45</v>
      </c>
      <c r="D94">
        <v>1</v>
      </c>
      <c r="E94" t="s">
        <v>30</v>
      </c>
      <c r="F94">
        <v>6.4</v>
      </c>
      <c r="G94">
        <v>6.9</v>
      </c>
      <c r="H94">
        <v>5</v>
      </c>
      <c r="I94">
        <v>6</v>
      </c>
      <c r="J94">
        <v>9</v>
      </c>
      <c r="K94" s="4" t="str" cm="1">
        <f t="array" ref="K94">_xlfn.IFS(stdsurvey[[#This Row],[phq9_score]]="","Answer Not Provided",stdsurvey[[#This Row],[phq9_score]]&lt;=4,"Minimal",stdsurvey[[#This Row],[phq9_score]]&lt;=9,"Mild",stdsurvey[[#This Row],[phq9_score]]&lt;=14,"Moderate",stdsurvey[[#This Row],[phq9_score]]&lt;=19,"Moderately Severe",stdsurvey[[#This Row],[phq9_score]]&lt;=27,"Severe")</f>
        <v>Mild</v>
      </c>
      <c r="L94">
        <v>14</v>
      </c>
      <c r="M94" s="4" t="str" cm="1">
        <f t="array" ref="M94">_xlfn.IFS(stdsurvey[[#This Row],[gad7_score]]="","Answer Not Provided",stdsurvey[[#This Row],[gad7_score]]&lt;=4,"Minimal",stdsurvey[[#This Row],[gad7_score]]&lt;=9,"Mild",stdsurvey[[#This Row],[gad7_score]]&lt;=14,"Moderate",stdsurvey[[#This Row],[gad7_score]]&lt;=21,"Severe")</f>
        <v>Mild</v>
      </c>
      <c r="N94">
        <v>21.4</v>
      </c>
      <c r="O94" s="4" t="str" cm="1">
        <f t="array" ref="O94">_xlfn.IFS(stdsurvey[[#This Row],[perceived_stress_scale]]="","Answer Not Provided",stdsurvey[[#This Row],[perceived_stress_scale]]&lt;=13,"Low Stress",stdsurvey[[#This Row],[perceived_stress_scale]]&lt;=26,"Moderate Stress",stdsurvey[[#This Row],[perceived_stress_scale]]&lt;=40,"High Stress")</f>
        <v>Moderate Stress</v>
      </c>
      <c r="P94">
        <v>85.7</v>
      </c>
      <c r="Q94">
        <v>4</v>
      </c>
      <c r="R94" s="4" t="str" cm="1">
        <f t="array" ref="R94">_xlfn.IFS(stdsurvey[[#This Row],[class_attendance_percent]]&lt;60,"Less than 0%",stdsurvey[[#This Row],[class_attendance_percent]]&lt;70,"60-70 %",stdsurvey[[#This Row],[class_attendance_percent]]&lt;80, "70-80%",stdsurvey[[#This Row],[class_attendance_percent]]&lt;90,"80-90%",TRUE,"More than 90%")</f>
        <v>80-90%</v>
      </c>
      <c r="S94" t="s">
        <v>22</v>
      </c>
      <c r="T94">
        <v>4</v>
      </c>
      <c r="U94" t="s">
        <v>23</v>
      </c>
      <c r="W94" s="4" t="str" cm="1">
        <f t="array" ref="W9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94" s="4" t="str" cm="1">
        <f t="array" ref="X94">_xlfn.IFS(stdsurvey[[#This Row],[daily_sleep_hours]]&lt;4,"&lt; 4 hrs",stdsurvey[[#This Row],[daily_sleep_hours]]&lt;=6,"4-6 hrs",stdsurvey[[#This Row],[daily_sleep_hours]]&lt;=8,"6-8 hrs",TRUE,"&gt; 8 hrs")</f>
        <v>6-8 hrs</v>
      </c>
      <c r="Y94" t="s">
        <v>20</v>
      </c>
    </row>
    <row r="95" spans="1:25" x14ac:dyDescent="0.3">
      <c r="A95" t="s">
        <v>129</v>
      </c>
      <c r="B95">
        <v>23</v>
      </c>
      <c r="C95" t="s">
        <v>25</v>
      </c>
      <c r="D95">
        <v>4</v>
      </c>
      <c r="E95" t="s">
        <v>32</v>
      </c>
      <c r="F95">
        <v>5.3</v>
      </c>
      <c r="G95">
        <v>3.3</v>
      </c>
      <c r="H95">
        <v>4</v>
      </c>
      <c r="I95">
        <v>6</v>
      </c>
      <c r="J95">
        <v>8</v>
      </c>
      <c r="K95" s="4" t="str" cm="1">
        <f t="array" ref="K95">_xlfn.IFS(stdsurvey[[#This Row],[phq9_score]]="","Answer Not Provided",stdsurvey[[#This Row],[phq9_score]]&lt;=4,"Minimal",stdsurvey[[#This Row],[phq9_score]]&lt;=9,"Mild",stdsurvey[[#This Row],[phq9_score]]&lt;=14,"Moderate",stdsurvey[[#This Row],[phq9_score]]&lt;=19,"Moderately Severe",stdsurvey[[#This Row],[phq9_score]]&lt;=27,"Severe")</f>
        <v>Mild</v>
      </c>
      <c r="L95">
        <v>8</v>
      </c>
      <c r="M95" s="4" t="str" cm="1">
        <f t="array" ref="M95">_xlfn.IFS(stdsurvey[[#This Row],[gad7_score]]="","Answer Not Provided",stdsurvey[[#This Row],[gad7_score]]&lt;=4,"Minimal",stdsurvey[[#This Row],[gad7_score]]&lt;=9,"Mild",stdsurvey[[#This Row],[gad7_score]]&lt;=14,"Moderate",stdsurvey[[#This Row],[gad7_score]]&lt;=21,"Severe")</f>
        <v>Mild</v>
      </c>
      <c r="N95">
        <v>11.1</v>
      </c>
      <c r="O95" s="4" t="str" cm="1">
        <f t="array" ref="O95">_xlfn.IFS(stdsurvey[[#This Row],[perceived_stress_scale]]="","Answer Not Provided",stdsurvey[[#This Row],[perceived_stress_scale]]&lt;=13,"Low Stress",stdsurvey[[#This Row],[perceived_stress_scale]]&lt;=26,"Moderate Stress",stdsurvey[[#This Row],[perceived_stress_scale]]&lt;=40,"High Stress")</f>
        <v>Low Stress</v>
      </c>
      <c r="P95">
        <v>70</v>
      </c>
      <c r="Q95">
        <v>5</v>
      </c>
      <c r="R95" s="4" t="str" cm="1">
        <f t="array" ref="R95">_xlfn.IFS(stdsurvey[[#This Row],[class_attendance_percent]]&lt;60,"Less than 0%",stdsurvey[[#This Row],[class_attendance_percent]]&lt;70,"60-70 %",stdsurvey[[#This Row],[class_attendance_percent]]&lt;80, "70-80%",stdsurvey[[#This Row],[class_attendance_percent]]&lt;90,"80-90%",TRUE,"More than 90%")</f>
        <v>70-80%</v>
      </c>
      <c r="S95" t="s">
        <v>33</v>
      </c>
      <c r="T95">
        <v>4</v>
      </c>
      <c r="U95" t="s">
        <v>51</v>
      </c>
      <c r="V95">
        <v>2.75</v>
      </c>
      <c r="W95" s="4" t="str" cm="1">
        <f t="array" ref="W9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95" s="4" t="str" cm="1">
        <f t="array" ref="X95">_xlfn.IFS(stdsurvey[[#This Row],[daily_sleep_hours]]&lt;4,"&lt; 4 hrs",stdsurvey[[#This Row],[daily_sleep_hours]]&lt;=6,"4-6 hrs",stdsurvey[[#This Row],[daily_sleep_hours]]&lt;=8,"6-8 hrs",TRUE,"&gt; 8 hrs")</f>
        <v>4-6 hrs</v>
      </c>
      <c r="Y95" t="s">
        <v>27</v>
      </c>
    </row>
    <row r="96" spans="1:25" x14ac:dyDescent="0.3">
      <c r="A96" t="s">
        <v>130</v>
      </c>
      <c r="B96">
        <v>21</v>
      </c>
      <c r="C96" t="s">
        <v>27</v>
      </c>
      <c r="D96">
        <v>1</v>
      </c>
      <c r="E96" t="s">
        <v>49</v>
      </c>
      <c r="F96">
        <v>5.2</v>
      </c>
      <c r="G96">
        <v>4.7</v>
      </c>
      <c r="H96">
        <v>5</v>
      </c>
      <c r="I96">
        <v>6</v>
      </c>
      <c r="J96">
        <v>2</v>
      </c>
      <c r="K96" s="4" t="str" cm="1">
        <f t="array" ref="K96">_xlfn.IFS(stdsurvey[[#This Row],[phq9_score]]="","Answer Not Provided",stdsurvey[[#This Row],[phq9_score]]&lt;=4,"Minimal",stdsurvey[[#This Row],[phq9_score]]&lt;=9,"Mild",stdsurvey[[#This Row],[phq9_score]]&lt;=14,"Moderate",stdsurvey[[#This Row],[phq9_score]]&lt;=19,"Moderately Severe",stdsurvey[[#This Row],[phq9_score]]&lt;=27,"Severe")</f>
        <v>Mild</v>
      </c>
      <c r="L96">
        <v>15</v>
      </c>
      <c r="M96" s="4" t="str" cm="1">
        <f t="array" ref="M96">_xlfn.IFS(stdsurvey[[#This Row],[gad7_score]]="","Answer Not Provided",stdsurvey[[#This Row],[gad7_score]]&lt;=4,"Minimal",stdsurvey[[#This Row],[gad7_score]]&lt;=9,"Mild",stdsurvey[[#This Row],[gad7_score]]&lt;=14,"Moderate",stdsurvey[[#This Row],[gad7_score]]&lt;=21,"Severe")</f>
        <v>Minimal</v>
      </c>
      <c r="N96">
        <v>14.7</v>
      </c>
      <c r="O96" s="4" t="str" cm="1">
        <f t="array" ref="O96">_xlfn.IFS(stdsurvey[[#This Row],[perceived_stress_scale]]="","Answer Not Provided",stdsurvey[[#This Row],[perceived_stress_scale]]&lt;=13,"Low Stress",stdsurvey[[#This Row],[perceived_stress_scale]]&lt;=26,"Moderate Stress",stdsurvey[[#This Row],[perceived_stress_scale]]&lt;=40,"High Stress")</f>
        <v>Moderate Stress</v>
      </c>
      <c r="P96">
        <v>70.099999999999994</v>
      </c>
      <c r="Q96">
        <v>4</v>
      </c>
      <c r="R96" s="4" t="str" cm="1">
        <f t="array" ref="R96">_xlfn.IFS(stdsurvey[[#This Row],[class_attendance_percent]]&lt;60,"Less than 0%",stdsurvey[[#This Row],[class_attendance_percent]]&lt;70,"60-70 %",stdsurvey[[#This Row],[class_attendance_percent]]&lt;80, "70-80%",stdsurvey[[#This Row],[class_attendance_percent]]&lt;90,"80-90%",TRUE,"More than 90%")</f>
        <v>70-80%</v>
      </c>
      <c r="S96" t="s">
        <v>33</v>
      </c>
      <c r="T96">
        <v>2</v>
      </c>
      <c r="U96" t="s">
        <v>23</v>
      </c>
      <c r="V96">
        <v>2.8</v>
      </c>
      <c r="W96" s="4" t="str" cm="1">
        <f t="array" ref="W9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96" s="4" t="str" cm="1">
        <f t="array" ref="X96">_xlfn.IFS(stdsurvey[[#This Row],[daily_sleep_hours]]&lt;4,"&lt; 4 hrs",stdsurvey[[#This Row],[daily_sleep_hours]]&lt;=6,"4-6 hrs",stdsurvey[[#This Row],[daily_sleep_hours]]&lt;=8,"6-8 hrs",TRUE,"&gt; 8 hrs")</f>
        <v>4-6 hrs</v>
      </c>
      <c r="Y96" t="s">
        <v>27</v>
      </c>
    </row>
    <row r="97" spans="1:25" x14ac:dyDescent="0.3">
      <c r="A97" t="s">
        <v>131</v>
      </c>
      <c r="B97">
        <v>21</v>
      </c>
      <c r="C97" t="s">
        <v>20</v>
      </c>
      <c r="D97">
        <v>1</v>
      </c>
      <c r="E97" t="s">
        <v>30</v>
      </c>
      <c r="F97">
        <v>5.2</v>
      </c>
      <c r="G97">
        <v>1.7</v>
      </c>
      <c r="H97">
        <v>2</v>
      </c>
      <c r="I97">
        <v>6</v>
      </c>
      <c r="J97">
        <v>7</v>
      </c>
      <c r="K97" s="4" t="str" cm="1">
        <f t="array" ref="K97">_xlfn.IFS(stdsurvey[[#This Row],[phq9_score]]="","Answer Not Provided",stdsurvey[[#This Row],[phq9_score]]&lt;=4,"Minimal",stdsurvey[[#This Row],[phq9_score]]&lt;=9,"Mild",stdsurvey[[#This Row],[phq9_score]]&lt;=14,"Moderate",stdsurvey[[#This Row],[phq9_score]]&lt;=19,"Moderately Severe",stdsurvey[[#This Row],[phq9_score]]&lt;=27,"Severe")</f>
        <v>Mild</v>
      </c>
      <c r="L97">
        <v>11</v>
      </c>
      <c r="M97" s="4" t="str" cm="1">
        <f t="array" ref="M97">_xlfn.IFS(stdsurvey[[#This Row],[gad7_score]]="","Answer Not Provided",stdsurvey[[#This Row],[gad7_score]]&lt;=4,"Minimal",stdsurvey[[#This Row],[gad7_score]]&lt;=9,"Mild",stdsurvey[[#This Row],[gad7_score]]&lt;=14,"Moderate",stdsurvey[[#This Row],[gad7_score]]&lt;=21,"Severe")</f>
        <v>Mild</v>
      </c>
      <c r="N97">
        <v>2.2000000000000002</v>
      </c>
      <c r="O97" s="4" t="str" cm="1">
        <f t="array" ref="O97">_xlfn.IFS(stdsurvey[[#This Row],[perceived_stress_scale]]="","Answer Not Provided",stdsurvey[[#This Row],[perceived_stress_scale]]&lt;=13,"Low Stress",stdsurvey[[#This Row],[perceived_stress_scale]]&lt;=26,"Moderate Stress",stdsurvey[[#This Row],[perceived_stress_scale]]&lt;=40,"High Stress")</f>
        <v>Low Stress</v>
      </c>
      <c r="P97">
        <v>86</v>
      </c>
      <c r="Q97">
        <v>4</v>
      </c>
      <c r="R97" s="4" t="str" cm="1">
        <f t="array" ref="R97">_xlfn.IFS(stdsurvey[[#This Row],[class_attendance_percent]]&lt;60,"Less than 0%",stdsurvey[[#This Row],[class_attendance_percent]]&lt;70,"60-70 %",stdsurvey[[#This Row],[class_attendance_percent]]&lt;80, "70-80%",stdsurvey[[#This Row],[class_attendance_percent]]&lt;90,"80-90%",TRUE,"More than 90%")</f>
        <v>80-90%</v>
      </c>
      <c r="S97" t="s">
        <v>22</v>
      </c>
      <c r="T97">
        <v>4</v>
      </c>
      <c r="U97" t="s">
        <v>26</v>
      </c>
      <c r="V97">
        <v>2.33</v>
      </c>
      <c r="W97" s="4" t="str" cm="1">
        <f t="array" ref="W9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97" s="4" t="str" cm="1">
        <f t="array" ref="X97">_xlfn.IFS(stdsurvey[[#This Row],[daily_sleep_hours]]&lt;4,"&lt; 4 hrs",stdsurvey[[#This Row],[daily_sleep_hours]]&lt;=6,"4-6 hrs",stdsurvey[[#This Row],[daily_sleep_hours]]&lt;=8,"6-8 hrs",TRUE,"&gt; 8 hrs")</f>
        <v>4-6 hrs</v>
      </c>
      <c r="Y97" t="s">
        <v>20</v>
      </c>
    </row>
    <row r="98" spans="1:25" x14ac:dyDescent="0.3">
      <c r="A98" t="s">
        <v>132</v>
      </c>
      <c r="B98">
        <v>21</v>
      </c>
      <c r="C98" t="s">
        <v>27</v>
      </c>
      <c r="D98">
        <v>3</v>
      </c>
      <c r="E98" t="s">
        <v>47</v>
      </c>
      <c r="F98">
        <v>7.4</v>
      </c>
      <c r="G98">
        <v>5.4</v>
      </c>
      <c r="H98">
        <v>4</v>
      </c>
      <c r="I98">
        <v>6</v>
      </c>
      <c r="J98">
        <v>11</v>
      </c>
      <c r="K98" s="4" t="str" cm="1">
        <f t="array" ref="K98">_xlfn.IFS(stdsurvey[[#This Row],[phq9_score]]="","Answer Not Provided",stdsurvey[[#This Row],[phq9_score]]&lt;=4,"Minimal",stdsurvey[[#This Row],[phq9_score]]&lt;=9,"Mild",stdsurvey[[#This Row],[phq9_score]]&lt;=14,"Moderate",stdsurvey[[#This Row],[phq9_score]]&lt;=19,"Moderately Severe",stdsurvey[[#This Row],[phq9_score]]&lt;=27,"Severe")</f>
        <v>Mild</v>
      </c>
      <c r="L98">
        <v>17</v>
      </c>
      <c r="M98" s="4" t="str" cm="1">
        <f t="array" ref="M98">_xlfn.IFS(stdsurvey[[#This Row],[gad7_score]]="","Answer Not Provided",stdsurvey[[#This Row],[gad7_score]]&lt;=4,"Minimal",stdsurvey[[#This Row],[gad7_score]]&lt;=9,"Mild",stdsurvey[[#This Row],[gad7_score]]&lt;=14,"Moderate",stdsurvey[[#This Row],[gad7_score]]&lt;=21,"Severe")</f>
        <v>Moderate</v>
      </c>
      <c r="N98">
        <v>7.4</v>
      </c>
      <c r="O98" s="4" t="str" cm="1">
        <f t="array" ref="O98">_xlfn.IFS(stdsurvey[[#This Row],[perceived_stress_scale]]="","Answer Not Provided",stdsurvey[[#This Row],[perceived_stress_scale]]&lt;=13,"Low Stress",stdsurvey[[#This Row],[perceived_stress_scale]]&lt;=26,"Moderate Stress",stdsurvey[[#This Row],[perceived_stress_scale]]&lt;=40,"High Stress")</f>
        <v>Moderate Stress</v>
      </c>
      <c r="P98">
        <v>62.3</v>
      </c>
      <c r="Q98">
        <v>4</v>
      </c>
      <c r="R98" s="4" t="str" cm="1">
        <f t="array" ref="R98">_xlfn.IFS(stdsurvey[[#This Row],[class_attendance_percent]]&lt;60,"Less than 0%",stdsurvey[[#This Row],[class_attendance_percent]]&lt;70,"60-70 %",stdsurvey[[#This Row],[class_attendance_percent]]&lt;80, "70-80%",stdsurvey[[#This Row],[class_attendance_percent]]&lt;90,"80-90%",TRUE,"More than 90%")</f>
        <v>60-70 %</v>
      </c>
      <c r="S98" t="s">
        <v>22</v>
      </c>
      <c r="T98">
        <v>2</v>
      </c>
      <c r="U98" t="s">
        <v>23</v>
      </c>
      <c r="V98">
        <v>2.72</v>
      </c>
      <c r="W98" s="4" t="str" cm="1">
        <f t="array" ref="W9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98" s="4" t="str" cm="1">
        <f t="array" ref="X98">_xlfn.IFS(stdsurvey[[#This Row],[daily_sleep_hours]]&lt;4,"&lt; 4 hrs",stdsurvey[[#This Row],[daily_sleep_hours]]&lt;=6,"4-6 hrs",stdsurvey[[#This Row],[daily_sleep_hours]]&lt;=8,"6-8 hrs",TRUE,"&gt; 8 hrs")</f>
        <v>6-8 hrs</v>
      </c>
      <c r="Y98" t="s">
        <v>27</v>
      </c>
    </row>
    <row r="99" spans="1:25" x14ac:dyDescent="0.3">
      <c r="A99" t="s">
        <v>133</v>
      </c>
      <c r="B99">
        <v>18</v>
      </c>
      <c r="C99" t="s">
        <v>27</v>
      </c>
      <c r="D99">
        <v>1</v>
      </c>
      <c r="E99" t="s">
        <v>35</v>
      </c>
      <c r="F99">
        <v>5.4</v>
      </c>
      <c r="G99">
        <v>7.4</v>
      </c>
      <c r="H99">
        <v>3</v>
      </c>
      <c r="I99">
        <v>4</v>
      </c>
      <c r="J99">
        <v>6</v>
      </c>
      <c r="K99" s="4" t="str" cm="1">
        <f t="array" ref="K99">_xlfn.IFS(stdsurvey[[#This Row],[phq9_score]]="","Answer Not Provided",stdsurvey[[#This Row],[phq9_score]]&lt;=4,"Minimal",stdsurvey[[#This Row],[phq9_score]]&lt;=9,"Mild",stdsurvey[[#This Row],[phq9_score]]&lt;=14,"Moderate",stdsurvey[[#This Row],[phq9_score]]&lt;=19,"Moderately Severe",stdsurvey[[#This Row],[phq9_score]]&lt;=27,"Severe")</f>
        <v>Minimal</v>
      </c>
      <c r="L99">
        <v>10</v>
      </c>
      <c r="M99" s="4" t="str" cm="1">
        <f t="array" ref="M99">_xlfn.IFS(stdsurvey[[#This Row],[gad7_score]]="","Answer Not Provided",stdsurvey[[#This Row],[gad7_score]]&lt;=4,"Minimal",stdsurvey[[#This Row],[gad7_score]]&lt;=9,"Mild",stdsurvey[[#This Row],[gad7_score]]&lt;=14,"Moderate",stdsurvey[[#This Row],[gad7_score]]&lt;=21,"Severe")</f>
        <v>Mild</v>
      </c>
      <c r="N99">
        <v>27.3</v>
      </c>
      <c r="O99" s="4" t="str" cm="1">
        <f t="array" ref="O99">_xlfn.IFS(stdsurvey[[#This Row],[perceived_stress_scale]]="","Answer Not Provided",stdsurvey[[#This Row],[perceived_stress_scale]]&lt;=13,"Low Stress",stdsurvey[[#This Row],[perceived_stress_scale]]&lt;=26,"Moderate Stress",stdsurvey[[#This Row],[perceived_stress_scale]]&lt;=40,"High Stress")</f>
        <v>Low Stress</v>
      </c>
      <c r="P99">
        <v>88</v>
      </c>
      <c r="Q99">
        <v>2</v>
      </c>
      <c r="R99" s="4" t="str" cm="1">
        <f t="array" ref="R99">_xlfn.IFS(stdsurvey[[#This Row],[class_attendance_percent]]&lt;60,"Less than 0%",stdsurvey[[#This Row],[class_attendance_percent]]&lt;70,"60-70 %",stdsurvey[[#This Row],[class_attendance_percent]]&lt;80, "70-80%",stdsurvey[[#This Row],[class_attendance_percent]]&lt;90,"80-90%",TRUE,"More than 90%")</f>
        <v>80-90%</v>
      </c>
      <c r="S99" t="s">
        <v>33</v>
      </c>
      <c r="T99">
        <v>4</v>
      </c>
      <c r="U99" t="s">
        <v>26</v>
      </c>
      <c r="V99">
        <v>3.06</v>
      </c>
      <c r="W99" s="4" t="str" cm="1">
        <f t="array" ref="W9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99" s="4" t="str" cm="1">
        <f t="array" ref="X99">_xlfn.IFS(stdsurvey[[#This Row],[daily_sleep_hours]]&lt;4,"&lt; 4 hrs",stdsurvey[[#This Row],[daily_sleep_hours]]&lt;=6,"4-6 hrs",stdsurvey[[#This Row],[daily_sleep_hours]]&lt;=8,"6-8 hrs",TRUE,"&gt; 8 hrs")</f>
        <v>4-6 hrs</v>
      </c>
      <c r="Y99" t="s">
        <v>27</v>
      </c>
    </row>
    <row r="100" spans="1:25" x14ac:dyDescent="0.3">
      <c r="A100" t="s">
        <v>134</v>
      </c>
      <c r="B100">
        <v>18</v>
      </c>
      <c r="C100" t="s">
        <v>61</v>
      </c>
      <c r="D100">
        <v>1</v>
      </c>
      <c r="E100" t="s">
        <v>49</v>
      </c>
      <c r="F100">
        <v>6.8</v>
      </c>
      <c r="G100">
        <v>1.1000000000000001</v>
      </c>
      <c r="H100">
        <v>3</v>
      </c>
      <c r="I100">
        <v>5</v>
      </c>
      <c r="J100">
        <v>3</v>
      </c>
      <c r="K100" s="4" t="str" cm="1">
        <f t="array" ref="K100">_xlfn.IFS(stdsurvey[[#This Row],[phq9_score]]="","Answer Not Provided",stdsurvey[[#This Row],[phq9_score]]&lt;=4,"Minimal",stdsurvey[[#This Row],[phq9_score]]&lt;=9,"Mild",stdsurvey[[#This Row],[phq9_score]]&lt;=14,"Moderate",stdsurvey[[#This Row],[phq9_score]]&lt;=19,"Moderately Severe",stdsurvey[[#This Row],[phq9_score]]&lt;=27,"Severe")</f>
        <v>Mild</v>
      </c>
      <c r="L100">
        <v>12</v>
      </c>
      <c r="M100" s="4" t="str" cm="1">
        <f t="array" ref="M100">_xlfn.IFS(stdsurvey[[#This Row],[gad7_score]]="","Answer Not Provided",stdsurvey[[#This Row],[gad7_score]]&lt;=4,"Minimal",stdsurvey[[#This Row],[gad7_score]]&lt;=9,"Mild",stdsurvey[[#This Row],[gad7_score]]&lt;=14,"Moderate",stdsurvey[[#This Row],[gad7_score]]&lt;=21,"Severe")</f>
        <v>Minimal</v>
      </c>
      <c r="N100">
        <v>21.6</v>
      </c>
      <c r="O100" s="4" t="str" cm="1">
        <f t="array" ref="O100">_xlfn.IFS(stdsurvey[[#This Row],[perceived_stress_scale]]="","Answer Not Provided",stdsurvey[[#This Row],[perceived_stress_scale]]&lt;=13,"Low Stress",stdsurvey[[#This Row],[perceived_stress_scale]]&lt;=26,"Moderate Stress",stdsurvey[[#This Row],[perceived_stress_scale]]&lt;=40,"High Stress")</f>
        <v>Low Stress</v>
      </c>
      <c r="P100">
        <v>76.400000000000006</v>
      </c>
      <c r="Q100">
        <v>3</v>
      </c>
      <c r="R100" s="4" t="str" cm="1">
        <f t="array" ref="R100">_xlfn.IFS(stdsurvey[[#This Row],[class_attendance_percent]]&lt;60,"Less than 0%",stdsurvey[[#This Row],[class_attendance_percent]]&lt;70,"60-70 %",stdsurvey[[#This Row],[class_attendance_percent]]&lt;80, "70-80%",stdsurvey[[#This Row],[class_attendance_percent]]&lt;90,"80-90%",TRUE,"More than 90%")</f>
        <v>70-80%</v>
      </c>
      <c r="S100" t="s">
        <v>33</v>
      </c>
      <c r="T100">
        <v>2</v>
      </c>
      <c r="U100" t="s">
        <v>26</v>
      </c>
      <c r="W100" s="4" t="str" cm="1">
        <f t="array" ref="W10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00" s="4" t="str" cm="1">
        <f t="array" ref="X100">_xlfn.IFS(stdsurvey[[#This Row],[daily_sleep_hours]]&lt;4,"&lt; 4 hrs",stdsurvey[[#This Row],[daily_sleep_hours]]&lt;=6,"4-6 hrs",stdsurvey[[#This Row],[daily_sleep_hours]]&lt;=8,"6-8 hrs",TRUE,"&gt; 8 hrs")</f>
        <v>6-8 hrs</v>
      </c>
      <c r="Y100" t="s">
        <v>61</v>
      </c>
    </row>
    <row r="101" spans="1:25" x14ac:dyDescent="0.3">
      <c r="A101" t="s">
        <v>135</v>
      </c>
      <c r="B101">
        <v>19</v>
      </c>
      <c r="C101" t="s">
        <v>39</v>
      </c>
      <c r="D101">
        <v>1</v>
      </c>
      <c r="E101" t="s">
        <v>21</v>
      </c>
      <c r="F101">
        <v>6</v>
      </c>
      <c r="G101">
        <v>7.5</v>
      </c>
      <c r="H101">
        <v>0</v>
      </c>
      <c r="I101">
        <v>2</v>
      </c>
      <c r="J101">
        <v>4</v>
      </c>
      <c r="K101" s="4" t="str" cm="1">
        <f t="array" ref="K101">_xlfn.IFS(stdsurvey[[#This Row],[phq9_score]]="","Answer Not Provided",stdsurvey[[#This Row],[phq9_score]]&lt;=4,"Minimal",stdsurvey[[#This Row],[phq9_score]]&lt;=9,"Mild",stdsurvey[[#This Row],[phq9_score]]&lt;=14,"Moderate",stdsurvey[[#This Row],[phq9_score]]&lt;=19,"Moderately Severe",stdsurvey[[#This Row],[phq9_score]]&lt;=27,"Severe")</f>
        <v>Minimal</v>
      </c>
      <c r="L101">
        <v>10</v>
      </c>
      <c r="M101" s="4" t="str" cm="1">
        <f t="array" ref="M101">_xlfn.IFS(stdsurvey[[#This Row],[gad7_score]]="","Answer Not Provided",stdsurvey[[#This Row],[gad7_score]]&lt;=4,"Minimal",stdsurvey[[#This Row],[gad7_score]]&lt;=9,"Mild",stdsurvey[[#This Row],[gad7_score]]&lt;=14,"Moderate",stdsurvey[[#This Row],[gad7_score]]&lt;=21,"Severe")</f>
        <v>Minimal</v>
      </c>
      <c r="N101">
        <v>28.8</v>
      </c>
      <c r="O101" s="4" t="str" cm="1">
        <f t="array" ref="O101">_xlfn.IFS(stdsurvey[[#This Row],[perceived_stress_scale]]="","Answer Not Provided",stdsurvey[[#This Row],[perceived_stress_scale]]&lt;=13,"Low Stress",stdsurvey[[#This Row],[perceived_stress_scale]]&lt;=26,"Moderate Stress",stdsurvey[[#This Row],[perceived_stress_scale]]&lt;=40,"High Stress")</f>
        <v>Low Stress</v>
      </c>
      <c r="P101">
        <v>81.2</v>
      </c>
      <c r="Q101">
        <v>5</v>
      </c>
      <c r="R101" s="4" t="str" cm="1">
        <f t="array" ref="R101">_xlfn.IFS(stdsurvey[[#This Row],[class_attendance_percent]]&lt;60,"Less than 0%",stdsurvey[[#This Row],[class_attendance_percent]]&lt;70,"60-70 %",stdsurvey[[#This Row],[class_attendance_percent]]&lt;80, "70-80%",stdsurvey[[#This Row],[class_attendance_percent]]&lt;90,"80-90%",TRUE,"More than 90%")</f>
        <v>80-90%</v>
      </c>
      <c r="S101" t="s">
        <v>22</v>
      </c>
      <c r="T101">
        <v>4</v>
      </c>
      <c r="U101" t="s">
        <v>26</v>
      </c>
      <c r="V101">
        <v>3.51</v>
      </c>
      <c r="W101" s="4" t="str" cm="1">
        <f t="array" ref="W10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01" s="4" t="str" cm="1">
        <f t="array" ref="X101">_xlfn.IFS(stdsurvey[[#This Row],[daily_sleep_hours]]&lt;4,"&lt; 4 hrs",stdsurvey[[#This Row],[daily_sleep_hours]]&lt;=6,"4-6 hrs",stdsurvey[[#This Row],[daily_sleep_hours]]&lt;=8,"6-8 hrs",TRUE,"&gt; 8 hrs")</f>
        <v>4-6 hrs</v>
      </c>
      <c r="Y101" t="s">
        <v>27</v>
      </c>
    </row>
    <row r="102" spans="1:25" x14ac:dyDescent="0.3">
      <c r="A102" t="s">
        <v>136</v>
      </c>
      <c r="B102">
        <v>19</v>
      </c>
      <c r="C102" t="s">
        <v>39</v>
      </c>
      <c r="D102">
        <v>2</v>
      </c>
      <c r="E102" t="s">
        <v>47</v>
      </c>
      <c r="F102">
        <v>7.3</v>
      </c>
      <c r="G102">
        <v>2.6</v>
      </c>
      <c r="H102">
        <v>1</v>
      </c>
      <c r="I102">
        <v>5</v>
      </c>
      <c r="J102">
        <v>3</v>
      </c>
      <c r="K102" s="4" t="str" cm="1">
        <f t="array" ref="K102">_xlfn.IFS(stdsurvey[[#This Row],[phq9_score]]="","Answer Not Provided",stdsurvey[[#This Row],[phq9_score]]&lt;=4,"Minimal",stdsurvey[[#This Row],[phq9_score]]&lt;=9,"Mild",stdsurvey[[#This Row],[phq9_score]]&lt;=14,"Moderate",stdsurvey[[#This Row],[phq9_score]]&lt;=19,"Moderately Severe",stdsurvey[[#This Row],[phq9_score]]&lt;=27,"Severe")</f>
        <v>Mild</v>
      </c>
      <c r="L102">
        <v>8</v>
      </c>
      <c r="M102" s="4" t="str" cm="1">
        <f t="array" ref="M102">_xlfn.IFS(stdsurvey[[#This Row],[gad7_score]]="","Answer Not Provided",stdsurvey[[#This Row],[gad7_score]]&lt;=4,"Minimal",stdsurvey[[#This Row],[gad7_score]]&lt;=9,"Mild",stdsurvey[[#This Row],[gad7_score]]&lt;=14,"Moderate",stdsurvey[[#This Row],[gad7_score]]&lt;=21,"Severe")</f>
        <v>Minimal</v>
      </c>
      <c r="N102">
        <v>32</v>
      </c>
      <c r="O102" s="4" t="str" cm="1">
        <f t="array" ref="O102">_xlfn.IFS(stdsurvey[[#This Row],[perceived_stress_scale]]="","Answer Not Provided",stdsurvey[[#This Row],[perceived_stress_scale]]&lt;=13,"Low Stress",stdsurvey[[#This Row],[perceived_stress_scale]]&lt;=26,"Moderate Stress",stdsurvey[[#This Row],[perceived_stress_scale]]&lt;=40,"High Stress")</f>
        <v>Low Stress</v>
      </c>
      <c r="P102">
        <v>100</v>
      </c>
      <c r="Q102">
        <v>4</v>
      </c>
      <c r="R102" s="4" t="str" cm="1">
        <f t="array" ref="R102">_xlfn.IFS(stdsurvey[[#This Row],[class_attendance_percent]]&lt;60,"Less than 0%",stdsurvey[[#This Row],[class_attendance_percent]]&lt;70,"60-70 %",stdsurvey[[#This Row],[class_attendance_percent]]&lt;80, "70-80%",stdsurvey[[#This Row],[class_attendance_percent]]&lt;90,"80-90%",TRUE,"More than 90%")</f>
        <v>More than 90%</v>
      </c>
      <c r="S102" t="s">
        <v>22</v>
      </c>
      <c r="T102">
        <v>4</v>
      </c>
      <c r="U102" t="s">
        <v>26</v>
      </c>
      <c r="V102">
        <v>3.28</v>
      </c>
      <c r="W102" s="4" t="str" cm="1">
        <f t="array" ref="W10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02" s="4" t="str" cm="1">
        <f t="array" ref="X102">_xlfn.IFS(stdsurvey[[#This Row],[daily_sleep_hours]]&lt;4,"&lt; 4 hrs",stdsurvey[[#This Row],[daily_sleep_hours]]&lt;=6,"4-6 hrs",stdsurvey[[#This Row],[daily_sleep_hours]]&lt;=8,"6-8 hrs",TRUE,"&gt; 8 hrs")</f>
        <v>6-8 hrs</v>
      </c>
      <c r="Y102" t="s">
        <v>27</v>
      </c>
    </row>
    <row r="103" spans="1:25" x14ac:dyDescent="0.3">
      <c r="A103" t="s">
        <v>137</v>
      </c>
      <c r="B103">
        <v>22</v>
      </c>
      <c r="C103" t="s">
        <v>45</v>
      </c>
      <c r="D103">
        <v>4</v>
      </c>
      <c r="E103" t="s">
        <v>32</v>
      </c>
      <c r="F103">
        <v>4.3</v>
      </c>
      <c r="G103">
        <v>11.8</v>
      </c>
      <c r="H103">
        <v>3</v>
      </c>
      <c r="I103">
        <v>4</v>
      </c>
      <c r="J103">
        <v>7</v>
      </c>
      <c r="K103" s="4" t="str" cm="1">
        <f t="array" ref="K103">_xlfn.IFS(stdsurvey[[#This Row],[phq9_score]]="","Answer Not Provided",stdsurvey[[#This Row],[phq9_score]]&lt;=4,"Minimal",stdsurvey[[#This Row],[phq9_score]]&lt;=9,"Mild",stdsurvey[[#This Row],[phq9_score]]&lt;=14,"Moderate",stdsurvey[[#This Row],[phq9_score]]&lt;=19,"Moderately Severe",stdsurvey[[#This Row],[phq9_score]]&lt;=27,"Severe")</f>
        <v>Minimal</v>
      </c>
      <c r="L103">
        <v>14</v>
      </c>
      <c r="M103" s="4" t="str" cm="1">
        <f t="array" ref="M103">_xlfn.IFS(stdsurvey[[#This Row],[gad7_score]]="","Answer Not Provided",stdsurvey[[#This Row],[gad7_score]]&lt;=4,"Minimal",stdsurvey[[#This Row],[gad7_score]]&lt;=9,"Mild",stdsurvey[[#This Row],[gad7_score]]&lt;=14,"Moderate",stdsurvey[[#This Row],[gad7_score]]&lt;=21,"Severe")</f>
        <v>Mild</v>
      </c>
      <c r="N103">
        <v>23.3</v>
      </c>
      <c r="O103" s="4" t="str" cm="1">
        <f t="array" ref="O103">_xlfn.IFS(stdsurvey[[#This Row],[perceived_stress_scale]]="","Answer Not Provided",stdsurvey[[#This Row],[perceived_stress_scale]]&lt;=13,"Low Stress",stdsurvey[[#This Row],[perceived_stress_scale]]&lt;=26,"Moderate Stress",stdsurvey[[#This Row],[perceived_stress_scale]]&lt;=40,"High Stress")</f>
        <v>Moderate Stress</v>
      </c>
      <c r="P103">
        <v>80.900000000000006</v>
      </c>
      <c r="Q103">
        <v>4</v>
      </c>
      <c r="R103" s="4" t="str" cm="1">
        <f t="array" ref="R103">_xlfn.IFS(stdsurvey[[#This Row],[class_attendance_percent]]&lt;60,"Less than 0%",stdsurvey[[#This Row],[class_attendance_percent]]&lt;70,"60-70 %",stdsurvey[[#This Row],[class_attendance_percent]]&lt;80, "70-80%",stdsurvey[[#This Row],[class_attendance_percent]]&lt;90,"80-90%",TRUE,"More than 90%")</f>
        <v>80-90%</v>
      </c>
      <c r="S103" t="s">
        <v>22</v>
      </c>
      <c r="T103">
        <v>2</v>
      </c>
      <c r="U103" t="s">
        <v>26</v>
      </c>
      <c r="V103">
        <v>2.62</v>
      </c>
      <c r="W103" s="4" t="str" cm="1">
        <f t="array" ref="W10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03" s="4" t="str" cm="1">
        <f t="array" ref="X103">_xlfn.IFS(stdsurvey[[#This Row],[daily_sleep_hours]]&lt;4,"&lt; 4 hrs",stdsurvey[[#This Row],[daily_sleep_hours]]&lt;=6,"4-6 hrs",stdsurvey[[#This Row],[daily_sleep_hours]]&lt;=8,"6-8 hrs",TRUE,"&gt; 8 hrs")</f>
        <v>4-6 hrs</v>
      </c>
      <c r="Y103" t="s">
        <v>20</v>
      </c>
    </row>
    <row r="104" spans="1:25" x14ac:dyDescent="0.3">
      <c r="A104" t="s">
        <v>138</v>
      </c>
      <c r="B104">
        <v>20</v>
      </c>
      <c r="C104" t="s">
        <v>39</v>
      </c>
      <c r="D104">
        <v>1</v>
      </c>
      <c r="E104" t="s">
        <v>49</v>
      </c>
      <c r="F104">
        <v>4.8</v>
      </c>
      <c r="G104">
        <v>7</v>
      </c>
      <c r="H104">
        <v>0</v>
      </c>
      <c r="I104">
        <v>13</v>
      </c>
      <c r="J104">
        <v>9</v>
      </c>
      <c r="K104" s="4" t="str" cm="1">
        <f t="array" ref="K104">_xlfn.IFS(stdsurvey[[#This Row],[phq9_score]]="","Answer Not Provided",stdsurvey[[#This Row],[phq9_score]]&lt;=4,"Minimal",stdsurvey[[#This Row],[phq9_score]]&lt;=9,"Mild",stdsurvey[[#This Row],[phq9_score]]&lt;=14,"Moderate",stdsurvey[[#This Row],[phq9_score]]&lt;=19,"Moderately Severe",stdsurvey[[#This Row],[phq9_score]]&lt;=27,"Severe")</f>
        <v>Moderate</v>
      </c>
      <c r="L104">
        <v>15</v>
      </c>
      <c r="M104" s="4" t="str" cm="1">
        <f t="array" ref="M104">_xlfn.IFS(stdsurvey[[#This Row],[gad7_score]]="","Answer Not Provided",stdsurvey[[#This Row],[gad7_score]]&lt;=4,"Minimal",stdsurvey[[#This Row],[gad7_score]]&lt;=9,"Mild",stdsurvey[[#This Row],[gad7_score]]&lt;=14,"Moderate",stdsurvey[[#This Row],[gad7_score]]&lt;=21,"Severe")</f>
        <v>Mild</v>
      </c>
      <c r="N104">
        <v>13.7</v>
      </c>
      <c r="O104" s="4" t="str" cm="1">
        <f t="array" ref="O104">_xlfn.IFS(stdsurvey[[#This Row],[perceived_stress_scale]]="","Answer Not Provided",stdsurvey[[#This Row],[perceived_stress_scale]]&lt;=13,"Low Stress",stdsurvey[[#This Row],[perceived_stress_scale]]&lt;=26,"Moderate Stress",stdsurvey[[#This Row],[perceived_stress_scale]]&lt;=40,"High Stress")</f>
        <v>Moderate Stress</v>
      </c>
      <c r="P104">
        <v>93.5</v>
      </c>
      <c r="Q104">
        <v>5</v>
      </c>
      <c r="R104" s="4" t="str" cm="1">
        <f t="array" ref="R104">_xlfn.IFS(stdsurvey[[#This Row],[class_attendance_percent]]&lt;60,"Less than 0%",stdsurvey[[#This Row],[class_attendance_percent]]&lt;70,"60-70 %",stdsurvey[[#This Row],[class_attendance_percent]]&lt;80, "70-80%",stdsurvey[[#This Row],[class_attendance_percent]]&lt;90,"80-90%",TRUE,"More than 90%")</f>
        <v>More than 90%</v>
      </c>
      <c r="S104" t="s">
        <v>22</v>
      </c>
      <c r="T104">
        <v>2</v>
      </c>
      <c r="U104" t="s">
        <v>23</v>
      </c>
      <c r="V104">
        <v>2.84</v>
      </c>
      <c r="W104" s="4" t="str" cm="1">
        <f t="array" ref="W10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04" s="4" t="str" cm="1">
        <f t="array" ref="X104">_xlfn.IFS(stdsurvey[[#This Row],[daily_sleep_hours]]&lt;4,"&lt; 4 hrs",stdsurvey[[#This Row],[daily_sleep_hours]]&lt;=6,"4-6 hrs",stdsurvey[[#This Row],[daily_sleep_hours]]&lt;=8,"6-8 hrs",TRUE,"&gt; 8 hrs")</f>
        <v>4-6 hrs</v>
      </c>
      <c r="Y104" t="s">
        <v>27</v>
      </c>
    </row>
    <row r="105" spans="1:25" x14ac:dyDescent="0.3">
      <c r="A105" t="s">
        <v>139</v>
      </c>
      <c r="B105">
        <v>21</v>
      </c>
      <c r="C105" t="s">
        <v>25</v>
      </c>
      <c r="D105">
        <v>3</v>
      </c>
      <c r="E105" t="s">
        <v>47</v>
      </c>
      <c r="F105">
        <v>6.5</v>
      </c>
      <c r="G105">
        <v>6.3</v>
      </c>
      <c r="H105">
        <v>4</v>
      </c>
      <c r="I105">
        <v>18</v>
      </c>
      <c r="J105">
        <v>14</v>
      </c>
      <c r="K105" s="4" t="str" cm="1">
        <f t="array" ref="K105">_xlfn.IFS(stdsurvey[[#This Row],[phq9_score]]="","Answer Not Provided",stdsurvey[[#This Row],[phq9_score]]&lt;=4,"Minimal",stdsurvey[[#This Row],[phq9_score]]&lt;=9,"Mild",stdsurvey[[#This Row],[phq9_score]]&lt;=14,"Moderate",stdsurvey[[#This Row],[phq9_score]]&lt;=19,"Moderately Severe",stdsurvey[[#This Row],[phq9_score]]&lt;=27,"Severe")</f>
        <v>Moderately Severe</v>
      </c>
      <c r="L105">
        <v>26</v>
      </c>
      <c r="M105" s="4" t="str" cm="1">
        <f t="array" ref="M105">_xlfn.IFS(stdsurvey[[#This Row],[gad7_score]]="","Answer Not Provided",stdsurvey[[#This Row],[gad7_score]]&lt;=4,"Minimal",stdsurvey[[#This Row],[gad7_score]]&lt;=9,"Mild",stdsurvey[[#This Row],[gad7_score]]&lt;=14,"Moderate",stdsurvey[[#This Row],[gad7_score]]&lt;=21,"Severe")</f>
        <v>Moderate</v>
      </c>
      <c r="N105">
        <v>8</v>
      </c>
      <c r="O105" s="4" t="str" cm="1">
        <f t="array" ref="O105">_xlfn.IFS(stdsurvey[[#This Row],[perceived_stress_scale]]="","Answer Not Provided",stdsurvey[[#This Row],[perceived_stress_scale]]&lt;=13,"Low Stress",stdsurvey[[#This Row],[perceived_stress_scale]]&lt;=26,"Moderate Stress",stdsurvey[[#This Row],[perceived_stress_scale]]&lt;=40,"High Stress")</f>
        <v>Moderate Stress</v>
      </c>
      <c r="P105">
        <v>51.8</v>
      </c>
      <c r="Q105">
        <v>2</v>
      </c>
      <c r="R105" s="4" t="str" cm="1">
        <f t="array" ref="R105">_xlfn.IFS(stdsurvey[[#This Row],[class_attendance_percent]]&lt;60,"Less than 0%",stdsurvey[[#This Row],[class_attendance_percent]]&lt;70,"60-70 %",stdsurvey[[#This Row],[class_attendance_percent]]&lt;80, "70-80%",stdsurvey[[#This Row],[class_attendance_percent]]&lt;90,"80-90%",TRUE,"More than 90%")</f>
        <v>Less than 0%</v>
      </c>
      <c r="S105" t="s">
        <v>33</v>
      </c>
      <c r="T105">
        <v>4</v>
      </c>
      <c r="U105" t="s">
        <v>26</v>
      </c>
      <c r="V105">
        <v>1.96</v>
      </c>
      <c r="W105" s="4" t="str" cm="1">
        <f t="array" ref="W10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05" s="4" t="str" cm="1">
        <f t="array" ref="X105">_xlfn.IFS(stdsurvey[[#This Row],[daily_sleep_hours]]&lt;4,"&lt; 4 hrs",stdsurvey[[#This Row],[daily_sleep_hours]]&lt;=6,"4-6 hrs",stdsurvey[[#This Row],[daily_sleep_hours]]&lt;=8,"6-8 hrs",TRUE,"&gt; 8 hrs")</f>
        <v>6-8 hrs</v>
      </c>
      <c r="Y105" t="s">
        <v>27</v>
      </c>
    </row>
    <row r="106" spans="1:25" x14ac:dyDescent="0.3">
      <c r="A106" t="s">
        <v>140</v>
      </c>
      <c r="B106">
        <v>24</v>
      </c>
      <c r="C106" t="s">
        <v>27</v>
      </c>
      <c r="D106">
        <v>4</v>
      </c>
      <c r="E106" t="s">
        <v>49</v>
      </c>
      <c r="F106">
        <v>7</v>
      </c>
      <c r="G106">
        <v>3.9</v>
      </c>
      <c r="H106">
        <v>4</v>
      </c>
      <c r="I106">
        <v>1</v>
      </c>
      <c r="J106">
        <v>1</v>
      </c>
      <c r="K106" s="4" t="str" cm="1">
        <f t="array" ref="K106">_xlfn.IFS(stdsurvey[[#This Row],[phq9_score]]="","Answer Not Provided",stdsurvey[[#This Row],[phq9_score]]&lt;=4,"Minimal",stdsurvey[[#This Row],[phq9_score]]&lt;=9,"Mild",stdsurvey[[#This Row],[phq9_score]]&lt;=14,"Moderate",stdsurvey[[#This Row],[phq9_score]]&lt;=19,"Moderately Severe",stdsurvey[[#This Row],[phq9_score]]&lt;=27,"Severe")</f>
        <v>Minimal</v>
      </c>
      <c r="L106">
        <v>5</v>
      </c>
      <c r="M106" s="4" t="str" cm="1">
        <f t="array" ref="M106">_xlfn.IFS(stdsurvey[[#This Row],[gad7_score]]="","Answer Not Provided",stdsurvey[[#This Row],[gad7_score]]&lt;=4,"Minimal",stdsurvey[[#This Row],[gad7_score]]&lt;=9,"Mild",stdsurvey[[#This Row],[gad7_score]]&lt;=14,"Moderate",stdsurvey[[#This Row],[gad7_score]]&lt;=21,"Severe")</f>
        <v>Minimal</v>
      </c>
      <c r="N106">
        <v>27.1</v>
      </c>
      <c r="O106" s="4" t="str" cm="1">
        <f t="array" ref="O106">_xlfn.IFS(stdsurvey[[#This Row],[perceived_stress_scale]]="","Answer Not Provided",stdsurvey[[#This Row],[perceived_stress_scale]]&lt;=13,"Low Stress",stdsurvey[[#This Row],[perceived_stress_scale]]&lt;=26,"Moderate Stress",stdsurvey[[#This Row],[perceived_stress_scale]]&lt;=40,"High Stress")</f>
        <v>Low Stress</v>
      </c>
      <c r="P106">
        <v>80.400000000000006</v>
      </c>
      <c r="Q106">
        <v>3</v>
      </c>
      <c r="R106" s="4" t="str" cm="1">
        <f t="array" ref="R106">_xlfn.IFS(stdsurvey[[#This Row],[class_attendance_percent]]&lt;60,"Less than 0%",stdsurvey[[#This Row],[class_attendance_percent]]&lt;70,"60-70 %",stdsurvey[[#This Row],[class_attendance_percent]]&lt;80, "70-80%",stdsurvey[[#This Row],[class_attendance_percent]]&lt;90,"80-90%",TRUE,"More than 90%")</f>
        <v>80-90%</v>
      </c>
      <c r="S106" t="s">
        <v>33</v>
      </c>
      <c r="T106">
        <v>1</v>
      </c>
      <c r="U106" t="s">
        <v>23</v>
      </c>
      <c r="V106">
        <v>3.18</v>
      </c>
      <c r="W106" s="4" t="str" cm="1">
        <f t="array" ref="W10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06" s="4" t="str" cm="1">
        <f t="array" ref="X106">_xlfn.IFS(stdsurvey[[#This Row],[daily_sleep_hours]]&lt;4,"&lt; 4 hrs",stdsurvey[[#This Row],[daily_sleep_hours]]&lt;=6,"4-6 hrs",stdsurvey[[#This Row],[daily_sleep_hours]]&lt;=8,"6-8 hrs",TRUE,"&gt; 8 hrs")</f>
        <v>6-8 hrs</v>
      </c>
      <c r="Y106" t="s">
        <v>27</v>
      </c>
    </row>
    <row r="107" spans="1:25" x14ac:dyDescent="0.3">
      <c r="A107" t="s">
        <v>141</v>
      </c>
      <c r="B107">
        <v>21</v>
      </c>
      <c r="C107" t="s">
        <v>27</v>
      </c>
      <c r="D107">
        <v>1</v>
      </c>
      <c r="E107" t="s">
        <v>30</v>
      </c>
      <c r="F107">
        <v>5.3</v>
      </c>
      <c r="G107">
        <v>16</v>
      </c>
      <c r="H107">
        <v>5</v>
      </c>
      <c r="K107" s="4" t="str" cm="1">
        <f t="array" ref="K107">_xlfn.IFS(stdsurvey[[#This Row],[phq9_score]]="","Answer Not Provided",stdsurvey[[#This Row],[phq9_score]]&lt;=4,"Minimal",stdsurvey[[#This Row],[phq9_score]]&lt;=9,"Mild",stdsurvey[[#This Row],[phq9_score]]&lt;=14,"Moderate",stdsurvey[[#This Row],[phq9_score]]&lt;=19,"Moderately Severe",stdsurvey[[#This Row],[phq9_score]]&lt;=27,"Severe")</f>
        <v>Answer Not Provided</v>
      </c>
      <c r="L107">
        <v>9</v>
      </c>
      <c r="M107" s="4" t="str" cm="1">
        <f t="array" ref="M107">_xlfn.IFS(stdsurvey[[#This Row],[gad7_score]]="","Answer Not Provided",stdsurvey[[#This Row],[gad7_score]]&lt;=4,"Minimal",stdsurvey[[#This Row],[gad7_score]]&lt;=9,"Mild",stdsurvey[[#This Row],[gad7_score]]&lt;=14,"Moderate",stdsurvey[[#This Row],[gad7_score]]&lt;=21,"Severe")</f>
        <v>Answer Not Provided</v>
      </c>
      <c r="N107">
        <v>22.3</v>
      </c>
      <c r="O107" s="4" t="str" cm="1">
        <f t="array" ref="O107">_xlfn.IFS(stdsurvey[[#This Row],[perceived_stress_scale]]="","Answer Not Provided",stdsurvey[[#This Row],[perceived_stress_scale]]&lt;=13,"Low Stress",stdsurvey[[#This Row],[perceived_stress_scale]]&lt;=26,"Moderate Stress",stdsurvey[[#This Row],[perceived_stress_scale]]&lt;=40,"High Stress")</f>
        <v>Low Stress</v>
      </c>
      <c r="P107">
        <v>81.599999999999994</v>
      </c>
      <c r="Q107">
        <v>4</v>
      </c>
      <c r="R107" s="4" t="str" cm="1">
        <f t="array" ref="R107">_xlfn.IFS(stdsurvey[[#This Row],[class_attendance_percent]]&lt;60,"Less than 0%",stdsurvey[[#This Row],[class_attendance_percent]]&lt;70,"60-70 %",stdsurvey[[#This Row],[class_attendance_percent]]&lt;80, "70-80%",stdsurvey[[#This Row],[class_attendance_percent]]&lt;90,"80-90%",TRUE,"More than 90%")</f>
        <v>80-90%</v>
      </c>
      <c r="S107" t="s">
        <v>33</v>
      </c>
      <c r="T107">
        <v>2</v>
      </c>
      <c r="U107" t="s">
        <v>51</v>
      </c>
      <c r="V107">
        <v>2.82</v>
      </c>
      <c r="W107" s="4" t="str" cm="1">
        <f t="array" ref="W10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07" s="4" t="str" cm="1">
        <f t="array" ref="X107">_xlfn.IFS(stdsurvey[[#This Row],[daily_sleep_hours]]&lt;4,"&lt; 4 hrs",stdsurvey[[#This Row],[daily_sleep_hours]]&lt;=6,"4-6 hrs",stdsurvey[[#This Row],[daily_sleep_hours]]&lt;=8,"6-8 hrs",TRUE,"&gt; 8 hrs")</f>
        <v>4-6 hrs</v>
      </c>
      <c r="Y107" t="s">
        <v>27</v>
      </c>
    </row>
    <row r="108" spans="1:25" x14ac:dyDescent="0.3">
      <c r="A108" t="s">
        <v>142</v>
      </c>
      <c r="B108">
        <v>23</v>
      </c>
      <c r="C108" t="s">
        <v>20</v>
      </c>
      <c r="D108">
        <v>1</v>
      </c>
      <c r="E108" t="s">
        <v>30</v>
      </c>
      <c r="F108">
        <v>5.2</v>
      </c>
      <c r="G108">
        <v>3.1</v>
      </c>
      <c r="H108">
        <v>0</v>
      </c>
      <c r="I108">
        <v>12</v>
      </c>
      <c r="J108">
        <v>13</v>
      </c>
      <c r="K108" s="4" t="str" cm="1">
        <f t="array" ref="K108">_xlfn.IFS(stdsurvey[[#This Row],[phq9_score]]="","Answer Not Provided",stdsurvey[[#This Row],[phq9_score]]&lt;=4,"Minimal",stdsurvey[[#This Row],[phq9_score]]&lt;=9,"Mild",stdsurvey[[#This Row],[phq9_score]]&lt;=14,"Moderate",stdsurvey[[#This Row],[phq9_score]]&lt;=19,"Moderately Severe",stdsurvey[[#This Row],[phq9_score]]&lt;=27,"Severe")</f>
        <v>Moderate</v>
      </c>
      <c r="L108">
        <v>17</v>
      </c>
      <c r="M108" s="4" t="str" cm="1">
        <f t="array" ref="M108">_xlfn.IFS(stdsurvey[[#This Row],[gad7_score]]="","Answer Not Provided",stdsurvey[[#This Row],[gad7_score]]&lt;=4,"Minimal",stdsurvey[[#This Row],[gad7_score]]&lt;=9,"Mild",stdsurvey[[#This Row],[gad7_score]]&lt;=14,"Moderate",stdsurvey[[#This Row],[gad7_score]]&lt;=21,"Severe")</f>
        <v>Moderate</v>
      </c>
      <c r="N108">
        <v>39.1</v>
      </c>
      <c r="O108" s="4" t="str" cm="1">
        <f t="array" ref="O108">_xlfn.IFS(stdsurvey[[#This Row],[perceived_stress_scale]]="","Answer Not Provided",stdsurvey[[#This Row],[perceived_stress_scale]]&lt;=13,"Low Stress",stdsurvey[[#This Row],[perceived_stress_scale]]&lt;=26,"Moderate Stress",stdsurvey[[#This Row],[perceived_stress_scale]]&lt;=40,"High Stress")</f>
        <v>Moderate Stress</v>
      </c>
      <c r="P108">
        <v>100</v>
      </c>
      <c r="R108" s="4" t="str" cm="1">
        <f t="array" ref="R108">_xlfn.IFS(stdsurvey[[#This Row],[class_attendance_percent]]&lt;60,"Less than 0%",stdsurvey[[#This Row],[class_attendance_percent]]&lt;70,"60-70 %",stdsurvey[[#This Row],[class_attendance_percent]]&lt;80, "70-80%",stdsurvey[[#This Row],[class_attendance_percent]]&lt;90,"80-90%",TRUE,"More than 90%")</f>
        <v>More than 90%</v>
      </c>
      <c r="S108" t="s">
        <v>33</v>
      </c>
      <c r="T108">
        <v>3</v>
      </c>
      <c r="U108" t="s">
        <v>23</v>
      </c>
      <c r="V108">
        <v>3.18</v>
      </c>
      <c r="W108" s="4" t="str" cm="1">
        <f t="array" ref="W10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08" s="4" t="str" cm="1">
        <f t="array" ref="X108">_xlfn.IFS(stdsurvey[[#This Row],[daily_sleep_hours]]&lt;4,"&lt; 4 hrs",stdsurvey[[#This Row],[daily_sleep_hours]]&lt;=6,"4-6 hrs",stdsurvey[[#This Row],[daily_sleep_hours]]&lt;=8,"6-8 hrs",TRUE,"&gt; 8 hrs")</f>
        <v>4-6 hrs</v>
      </c>
      <c r="Y108" t="s">
        <v>20</v>
      </c>
    </row>
    <row r="109" spans="1:25" x14ac:dyDescent="0.3">
      <c r="A109" t="s">
        <v>143</v>
      </c>
      <c r="B109">
        <v>20</v>
      </c>
      <c r="C109" t="s">
        <v>25</v>
      </c>
      <c r="D109">
        <v>4</v>
      </c>
      <c r="E109" t="s">
        <v>30</v>
      </c>
      <c r="F109">
        <v>7.1</v>
      </c>
      <c r="G109">
        <v>2</v>
      </c>
      <c r="H109">
        <v>5</v>
      </c>
      <c r="I109">
        <v>6</v>
      </c>
      <c r="J109">
        <v>6</v>
      </c>
      <c r="K109" s="4" t="str" cm="1">
        <f t="array" ref="K109">_xlfn.IFS(stdsurvey[[#This Row],[phq9_score]]="","Answer Not Provided",stdsurvey[[#This Row],[phq9_score]]&lt;=4,"Minimal",stdsurvey[[#This Row],[phq9_score]]&lt;=9,"Mild",stdsurvey[[#This Row],[phq9_score]]&lt;=14,"Moderate",stdsurvey[[#This Row],[phq9_score]]&lt;=19,"Moderately Severe",stdsurvey[[#This Row],[phq9_score]]&lt;=27,"Severe")</f>
        <v>Mild</v>
      </c>
      <c r="L109">
        <v>12</v>
      </c>
      <c r="M109" s="4" t="str" cm="1">
        <f t="array" ref="M109">_xlfn.IFS(stdsurvey[[#This Row],[gad7_score]]="","Answer Not Provided",stdsurvey[[#This Row],[gad7_score]]&lt;=4,"Minimal",stdsurvey[[#This Row],[gad7_score]]&lt;=9,"Mild",stdsurvey[[#This Row],[gad7_score]]&lt;=14,"Moderate",stdsurvey[[#This Row],[gad7_score]]&lt;=21,"Severe")</f>
        <v>Mild</v>
      </c>
      <c r="N109">
        <v>21.8</v>
      </c>
      <c r="O109" s="4" t="str" cm="1">
        <f t="array" ref="O109">_xlfn.IFS(stdsurvey[[#This Row],[perceived_stress_scale]]="","Answer Not Provided",stdsurvey[[#This Row],[perceived_stress_scale]]&lt;=13,"Low Stress",stdsurvey[[#This Row],[perceived_stress_scale]]&lt;=26,"Moderate Stress",stdsurvey[[#This Row],[perceived_stress_scale]]&lt;=40,"High Stress")</f>
        <v>Low Stress</v>
      </c>
      <c r="P109">
        <v>59.5</v>
      </c>
      <c r="Q109">
        <v>4</v>
      </c>
      <c r="R109" s="4" t="str" cm="1">
        <f t="array" ref="R109">_xlfn.IFS(stdsurvey[[#This Row],[class_attendance_percent]]&lt;60,"Less than 0%",stdsurvey[[#This Row],[class_attendance_percent]]&lt;70,"60-70 %",stdsurvey[[#This Row],[class_attendance_percent]]&lt;80, "70-80%",stdsurvey[[#This Row],[class_attendance_percent]]&lt;90,"80-90%",TRUE,"More than 90%")</f>
        <v>Less than 0%</v>
      </c>
      <c r="S109" t="s">
        <v>22</v>
      </c>
      <c r="T109">
        <v>5</v>
      </c>
      <c r="U109" t="s">
        <v>23</v>
      </c>
      <c r="V109">
        <v>3.51</v>
      </c>
      <c r="W109" s="4" t="str" cm="1">
        <f t="array" ref="W10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09" s="4" t="str" cm="1">
        <f t="array" ref="X109">_xlfn.IFS(stdsurvey[[#This Row],[daily_sleep_hours]]&lt;4,"&lt; 4 hrs",stdsurvey[[#This Row],[daily_sleep_hours]]&lt;=6,"4-6 hrs",stdsurvey[[#This Row],[daily_sleep_hours]]&lt;=8,"6-8 hrs",TRUE,"&gt; 8 hrs")</f>
        <v>6-8 hrs</v>
      </c>
      <c r="Y109" t="s">
        <v>27</v>
      </c>
    </row>
    <row r="110" spans="1:25" x14ac:dyDescent="0.3">
      <c r="A110" t="s">
        <v>144</v>
      </c>
      <c r="B110">
        <v>21</v>
      </c>
      <c r="C110" t="s">
        <v>27</v>
      </c>
      <c r="D110">
        <v>4</v>
      </c>
      <c r="E110" t="s">
        <v>21</v>
      </c>
      <c r="F110">
        <v>5.8</v>
      </c>
      <c r="G110">
        <v>2.7</v>
      </c>
      <c r="H110">
        <v>0</v>
      </c>
      <c r="I110">
        <v>10</v>
      </c>
      <c r="J110">
        <v>7</v>
      </c>
      <c r="K110" s="4" t="str" cm="1">
        <f t="array" ref="K110">_xlfn.IFS(stdsurvey[[#This Row],[phq9_score]]="","Answer Not Provided",stdsurvey[[#This Row],[phq9_score]]&lt;=4,"Minimal",stdsurvey[[#This Row],[phq9_score]]&lt;=9,"Mild",stdsurvey[[#This Row],[phq9_score]]&lt;=14,"Moderate",stdsurvey[[#This Row],[phq9_score]]&lt;=19,"Moderately Severe",stdsurvey[[#This Row],[phq9_score]]&lt;=27,"Severe")</f>
        <v>Moderate</v>
      </c>
      <c r="L110">
        <v>12</v>
      </c>
      <c r="M110" s="4" t="str" cm="1">
        <f t="array" ref="M110">_xlfn.IFS(stdsurvey[[#This Row],[gad7_score]]="","Answer Not Provided",stdsurvey[[#This Row],[gad7_score]]&lt;=4,"Minimal",stdsurvey[[#This Row],[gad7_score]]&lt;=9,"Mild",stdsurvey[[#This Row],[gad7_score]]&lt;=14,"Moderate",stdsurvey[[#This Row],[gad7_score]]&lt;=21,"Severe")</f>
        <v>Mild</v>
      </c>
      <c r="N110">
        <v>26.9</v>
      </c>
      <c r="O110" s="4" t="str" cm="1">
        <f t="array" ref="O110">_xlfn.IFS(stdsurvey[[#This Row],[perceived_stress_scale]]="","Answer Not Provided",stdsurvey[[#This Row],[perceived_stress_scale]]&lt;=13,"Low Stress",stdsurvey[[#This Row],[perceived_stress_scale]]&lt;=26,"Moderate Stress",stdsurvey[[#This Row],[perceived_stress_scale]]&lt;=40,"High Stress")</f>
        <v>Low Stress</v>
      </c>
      <c r="P110">
        <v>74.5</v>
      </c>
      <c r="R110" s="4" t="str" cm="1">
        <f t="array" ref="R110">_xlfn.IFS(stdsurvey[[#This Row],[class_attendance_percent]]&lt;60,"Less than 0%",stdsurvey[[#This Row],[class_attendance_percent]]&lt;70,"60-70 %",stdsurvey[[#This Row],[class_attendance_percent]]&lt;80, "70-80%",stdsurvey[[#This Row],[class_attendance_percent]]&lt;90,"80-90%",TRUE,"More than 90%")</f>
        <v>70-80%</v>
      </c>
      <c r="S110" t="s">
        <v>22</v>
      </c>
      <c r="T110">
        <v>3</v>
      </c>
      <c r="U110" t="s">
        <v>23</v>
      </c>
      <c r="V110">
        <v>2.42</v>
      </c>
      <c r="W110" s="4" t="str" cm="1">
        <f t="array" ref="W11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10" s="4" t="str" cm="1">
        <f t="array" ref="X110">_xlfn.IFS(stdsurvey[[#This Row],[daily_sleep_hours]]&lt;4,"&lt; 4 hrs",stdsurvey[[#This Row],[daily_sleep_hours]]&lt;=6,"4-6 hrs",stdsurvey[[#This Row],[daily_sleep_hours]]&lt;=8,"6-8 hrs",TRUE,"&gt; 8 hrs")</f>
        <v>4-6 hrs</v>
      </c>
      <c r="Y110" t="s">
        <v>27</v>
      </c>
    </row>
    <row r="111" spans="1:25" x14ac:dyDescent="0.3">
      <c r="A111" t="s">
        <v>145</v>
      </c>
      <c r="B111">
        <v>20</v>
      </c>
      <c r="C111" t="s">
        <v>20</v>
      </c>
      <c r="D111">
        <v>3</v>
      </c>
      <c r="E111" t="s">
        <v>21</v>
      </c>
      <c r="F111">
        <v>5.3</v>
      </c>
      <c r="G111">
        <v>8.3000000000000007</v>
      </c>
      <c r="H111">
        <v>3</v>
      </c>
      <c r="I111">
        <v>4</v>
      </c>
      <c r="J111">
        <v>2</v>
      </c>
      <c r="K111" s="4" t="str" cm="1">
        <f t="array" ref="K111">_xlfn.IFS(stdsurvey[[#This Row],[phq9_score]]="","Answer Not Provided",stdsurvey[[#This Row],[phq9_score]]&lt;=4,"Minimal",stdsurvey[[#This Row],[phq9_score]]&lt;=9,"Mild",stdsurvey[[#This Row],[phq9_score]]&lt;=14,"Moderate",stdsurvey[[#This Row],[phq9_score]]&lt;=19,"Moderately Severe",stdsurvey[[#This Row],[phq9_score]]&lt;=27,"Severe")</f>
        <v>Minimal</v>
      </c>
      <c r="L111">
        <v>9</v>
      </c>
      <c r="M111" s="4" t="str" cm="1">
        <f t="array" ref="M111">_xlfn.IFS(stdsurvey[[#This Row],[gad7_score]]="","Answer Not Provided",stdsurvey[[#This Row],[gad7_score]]&lt;=4,"Minimal",stdsurvey[[#This Row],[gad7_score]]&lt;=9,"Mild",stdsurvey[[#This Row],[gad7_score]]&lt;=14,"Moderate",stdsurvey[[#This Row],[gad7_score]]&lt;=21,"Severe")</f>
        <v>Minimal</v>
      </c>
      <c r="N111">
        <v>15.5</v>
      </c>
      <c r="O111" s="4" t="str" cm="1">
        <f t="array" ref="O111">_xlfn.IFS(stdsurvey[[#This Row],[perceived_stress_scale]]="","Answer Not Provided",stdsurvey[[#This Row],[perceived_stress_scale]]&lt;=13,"Low Stress",stdsurvey[[#This Row],[perceived_stress_scale]]&lt;=26,"Moderate Stress",stdsurvey[[#This Row],[perceived_stress_scale]]&lt;=40,"High Stress")</f>
        <v>Low Stress</v>
      </c>
      <c r="P111">
        <v>96</v>
      </c>
      <c r="Q111">
        <v>4</v>
      </c>
      <c r="R111" s="4" t="str" cm="1">
        <f t="array" ref="R111">_xlfn.IFS(stdsurvey[[#This Row],[class_attendance_percent]]&lt;60,"Less than 0%",stdsurvey[[#This Row],[class_attendance_percent]]&lt;70,"60-70 %",stdsurvey[[#This Row],[class_attendance_percent]]&lt;80, "70-80%",stdsurvey[[#This Row],[class_attendance_percent]]&lt;90,"80-90%",TRUE,"More than 90%")</f>
        <v>More than 90%</v>
      </c>
      <c r="S111" t="s">
        <v>33</v>
      </c>
      <c r="T111">
        <v>3</v>
      </c>
      <c r="U111" t="s">
        <v>26</v>
      </c>
      <c r="V111">
        <v>3.53</v>
      </c>
      <c r="W111" s="4" t="str" cm="1">
        <f t="array" ref="W11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11" s="4" t="str" cm="1">
        <f t="array" ref="X111">_xlfn.IFS(stdsurvey[[#This Row],[daily_sleep_hours]]&lt;4,"&lt; 4 hrs",stdsurvey[[#This Row],[daily_sleep_hours]]&lt;=6,"4-6 hrs",stdsurvey[[#This Row],[daily_sleep_hours]]&lt;=8,"6-8 hrs",TRUE,"&gt; 8 hrs")</f>
        <v>4-6 hrs</v>
      </c>
      <c r="Y111" t="s">
        <v>20</v>
      </c>
    </row>
    <row r="112" spans="1:25" x14ac:dyDescent="0.3">
      <c r="A112" t="s">
        <v>146</v>
      </c>
      <c r="B112">
        <v>21</v>
      </c>
      <c r="C112" t="s">
        <v>61</v>
      </c>
      <c r="D112">
        <v>4</v>
      </c>
      <c r="E112" t="s">
        <v>32</v>
      </c>
      <c r="F112">
        <v>5.3</v>
      </c>
      <c r="G112">
        <v>4.5999999999999996</v>
      </c>
      <c r="H112">
        <v>4</v>
      </c>
      <c r="I112">
        <v>3</v>
      </c>
      <c r="J112">
        <v>0</v>
      </c>
      <c r="K112" s="4" t="str" cm="1">
        <f t="array" ref="K112">_xlfn.IFS(stdsurvey[[#This Row],[phq9_score]]="","Answer Not Provided",stdsurvey[[#This Row],[phq9_score]]&lt;=4,"Minimal",stdsurvey[[#This Row],[phq9_score]]&lt;=9,"Mild",stdsurvey[[#This Row],[phq9_score]]&lt;=14,"Moderate",stdsurvey[[#This Row],[phq9_score]]&lt;=19,"Moderately Severe",stdsurvey[[#This Row],[phq9_score]]&lt;=27,"Severe")</f>
        <v>Minimal</v>
      </c>
      <c r="L112">
        <v>7</v>
      </c>
      <c r="M112" s="4" t="str" cm="1">
        <f t="array" ref="M112">_xlfn.IFS(stdsurvey[[#This Row],[gad7_score]]="","Answer Not Provided",stdsurvey[[#This Row],[gad7_score]]&lt;=4,"Minimal",stdsurvey[[#This Row],[gad7_score]]&lt;=9,"Mild",stdsurvey[[#This Row],[gad7_score]]&lt;=14,"Moderate",stdsurvey[[#This Row],[gad7_score]]&lt;=21,"Severe")</f>
        <v>Minimal</v>
      </c>
      <c r="N112">
        <v>25.4</v>
      </c>
      <c r="O112" s="4" t="str" cm="1">
        <f t="array" ref="O112">_xlfn.IFS(stdsurvey[[#This Row],[perceived_stress_scale]]="","Answer Not Provided",stdsurvey[[#This Row],[perceived_stress_scale]]&lt;=13,"Low Stress",stdsurvey[[#This Row],[perceived_stress_scale]]&lt;=26,"Moderate Stress",stdsurvey[[#This Row],[perceived_stress_scale]]&lt;=40,"High Stress")</f>
        <v>Low Stress</v>
      </c>
      <c r="P112">
        <v>72.900000000000006</v>
      </c>
      <c r="Q112">
        <v>3</v>
      </c>
      <c r="R112" s="4" t="str" cm="1">
        <f t="array" ref="R112">_xlfn.IFS(stdsurvey[[#This Row],[class_attendance_percent]]&lt;60,"Less than 0%",stdsurvey[[#This Row],[class_attendance_percent]]&lt;70,"60-70 %",stdsurvey[[#This Row],[class_attendance_percent]]&lt;80, "70-80%",stdsurvey[[#This Row],[class_attendance_percent]]&lt;90,"80-90%",TRUE,"More than 90%")</f>
        <v>70-80%</v>
      </c>
      <c r="S112" t="s">
        <v>22</v>
      </c>
      <c r="T112">
        <v>5</v>
      </c>
      <c r="U112" t="s">
        <v>23</v>
      </c>
      <c r="V112">
        <v>2.96</v>
      </c>
      <c r="W112" s="4" t="str" cm="1">
        <f t="array" ref="W11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12" s="4" t="str" cm="1">
        <f t="array" ref="X112">_xlfn.IFS(stdsurvey[[#This Row],[daily_sleep_hours]]&lt;4,"&lt; 4 hrs",stdsurvey[[#This Row],[daily_sleep_hours]]&lt;=6,"4-6 hrs",stdsurvey[[#This Row],[daily_sleep_hours]]&lt;=8,"6-8 hrs",TRUE,"&gt; 8 hrs")</f>
        <v>4-6 hrs</v>
      </c>
      <c r="Y112" t="s">
        <v>61</v>
      </c>
    </row>
    <row r="113" spans="1:25" x14ac:dyDescent="0.3">
      <c r="A113" t="s">
        <v>147</v>
      </c>
      <c r="B113">
        <v>23</v>
      </c>
      <c r="C113" t="s">
        <v>27</v>
      </c>
      <c r="D113">
        <v>1</v>
      </c>
      <c r="E113" t="s">
        <v>21</v>
      </c>
      <c r="F113">
        <v>7.9</v>
      </c>
      <c r="G113">
        <v>4.2</v>
      </c>
      <c r="H113">
        <v>0</v>
      </c>
      <c r="I113">
        <v>6</v>
      </c>
      <c r="J113">
        <v>3</v>
      </c>
      <c r="K113" s="4" t="str" cm="1">
        <f t="array" ref="K113">_xlfn.IFS(stdsurvey[[#This Row],[phq9_score]]="","Answer Not Provided",stdsurvey[[#This Row],[phq9_score]]&lt;=4,"Minimal",stdsurvey[[#This Row],[phq9_score]]&lt;=9,"Mild",stdsurvey[[#This Row],[phq9_score]]&lt;=14,"Moderate",stdsurvey[[#This Row],[phq9_score]]&lt;=19,"Moderately Severe",stdsurvey[[#This Row],[phq9_score]]&lt;=27,"Severe")</f>
        <v>Mild</v>
      </c>
      <c r="L113">
        <v>9</v>
      </c>
      <c r="M113" s="4" t="str" cm="1">
        <f t="array" ref="M113">_xlfn.IFS(stdsurvey[[#This Row],[gad7_score]]="","Answer Not Provided",stdsurvey[[#This Row],[gad7_score]]&lt;=4,"Minimal",stdsurvey[[#This Row],[gad7_score]]&lt;=9,"Mild",stdsurvey[[#This Row],[gad7_score]]&lt;=14,"Moderate",stdsurvey[[#This Row],[gad7_score]]&lt;=21,"Severe")</f>
        <v>Minimal</v>
      </c>
      <c r="N113">
        <v>29.3</v>
      </c>
      <c r="O113" s="4" t="str" cm="1">
        <f t="array" ref="O113">_xlfn.IFS(stdsurvey[[#This Row],[perceived_stress_scale]]="","Answer Not Provided",stdsurvey[[#This Row],[perceived_stress_scale]]&lt;=13,"Low Stress",stdsurvey[[#This Row],[perceived_stress_scale]]&lt;=26,"Moderate Stress",stdsurvey[[#This Row],[perceived_stress_scale]]&lt;=40,"High Stress")</f>
        <v>Low Stress</v>
      </c>
      <c r="P113">
        <v>84</v>
      </c>
      <c r="Q113">
        <v>4</v>
      </c>
      <c r="R113" s="4" t="str" cm="1">
        <f t="array" ref="R113">_xlfn.IFS(stdsurvey[[#This Row],[class_attendance_percent]]&lt;60,"Less than 0%",stdsurvey[[#This Row],[class_attendance_percent]]&lt;70,"60-70 %",stdsurvey[[#This Row],[class_attendance_percent]]&lt;80, "70-80%",stdsurvey[[#This Row],[class_attendance_percent]]&lt;90,"80-90%",TRUE,"More than 90%")</f>
        <v>80-90%</v>
      </c>
      <c r="S113" t="s">
        <v>33</v>
      </c>
      <c r="T113">
        <v>3</v>
      </c>
      <c r="U113" t="s">
        <v>23</v>
      </c>
      <c r="V113">
        <v>3.32</v>
      </c>
      <c r="W113" s="4" t="str" cm="1">
        <f t="array" ref="W11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13" s="4" t="str" cm="1">
        <f t="array" ref="X113">_xlfn.IFS(stdsurvey[[#This Row],[daily_sleep_hours]]&lt;4,"&lt; 4 hrs",stdsurvey[[#This Row],[daily_sleep_hours]]&lt;=6,"4-6 hrs",stdsurvey[[#This Row],[daily_sleep_hours]]&lt;=8,"6-8 hrs",TRUE,"&gt; 8 hrs")</f>
        <v>6-8 hrs</v>
      </c>
      <c r="Y113" t="s">
        <v>27</v>
      </c>
    </row>
    <row r="114" spans="1:25" x14ac:dyDescent="0.3">
      <c r="A114" t="s">
        <v>148</v>
      </c>
      <c r="B114">
        <v>18</v>
      </c>
      <c r="C114" t="s">
        <v>20</v>
      </c>
      <c r="D114">
        <v>2</v>
      </c>
      <c r="E114" t="s">
        <v>47</v>
      </c>
      <c r="F114">
        <v>7.2</v>
      </c>
      <c r="G114">
        <v>3.1</v>
      </c>
      <c r="H114">
        <v>0</v>
      </c>
      <c r="I114">
        <v>5</v>
      </c>
      <c r="J114">
        <v>5</v>
      </c>
      <c r="K114" s="4" t="str" cm="1">
        <f t="array" ref="K114">_xlfn.IFS(stdsurvey[[#This Row],[phq9_score]]="","Answer Not Provided",stdsurvey[[#This Row],[phq9_score]]&lt;=4,"Minimal",stdsurvey[[#This Row],[phq9_score]]&lt;=9,"Mild",stdsurvey[[#This Row],[phq9_score]]&lt;=14,"Moderate",stdsurvey[[#This Row],[phq9_score]]&lt;=19,"Moderately Severe",stdsurvey[[#This Row],[phq9_score]]&lt;=27,"Severe")</f>
        <v>Mild</v>
      </c>
      <c r="L114">
        <v>10</v>
      </c>
      <c r="M114" s="4" t="str" cm="1">
        <f t="array" ref="M114">_xlfn.IFS(stdsurvey[[#This Row],[gad7_score]]="","Answer Not Provided",stdsurvey[[#This Row],[gad7_score]]&lt;=4,"Minimal",stdsurvey[[#This Row],[gad7_score]]&lt;=9,"Mild",stdsurvey[[#This Row],[gad7_score]]&lt;=14,"Moderate",stdsurvey[[#This Row],[gad7_score]]&lt;=21,"Severe")</f>
        <v>Mild</v>
      </c>
      <c r="N114">
        <v>13.1</v>
      </c>
      <c r="O114" s="4" t="str" cm="1">
        <f t="array" ref="O114">_xlfn.IFS(stdsurvey[[#This Row],[perceived_stress_scale]]="","Answer Not Provided",stdsurvey[[#This Row],[perceived_stress_scale]]&lt;=13,"Low Stress",stdsurvey[[#This Row],[perceived_stress_scale]]&lt;=26,"Moderate Stress",stdsurvey[[#This Row],[perceived_stress_scale]]&lt;=40,"High Stress")</f>
        <v>Low Stress</v>
      </c>
      <c r="P114">
        <v>84.3</v>
      </c>
      <c r="Q114">
        <v>2</v>
      </c>
      <c r="R114" s="4" t="str" cm="1">
        <f t="array" ref="R114">_xlfn.IFS(stdsurvey[[#This Row],[class_attendance_percent]]&lt;60,"Less than 0%",stdsurvey[[#This Row],[class_attendance_percent]]&lt;70,"60-70 %",stdsurvey[[#This Row],[class_attendance_percent]]&lt;80, "70-80%",stdsurvey[[#This Row],[class_attendance_percent]]&lt;90,"80-90%",TRUE,"More than 90%")</f>
        <v>80-90%</v>
      </c>
      <c r="S114" t="s">
        <v>22</v>
      </c>
      <c r="T114">
        <v>3</v>
      </c>
      <c r="U114" t="s">
        <v>51</v>
      </c>
      <c r="V114">
        <v>2.74</v>
      </c>
      <c r="W114" s="4" t="str" cm="1">
        <f t="array" ref="W11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14" s="4" t="str" cm="1">
        <f t="array" ref="X114">_xlfn.IFS(stdsurvey[[#This Row],[daily_sleep_hours]]&lt;4,"&lt; 4 hrs",stdsurvey[[#This Row],[daily_sleep_hours]]&lt;=6,"4-6 hrs",stdsurvey[[#This Row],[daily_sleep_hours]]&lt;=8,"6-8 hrs",TRUE,"&gt; 8 hrs")</f>
        <v>6-8 hrs</v>
      </c>
      <c r="Y114" t="s">
        <v>20</v>
      </c>
    </row>
    <row r="115" spans="1:25" x14ac:dyDescent="0.3">
      <c r="A115" t="s">
        <v>149</v>
      </c>
      <c r="B115">
        <v>22</v>
      </c>
      <c r="C115" t="s">
        <v>45</v>
      </c>
      <c r="D115">
        <v>4</v>
      </c>
      <c r="E115" t="s">
        <v>35</v>
      </c>
      <c r="F115">
        <v>7.3</v>
      </c>
      <c r="G115">
        <v>4</v>
      </c>
      <c r="H115">
        <v>0</v>
      </c>
      <c r="I115">
        <v>6</v>
      </c>
      <c r="J115">
        <v>8</v>
      </c>
      <c r="K115" s="4" t="str" cm="1">
        <f t="array" ref="K115">_xlfn.IFS(stdsurvey[[#This Row],[phq9_score]]="","Answer Not Provided",stdsurvey[[#This Row],[phq9_score]]&lt;=4,"Minimal",stdsurvey[[#This Row],[phq9_score]]&lt;=9,"Mild",stdsurvey[[#This Row],[phq9_score]]&lt;=14,"Moderate",stdsurvey[[#This Row],[phq9_score]]&lt;=19,"Moderately Severe",stdsurvey[[#This Row],[phq9_score]]&lt;=27,"Severe")</f>
        <v>Mild</v>
      </c>
      <c r="L115">
        <v>13</v>
      </c>
      <c r="M115" s="4" t="str" cm="1">
        <f t="array" ref="M115">_xlfn.IFS(stdsurvey[[#This Row],[gad7_score]]="","Answer Not Provided",stdsurvey[[#This Row],[gad7_score]]&lt;=4,"Minimal",stdsurvey[[#This Row],[gad7_score]]&lt;=9,"Mild",stdsurvey[[#This Row],[gad7_score]]&lt;=14,"Moderate",stdsurvey[[#This Row],[gad7_score]]&lt;=21,"Severe")</f>
        <v>Mild</v>
      </c>
      <c r="N115">
        <v>13.2</v>
      </c>
      <c r="O115" s="4" t="str" cm="1">
        <f t="array" ref="O115">_xlfn.IFS(stdsurvey[[#This Row],[perceived_stress_scale]]="","Answer Not Provided",stdsurvey[[#This Row],[perceived_stress_scale]]&lt;=13,"Low Stress",stdsurvey[[#This Row],[perceived_stress_scale]]&lt;=26,"Moderate Stress",stdsurvey[[#This Row],[perceived_stress_scale]]&lt;=40,"High Stress")</f>
        <v>Low Stress</v>
      </c>
      <c r="P115">
        <v>84.4</v>
      </c>
      <c r="Q115">
        <v>5</v>
      </c>
      <c r="R115" s="4" t="str" cm="1">
        <f t="array" ref="R115">_xlfn.IFS(stdsurvey[[#This Row],[class_attendance_percent]]&lt;60,"Less than 0%",stdsurvey[[#This Row],[class_attendance_percent]]&lt;70,"60-70 %",stdsurvey[[#This Row],[class_attendance_percent]]&lt;80, "70-80%",stdsurvey[[#This Row],[class_attendance_percent]]&lt;90,"80-90%",TRUE,"More than 90%")</f>
        <v>80-90%</v>
      </c>
      <c r="S115" t="s">
        <v>33</v>
      </c>
      <c r="T115">
        <v>3</v>
      </c>
      <c r="U115" t="s">
        <v>23</v>
      </c>
      <c r="V115">
        <v>3.23</v>
      </c>
      <c r="W115" s="4" t="str" cm="1">
        <f t="array" ref="W11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15" s="4" t="str" cm="1">
        <f t="array" ref="X115">_xlfn.IFS(stdsurvey[[#This Row],[daily_sleep_hours]]&lt;4,"&lt; 4 hrs",stdsurvey[[#This Row],[daily_sleep_hours]]&lt;=6,"4-6 hrs",stdsurvey[[#This Row],[daily_sleep_hours]]&lt;=8,"6-8 hrs",TRUE,"&gt; 8 hrs")</f>
        <v>6-8 hrs</v>
      </c>
      <c r="Y115" t="s">
        <v>20</v>
      </c>
    </row>
    <row r="116" spans="1:25" x14ac:dyDescent="0.3">
      <c r="A116" t="s">
        <v>150</v>
      </c>
      <c r="B116">
        <v>22</v>
      </c>
      <c r="C116" t="s">
        <v>61</v>
      </c>
      <c r="D116">
        <v>2</v>
      </c>
      <c r="E116" t="s">
        <v>30</v>
      </c>
      <c r="F116">
        <v>8.1999999999999993</v>
      </c>
      <c r="G116">
        <v>3</v>
      </c>
      <c r="H116">
        <v>3</v>
      </c>
      <c r="I116">
        <v>13</v>
      </c>
      <c r="J116">
        <v>9</v>
      </c>
      <c r="K116" s="4" t="str" cm="1">
        <f t="array" ref="K116">_xlfn.IFS(stdsurvey[[#This Row],[phq9_score]]="","Answer Not Provided",stdsurvey[[#This Row],[phq9_score]]&lt;=4,"Minimal",stdsurvey[[#This Row],[phq9_score]]&lt;=9,"Mild",stdsurvey[[#This Row],[phq9_score]]&lt;=14,"Moderate",stdsurvey[[#This Row],[phq9_score]]&lt;=19,"Moderately Severe",stdsurvey[[#This Row],[phq9_score]]&lt;=27,"Severe")</f>
        <v>Moderate</v>
      </c>
      <c r="L116">
        <v>16</v>
      </c>
      <c r="M116" s="4" t="str" cm="1">
        <f t="array" ref="M116">_xlfn.IFS(stdsurvey[[#This Row],[gad7_score]]="","Answer Not Provided",stdsurvey[[#This Row],[gad7_score]]&lt;=4,"Minimal",stdsurvey[[#This Row],[gad7_score]]&lt;=9,"Mild",stdsurvey[[#This Row],[gad7_score]]&lt;=14,"Moderate",stdsurvey[[#This Row],[gad7_score]]&lt;=21,"Severe")</f>
        <v>Mild</v>
      </c>
      <c r="N116">
        <v>13.9</v>
      </c>
      <c r="O116" s="4" t="str" cm="1">
        <f t="array" ref="O116">_xlfn.IFS(stdsurvey[[#This Row],[perceived_stress_scale]]="","Answer Not Provided",stdsurvey[[#This Row],[perceived_stress_scale]]&lt;=13,"Low Stress",stdsurvey[[#This Row],[perceived_stress_scale]]&lt;=26,"Moderate Stress",stdsurvey[[#This Row],[perceived_stress_scale]]&lt;=40,"High Stress")</f>
        <v>Moderate Stress</v>
      </c>
      <c r="P116">
        <v>92.8</v>
      </c>
      <c r="Q116">
        <v>2</v>
      </c>
      <c r="R116" s="4" t="str" cm="1">
        <f t="array" ref="R116">_xlfn.IFS(stdsurvey[[#This Row],[class_attendance_percent]]&lt;60,"Less than 0%",stdsurvey[[#This Row],[class_attendance_percent]]&lt;70,"60-70 %",stdsurvey[[#This Row],[class_attendance_percent]]&lt;80, "70-80%",stdsurvey[[#This Row],[class_attendance_percent]]&lt;90,"80-90%",TRUE,"More than 90%")</f>
        <v>More than 90%</v>
      </c>
      <c r="S116" t="s">
        <v>22</v>
      </c>
      <c r="T116">
        <v>2</v>
      </c>
      <c r="U116" t="s">
        <v>51</v>
      </c>
      <c r="V116">
        <v>3.06</v>
      </c>
      <c r="W116" s="4" t="str" cm="1">
        <f t="array" ref="W11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16" s="4" t="str" cm="1">
        <f t="array" ref="X116">_xlfn.IFS(stdsurvey[[#This Row],[daily_sleep_hours]]&lt;4,"&lt; 4 hrs",stdsurvey[[#This Row],[daily_sleep_hours]]&lt;=6,"4-6 hrs",stdsurvey[[#This Row],[daily_sleep_hours]]&lt;=8,"6-8 hrs",TRUE,"&gt; 8 hrs")</f>
        <v>&gt; 8 hrs</v>
      </c>
      <c r="Y116" t="s">
        <v>61</v>
      </c>
    </row>
    <row r="117" spans="1:25" x14ac:dyDescent="0.3">
      <c r="A117" t="s">
        <v>151</v>
      </c>
      <c r="B117">
        <v>20</v>
      </c>
      <c r="C117" t="s">
        <v>27</v>
      </c>
      <c r="D117">
        <v>4</v>
      </c>
      <c r="E117" t="s">
        <v>49</v>
      </c>
      <c r="F117">
        <v>9.6999999999999993</v>
      </c>
      <c r="G117">
        <v>6.6</v>
      </c>
      <c r="H117">
        <v>4</v>
      </c>
      <c r="I117">
        <v>8</v>
      </c>
      <c r="J117">
        <v>10</v>
      </c>
      <c r="K117" s="4" t="str" cm="1">
        <f t="array" ref="K117">_xlfn.IFS(stdsurvey[[#This Row],[phq9_score]]="","Answer Not Provided",stdsurvey[[#This Row],[phq9_score]]&lt;=4,"Minimal",stdsurvey[[#This Row],[phq9_score]]&lt;=9,"Mild",stdsurvey[[#This Row],[phq9_score]]&lt;=14,"Moderate",stdsurvey[[#This Row],[phq9_score]]&lt;=19,"Moderately Severe",stdsurvey[[#This Row],[phq9_score]]&lt;=27,"Severe")</f>
        <v>Mild</v>
      </c>
      <c r="L117">
        <v>14</v>
      </c>
      <c r="M117" s="4" t="str" cm="1">
        <f t="array" ref="M117">_xlfn.IFS(stdsurvey[[#This Row],[gad7_score]]="","Answer Not Provided",stdsurvey[[#This Row],[gad7_score]]&lt;=4,"Minimal",stdsurvey[[#This Row],[gad7_score]]&lt;=9,"Mild",stdsurvey[[#This Row],[gad7_score]]&lt;=14,"Moderate",stdsurvey[[#This Row],[gad7_score]]&lt;=21,"Severe")</f>
        <v>Moderate</v>
      </c>
      <c r="N117">
        <v>6</v>
      </c>
      <c r="O117" s="4" t="str" cm="1">
        <f t="array" ref="O117">_xlfn.IFS(stdsurvey[[#This Row],[perceived_stress_scale]]="","Answer Not Provided",stdsurvey[[#This Row],[perceived_stress_scale]]&lt;=13,"Low Stress",stdsurvey[[#This Row],[perceived_stress_scale]]&lt;=26,"Moderate Stress",stdsurvey[[#This Row],[perceived_stress_scale]]&lt;=40,"High Stress")</f>
        <v>Moderate Stress</v>
      </c>
      <c r="P117">
        <v>81.599999999999994</v>
      </c>
      <c r="Q117">
        <v>5</v>
      </c>
      <c r="R117" s="4" t="str" cm="1">
        <f t="array" ref="R117">_xlfn.IFS(stdsurvey[[#This Row],[class_attendance_percent]]&lt;60,"Less than 0%",stdsurvey[[#This Row],[class_attendance_percent]]&lt;70,"60-70 %",stdsurvey[[#This Row],[class_attendance_percent]]&lt;80, "70-80%",stdsurvey[[#This Row],[class_attendance_percent]]&lt;90,"80-90%",TRUE,"More than 90%")</f>
        <v>80-90%</v>
      </c>
      <c r="S117" t="s">
        <v>33</v>
      </c>
      <c r="T117">
        <v>3</v>
      </c>
      <c r="U117" t="s">
        <v>23</v>
      </c>
      <c r="V117">
        <v>2.58</v>
      </c>
      <c r="W117" s="4" t="str" cm="1">
        <f t="array" ref="W11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17" s="4" t="str" cm="1">
        <f t="array" ref="X117">_xlfn.IFS(stdsurvey[[#This Row],[daily_sleep_hours]]&lt;4,"&lt; 4 hrs",stdsurvey[[#This Row],[daily_sleep_hours]]&lt;=6,"4-6 hrs",stdsurvey[[#This Row],[daily_sleep_hours]]&lt;=8,"6-8 hrs",TRUE,"&gt; 8 hrs")</f>
        <v>&gt; 8 hrs</v>
      </c>
      <c r="Y117" t="s">
        <v>27</v>
      </c>
    </row>
    <row r="118" spans="1:25" x14ac:dyDescent="0.3">
      <c r="A118" t="s">
        <v>152</v>
      </c>
      <c r="B118">
        <v>18</v>
      </c>
      <c r="C118" t="s">
        <v>25</v>
      </c>
      <c r="D118">
        <v>3</v>
      </c>
      <c r="E118" t="s">
        <v>49</v>
      </c>
      <c r="F118">
        <v>4.3</v>
      </c>
      <c r="G118">
        <v>3.6</v>
      </c>
      <c r="H118">
        <v>1</v>
      </c>
      <c r="I118">
        <v>3</v>
      </c>
      <c r="J118">
        <v>3</v>
      </c>
      <c r="K118" s="4" t="str" cm="1">
        <f t="array" ref="K118">_xlfn.IFS(stdsurvey[[#This Row],[phq9_score]]="","Answer Not Provided",stdsurvey[[#This Row],[phq9_score]]&lt;=4,"Minimal",stdsurvey[[#This Row],[phq9_score]]&lt;=9,"Mild",stdsurvey[[#This Row],[phq9_score]]&lt;=14,"Moderate",stdsurvey[[#This Row],[phq9_score]]&lt;=19,"Moderately Severe",stdsurvey[[#This Row],[phq9_score]]&lt;=27,"Severe")</f>
        <v>Minimal</v>
      </c>
      <c r="L118">
        <v>5</v>
      </c>
      <c r="M118" s="4" t="str" cm="1">
        <f t="array" ref="M118">_xlfn.IFS(stdsurvey[[#This Row],[gad7_score]]="","Answer Not Provided",stdsurvey[[#This Row],[gad7_score]]&lt;=4,"Minimal",stdsurvey[[#This Row],[gad7_score]]&lt;=9,"Mild",stdsurvey[[#This Row],[gad7_score]]&lt;=14,"Moderate",stdsurvey[[#This Row],[gad7_score]]&lt;=21,"Severe")</f>
        <v>Minimal</v>
      </c>
      <c r="N118">
        <v>20.100000000000001</v>
      </c>
      <c r="O118" s="4" t="str" cm="1">
        <f t="array" ref="O118">_xlfn.IFS(stdsurvey[[#This Row],[perceived_stress_scale]]="","Answer Not Provided",stdsurvey[[#This Row],[perceived_stress_scale]]&lt;=13,"Low Stress",stdsurvey[[#This Row],[perceived_stress_scale]]&lt;=26,"Moderate Stress",stdsurvey[[#This Row],[perceived_stress_scale]]&lt;=40,"High Stress")</f>
        <v>Low Stress</v>
      </c>
      <c r="P118">
        <v>94.1</v>
      </c>
      <c r="Q118">
        <v>3</v>
      </c>
      <c r="R118" s="4" t="str" cm="1">
        <f t="array" ref="R118">_xlfn.IFS(stdsurvey[[#This Row],[class_attendance_percent]]&lt;60,"Less than 0%",stdsurvey[[#This Row],[class_attendance_percent]]&lt;70,"60-70 %",stdsurvey[[#This Row],[class_attendance_percent]]&lt;80, "70-80%",stdsurvey[[#This Row],[class_attendance_percent]]&lt;90,"80-90%",TRUE,"More than 90%")</f>
        <v>More than 90%</v>
      </c>
      <c r="S118" t="s">
        <v>22</v>
      </c>
      <c r="T118">
        <v>4</v>
      </c>
      <c r="U118" t="s">
        <v>23</v>
      </c>
      <c r="V118">
        <v>2.61</v>
      </c>
      <c r="W118" s="4" t="str" cm="1">
        <f t="array" ref="W11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18" s="4" t="str" cm="1">
        <f t="array" ref="X118">_xlfn.IFS(stdsurvey[[#This Row],[daily_sleep_hours]]&lt;4,"&lt; 4 hrs",stdsurvey[[#This Row],[daily_sleep_hours]]&lt;=6,"4-6 hrs",stdsurvey[[#This Row],[daily_sleep_hours]]&lt;=8,"6-8 hrs",TRUE,"&gt; 8 hrs")</f>
        <v>4-6 hrs</v>
      </c>
      <c r="Y118" t="s">
        <v>27</v>
      </c>
    </row>
    <row r="119" spans="1:25" x14ac:dyDescent="0.3">
      <c r="A119" t="s">
        <v>153</v>
      </c>
      <c r="B119">
        <v>22</v>
      </c>
      <c r="C119" t="s">
        <v>20</v>
      </c>
      <c r="D119">
        <v>4</v>
      </c>
      <c r="E119" t="s">
        <v>32</v>
      </c>
      <c r="F119">
        <v>6</v>
      </c>
      <c r="G119">
        <v>2.7</v>
      </c>
      <c r="H119">
        <v>1</v>
      </c>
      <c r="I119">
        <v>12</v>
      </c>
      <c r="J119">
        <v>9</v>
      </c>
      <c r="K119" s="4" t="str" cm="1">
        <f t="array" ref="K119">_xlfn.IFS(stdsurvey[[#This Row],[phq9_score]]="","Answer Not Provided",stdsurvey[[#This Row],[phq9_score]]&lt;=4,"Minimal",stdsurvey[[#This Row],[phq9_score]]&lt;=9,"Mild",stdsurvey[[#This Row],[phq9_score]]&lt;=14,"Moderate",stdsurvey[[#This Row],[phq9_score]]&lt;=19,"Moderately Severe",stdsurvey[[#This Row],[phq9_score]]&lt;=27,"Severe")</f>
        <v>Moderate</v>
      </c>
      <c r="L119">
        <v>24</v>
      </c>
      <c r="M119" s="4" t="str" cm="1">
        <f t="array" ref="M119">_xlfn.IFS(stdsurvey[[#This Row],[gad7_score]]="","Answer Not Provided",stdsurvey[[#This Row],[gad7_score]]&lt;=4,"Minimal",stdsurvey[[#This Row],[gad7_score]]&lt;=9,"Mild",stdsurvey[[#This Row],[gad7_score]]&lt;=14,"Moderate",stdsurvey[[#This Row],[gad7_score]]&lt;=21,"Severe")</f>
        <v>Mild</v>
      </c>
      <c r="N119">
        <v>12.8</v>
      </c>
      <c r="O119" s="4" t="str" cm="1">
        <f t="array" ref="O119">_xlfn.IFS(stdsurvey[[#This Row],[perceived_stress_scale]]="","Answer Not Provided",stdsurvey[[#This Row],[perceived_stress_scale]]&lt;=13,"Low Stress",stdsurvey[[#This Row],[perceived_stress_scale]]&lt;=26,"Moderate Stress",stdsurvey[[#This Row],[perceived_stress_scale]]&lt;=40,"High Stress")</f>
        <v>Moderate Stress</v>
      </c>
      <c r="P119">
        <v>74.3</v>
      </c>
      <c r="R119" s="4" t="str" cm="1">
        <f t="array" ref="R119">_xlfn.IFS(stdsurvey[[#This Row],[class_attendance_percent]]&lt;60,"Less than 0%",stdsurvey[[#This Row],[class_attendance_percent]]&lt;70,"60-70 %",stdsurvey[[#This Row],[class_attendance_percent]]&lt;80, "70-80%",stdsurvey[[#This Row],[class_attendance_percent]]&lt;90,"80-90%",TRUE,"More than 90%")</f>
        <v>70-80%</v>
      </c>
      <c r="S119" t="s">
        <v>22</v>
      </c>
      <c r="T119">
        <v>1</v>
      </c>
      <c r="U119" t="s">
        <v>23</v>
      </c>
      <c r="V119">
        <v>2.91</v>
      </c>
      <c r="W119" s="4" t="str" cm="1">
        <f t="array" ref="W11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19" s="4" t="str" cm="1">
        <f t="array" ref="X119">_xlfn.IFS(stdsurvey[[#This Row],[daily_sleep_hours]]&lt;4,"&lt; 4 hrs",stdsurvey[[#This Row],[daily_sleep_hours]]&lt;=6,"4-6 hrs",stdsurvey[[#This Row],[daily_sleep_hours]]&lt;=8,"6-8 hrs",TRUE,"&gt; 8 hrs")</f>
        <v>4-6 hrs</v>
      </c>
      <c r="Y119" t="s">
        <v>20</v>
      </c>
    </row>
    <row r="120" spans="1:25" x14ac:dyDescent="0.3">
      <c r="A120" t="s">
        <v>154</v>
      </c>
      <c r="B120">
        <v>20</v>
      </c>
      <c r="C120" t="s">
        <v>25</v>
      </c>
      <c r="D120">
        <v>2</v>
      </c>
      <c r="E120" t="s">
        <v>30</v>
      </c>
      <c r="F120">
        <v>5.2</v>
      </c>
      <c r="G120">
        <v>7.9</v>
      </c>
      <c r="H120">
        <v>3</v>
      </c>
      <c r="I120">
        <v>4</v>
      </c>
      <c r="J120">
        <v>2</v>
      </c>
      <c r="K120" s="4" t="str" cm="1">
        <f t="array" ref="K120">_xlfn.IFS(stdsurvey[[#This Row],[phq9_score]]="","Answer Not Provided",stdsurvey[[#This Row],[phq9_score]]&lt;=4,"Minimal",stdsurvey[[#This Row],[phq9_score]]&lt;=9,"Mild",stdsurvey[[#This Row],[phq9_score]]&lt;=14,"Moderate",stdsurvey[[#This Row],[phq9_score]]&lt;=19,"Moderately Severe",stdsurvey[[#This Row],[phq9_score]]&lt;=27,"Severe")</f>
        <v>Minimal</v>
      </c>
      <c r="L120">
        <v>12</v>
      </c>
      <c r="M120" s="4" t="str" cm="1">
        <f t="array" ref="M120">_xlfn.IFS(stdsurvey[[#This Row],[gad7_score]]="","Answer Not Provided",stdsurvey[[#This Row],[gad7_score]]&lt;=4,"Minimal",stdsurvey[[#This Row],[gad7_score]]&lt;=9,"Mild",stdsurvey[[#This Row],[gad7_score]]&lt;=14,"Moderate",stdsurvey[[#This Row],[gad7_score]]&lt;=21,"Severe")</f>
        <v>Minimal</v>
      </c>
      <c r="N120">
        <v>20</v>
      </c>
      <c r="O120" s="4" t="str" cm="1">
        <f t="array" ref="O120">_xlfn.IFS(stdsurvey[[#This Row],[perceived_stress_scale]]="","Answer Not Provided",stdsurvey[[#This Row],[perceived_stress_scale]]&lt;=13,"Low Stress",stdsurvey[[#This Row],[perceived_stress_scale]]&lt;=26,"Moderate Stress",stdsurvey[[#This Row],[perceived_stress_scale]]&lt;=40,"High Stress")</f>
        <v>Low Stress</v>
      </c>
      <c r="P120">
        <v>65.8</v>
      </c>
      <c r="Q120">
        <v>3</v>
      </c>
      <c r="R120" s="4" t="str" cm="1">
        <f t="array" ref="R120">_xlfn.IFS(stdsurvey[[#This Row],[class_attendance_percent]]&lt;60,"Less than 0%",stdsurvey[[#This Row],[class_attendance_percent]]&lt;70,"60-70 %",stdsurvey[[#This Row],[class_attendance_percent]]&lt;80, "70-80%",stdsurvey[[#This Row],[class_attendance_percent]]&lt;90,"80-90%",TRUE,"More than 90%")</f>
        <v>60-70 %</v>
      </c>
      <c r="S120" t="s">
        <v>22</v>
      </c>
      <c r="T120">
        <v>4</v>
      </c>
      <c r="U120" t="s">
        <v>51</v>
      </c>
      <c r="V120">
        <v>3.08</v>
      </c>
      <c r="W120" s="4" t="str" cm="1">
        <f t="array" ref="W12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20" s="4" t="str" cm="1">
        <f t="array" ref="X120">_xlfn.IFS(stdsurvey[[#This Row],[daily_sleep_hours]]&lt;4,"&lt; 4 hrs",stdsurvey[[#This Row],[daily_sleep_hours]]&lt;=6,"4-6 hrs",stdsurvey[[#This Row],[daily_sleep_hours]]&lt;=8,"6-8 hrs",TRUE,"&gt; 8 hrs")</f>
        <v>4-6 hrs</v>
      </c>
      <c r="Y120" t="s">
        <v>27</v>
      </c>
    </row>
    <row r="121" spans="1:25" x14ac:dyDescent="0.3">
      <c r="A121" t="s">
        <v>155</v>
      </c>
      <c r="B121">
        <v>22</v>
      </c>
      <c r="C121" t="s">
        <v>27</v>
      </c>
      <c r="D121">
        <v>2</v>
      </c>
      <c r="E121" t="s">
        <v>47</v>
      </c>
      <c r="F121">
        <v>5.7</v>
      </c>
      <c r="G121">
        <v>2</v>
      </c>
      <c r="H121">
        <v>1</v>
      </c>
      <c r="I121">
        <v>8</v>
      </c>
      <c r="J121">
        <v>9</v>
      </c>
      <c r="K121" s="4" t="str" cm="1">
        <f t="array" ref="K121">_xlfn.IFS(stdsurvey[[#This Row],[phq9_score]]="","Answer Not Provided",stdsurvey[[#This Row],[phq9_score]]&lt;=4,"Minimal",stdsurvey[[#This Row],[phq9_score]]&lt;=9,"Mild",stdsurvey[[#This Row],[phq9_score]]&lt;=14,"Moderate",stdsurvey[[#This Row],[phq9_score]]&lt;=19,"Moderately Severe",stdsurvey[[#This Row],[phq9_score]]&lt;=27,"Severe")</f>
        <v>Mild</v>
      </c>
      <c r="L121">
        <v>15</v>
      </c>
      <c r="M121" s="4" t="str" cm="1">
        <f t="array" ref="M121">_xlfn.IFS(stdsurvey[[#This Row],[gad7_score]]="","Answer Not Provided",stdsurvey[[#This Row],[gad7_score]]&lt;=4,"Minimal",stdsurvey[[#This Row],[gad7_score]]&lt;=9,"Mild",stdsurvey[[#This Row],[gad7_score]]&lt;=14,"Moderate",stdsurvey[[#This Row],[gad7_score]]&lt;=21,"Severe")</f>
        <v>Mild</v>
      </c>
      <c r="N121">
        <v>21.2</v>
      </c>
      <c r="O121" s="4" t="str" cm="1">
        <f t="array" ref="O121">_xlfn.IFS(stdsurvey[[#This Row],[perceived_stress_scale]]="","Answer Not Provided",stdsurvey[[#This Row],[perceived_stress_scale]]&lt;=13,"Low Stress",stdsurvey[[#This Row],[perceived_stress_scale]]&lt;=26,"Moderate Stress",stdsurvey[[#This Row],[perceived_stress_scale]]&lt;=40,"High Stress")</f>
        <v>Moderate Stress</v>
      </c>
      <c r="P121">
        <v>72.8</v>
      </c>
      <c r="Q121">
        <v>2</v>
      </c>
      <c r="R121" s="4" t="str" cm="1">
        <f t="array" ref="R121">_xlfn.IFS(stdsurvey[[#This Row],[class_attendance_percent]]&lt;60,"Less than 0%",stdsurvey[[#This Row],[class_attendance_percent]]&lt;70,"60-70 %",stdsurvey[[#This Row],[class_attendance_percent]]&lt;80, "70-80%",stdsurvey[[#This Row],[class_attendance_percent]]&lt;90,"80-90%",TRUE,"More than 90%")</f>
        <v>70-80%</v>
      </c>
      <c r="S121" t="s">
        <v>22</v>
      </c>
      <c r="T121">
        <v>2</v>
      </c>
      <c r="U121" t="s">
        <v>23</v>
      </c>
      <c r="V121">
        <v>2.77</v>
      </c>
      <c r="W121" s="4" t="str" cm="1">
        <f t="array" ref="W12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21" s="4" t="str" cm="1">
        <f t="array" ref="X121">_xlfn.IFS(stdsurvey[[#This Row],[daily_sleep_hours]]&lt;4,"&lt; 4 hrs",stdsurvey[[#This Row],[daily_sleep_hours]]&lt;=6,"4-6 hrs",stdsurvey[[#This Row],[daily_sleep_hours]]&lt;=8,"6-8 hrs",TRUE,"&gt; 8 hrs")</f>
        <v>4-6 hrs</v>
      </c>
      <c r="Y121" t="s">
        <v>27</v>
      </c>
    </row>
    <row r="122" spans="1:25" x14ac:dyDescent="0.3">
      <c r="A122" t="s">
        <v>156</v>
      </c>
      <c r="B122">
        <v>22</v>
      </c>
      <c r="C122" t="s">
        <v>20</v>
      </c>
      <c r="D122">
        <v>1</v>
      </c>
      <c r="E122" t="s">
        <v>63</v>
      </c>
      <c r="F122">
        <v>5</v>
      </c>
      <c r="G122">
        <v>4.7</v>
      </c>
      <c r="H122">
        <v>4</v>
      </c>
      <c r="I122">
        <v>10</v>
      </c>
      <c r="J122">
        <v>13</v>
      </c>
      <c r="K122" s="4" t="str" cm="1">
        <f t="array" ref="K122">_xlfn.IFS(stdsurvey[[#This Row],[phq9_score]]="","Answer Not Provided",stdsurvey[[#This Row],[phq9_score]]&lt;=4,"Minimal",stdsurvey[[#This Row],[phq9_score]]&lt;=9,"Mild",stdsurvey[[#This Row],[phq9_score]]&lt;=14,"Moderate",stdsurvey[[#This Row],[phq9_score]]&lt;=19,"Moderately Severe",stdsurvey[[#This Row],[phq9_score]]&lt;=27,"Severe")</f>
        <v>Moderate</v>
      </c>
      <c r="L122">
        <v>21</v>
      </c>
      <c r="M122" s="4" t="str" cm="1">
        <f t="array" ref="M122">_xlfn.IFS(stdsurvey[[#This Row],[gad7_score]]="","Answer Not Provided",stdsurvey[[#This Row],[gad7_score]]&lt;=4,"Minimal",stdsurvey[[#This Row],[gad7_score]]&lt;=9,"Mild",stdsurvey[[#This Row],[gad7_score]]&lt;=14,"Moderate",stdsurvey[[#This Row],[gad7_score]]&lt;=21,"Severe")</f>
        <v>Moderate</v>
      </c>
      <c r="N122">
        <v>3.4</v>
      </c>
      <c r="O122" s="4" t="str" cm="1">
        <f t="array" ref="O122">_xlfn.IFS(stdsurvey[[#This Row],[perceived_stress_scale]]="","Answer Not Provided",stdsurvey[[#This Row],[perceived_stress_scale]]&lt;=13,"Low Stress",stdsurvey[[#This Row],[perceived_stress_scale]]&lt;=26,"Moderate Stress",stdsurvey[[#This Row],[perceived_stress_scale]]&lt;=40,"High Stress")</f>
        <v>Moderate Stress</v>
      </c>
      <c r="P122">
        <v>61</v>
      </c>
      <c r="Q122">
        <v>3</v>
      </c>
      <c r="R122" s="4" t="str" cm="1">
        <f t="array" ref="R122">_xlfn.IFS(stdsurvey[[#This Row],[class_attendance_percent]]&lt;60,"Less than 0%",stdsurvey[[#This Row],[class_attendance_percent]]&lt;70,"60-70 %",stdsurvey[[#This Row],[class_attendance_percent]]&lt;80, "70-80%",stdsurvey[[#This Row],[class_attendance_percent]]&lt;90,"80-90%",TRUE,"More than 90%")</f>
        <v>60-70 %</v>
      </c>
      <c r="S122" t="s">
        <v>33</v>
      </c>
      <c r="T122">
        <v>3</v>
      </c>
      <c r="U122" t="s">
        <v>51</v>
      </c>
      <c r="V122">
        <v>2.44</v>
      </c>
      <c r="W122" s="4" t="str" cm="1">
        <f t="array" ref="W12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22" s="4" t="str" cm="1">
        <f t="array" ref="X122">_xlfn.IFS(stdsurvey[[#This Row],[daily_sleep_hours]]&lt;4,"&lt; 4 hrs",stdsurvey[[#This Row],[daily_sleep_hours]]&lt;=6,"4-6 hrs",stdsurvey[[#This Row],[daily_sleep_hours]]&lt;=8,"6-8 hrs",TRUE,"&gt; 8 hrs")</f>
        <v>4-6 hrs</v>
      </c>
      <c r="Y122" t="s">
        <v>20</v>
      </c>
    </row>
    <row r="123" spans="1:25" x14ac:dyDescent="0.3">
      <c r="A123" t="s">
        <v>157</v>
      </c>
      <c r="B123">
        <v>25</v>
      </c>
      <c r="C123" t="s">
        <v>20</v>
      </c>
      <c r="D123">
        <v>1</v>
      </c>
      <c r="E123" t="s">
        <v>49</v>
      </c>
      <c r="F123">
        <v>6.4</v>
      </c>
      <c r="G123">
        <v>1</v>
      </c>
      <c r="H123">
        <v>6</v>
      </c>
      <c r="I123">
        <v>4</v>
      </c>
      <c r="J123">
        <v>1</v>
      </c>
      <c r="K123" s="4" t="str" cm="1">
        <f t="array" ref="K123">_xlfn.IFS(stdsurvey[[#This Row],[phq9_score]]="","Answer Not Provided",stdsurvey[[#This Row],[phq9_score]]&lt;=4,"Minimal",stdsurvey[[#This Row],[phq9_score]]&lt;=9,"Mild",stdsurvey[[#This Row],[phq9_score]]&lt;=14,"Moderate",stdsurvey[[#This Row],[phq9_score]]&lt;=19,"Moderately Severe",stdsurvey[[#This Row],[phq9_score]]&lt;=27,"Severe")</f>
        <v>Minimal</v>
      </c>
      <c r="L123">
        <v>2</v>
      </c>
      <c r="M123" s="4" t="str" cm="1">
        <f t="array" ref="M123">_xlfn.IFS(stdsurvey[[#This Row],[gad7_score]]="","Answer Not Provided",stdsurvey[[#This Row],[gad7_score]]&lt;=4,"Minimal",stdsurvey[[#This Row],[gad7_score]]&lt;=9,"Mild",stdsurvey[[#This Row],[gad7_score]]&lt;=14,"Moderate",stdsurvey[[#This Row],[gad7_score]]&lt;=21,"Severe")</f>
        <v>Minimal</v>
      </c>
      <c r="N123">
        <v>80.8</v>
      </c>
      <c r="O123" s="4" t="str" cm="1">
        <f t="array" ref="O123">_xlfn.IFS(stdsurvey[[#This Row],[perceived_stress_scale]]="","Answer Not Provided",stdsurvey[[#This Row],[perceived_stress_scale]]&lt;=13,"Low Stress",stdsurvey[[#This Row],[perceived_stress_scale]]&lt;=26,"Moderate Stress",stdsurvey[[#This Row],[perceived_stress_scale]]&lt;=40,"High Stress")</f>
        <v>Low Stress</v>
      </c>
      <c r="P123">
        <v>100</v>
      </c>
      <c r="Q123">
        <v>4</v>
      </c>
      <c r="R123" s="4" t="str" cm="1">
        <f t="array" ref="R123">_xlfn.IFS(stdsurvey[[#This Row],[class_attendance_percent]]&lt;60,"Less than 0%",stdsurvey[[#This Row],[class_attendance_percent]]&lt;70,"60-70 %",stdsurvey[[#This Row],[class_attendance_percent]]&lt;80, "70-80%",stdsurvey[[#This Row],[class_attendance_percent]]&lt;90,"80-90%",TRUE,"More than 90%")</f>
        <v>More than 90%</v>
      </c>
      <c r="S123" t="s">
        <v>22</v>
      </c>
      <c r="T123">
        <v>2</v>
      </c>
      <c r="U123" t="s">
        <v>51</v>
      </c>
      <c r="V123">
        <v>4</v>
      </c>
      <c r="W123" s="4" t="str" cm="1">
        <f t="array" ref="W12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23" s="4" t="str" cm="1">
        <f t="array" ref="X123">_xlfn.IFS(stdsurvey[[#This Row],[daily_sleep_hours]]&lt;4,"&lt; 4 hrs",stdsurvey[[#This Row],[daily_sleep_hours]]&lt;=6,"4-6 hrs",stdsurvey[[#This Row],[daily_sleep_hours]]&lt;=8,"6-8 hrs",TRUE,"&gt; 8 hrs")</f>
        <v>6-8 hrs</v>
      </c>
      <c r="Y123" t="s">
        <v>20</v>
      </c>
    </row>
    <row r="124" spans="1:25" x14ac:dyDescent="0.3">
      <c r="A124" t="s">
        <v>158</v>
      </c>
      <c r="B124">
        <v>21</v>
      </c>
      <c r="C124" t="s">
        <v>27</v>
      </c>
      <c r="D124">
        <v>4</v>
      </c>
      <c r="E124" t="s">
        <v>35</v>
      </c>
      <c r="F124">
        <v>5</v>
      </c>
      <c r="G124">
        <v>1.4</v>
      </c>
      <c r="H124">
        <v>4</v>
      </c>
      <c r="I124">
        <v>6</v>
      </c>
      <c r="J124">
        <v>5</v>
      </c>
      <c r="K124" s="4" t="str" cm="1">
        <f t="array" ref="K124">_xlfn.IFS(stdsurvey[[#This Row],[phq9_score]]="","Answer Not Provided",stdsurvey[[#This Row],[phq9_score]]&lt;=4,"Minimal",stdsurvey[[#This Row],[phq9_score]]&lt;=9,"Mild",stdsurvey[[#This Row],[phq9_score]]&lt;=14,"Moderate",stdsurvey[[#This Row],[phq9_score]]&lt;=19,"Moderately Severe",stdsurvey[[#This Row],[phq9_score]]&lt;=27,"Severe")</f>
        <v>Mild</v>
      </c>
      <c r="L124">
        <v>4</v>
      </c>
      <c r="M124" s="4" t="str" cm="1">
        <f t="array" ref="M124">_xlfn.IFS(stdsurvey[[#This Row],[gad7_score]]="","Answer Not Provided",stdsurvey[[#This Row],[gad7_score]]&lt;=4,"Minimal",stdsurvey[[#This Row],[gad7_score]]&lt;=9,"Mild",stdsurvey[[#This Row],[gad7_score]]&lt;=14,"Moderate",stdsurvey[[#This Row],[gad7_score]]&lt;=21,"Severe")</f>
        <v>Mild</v>
      </c>
      <c r="N124">
        <v>13.1</v>
      </c>
      <c r="O124" s="4" t="str" cm="1">
        <f t="array" ref="O124">_xlfn.IFS(stdsurvey[[#This Row],[perceived_stress_scale]]="","Answer Not Provided",stdsurvey[[#This Row],[perceived_stress_scale]]&lt;=13,"Low Stress",stdsurvey[[#This Row],[perceived_stress_scale]]&lt;=26,"Moderate Stress",stdsurvey[[#This Row],[perceived_stress_scale]]&lt;=40,"High Stress")</f>
        <v>Low Stress</v>
      </c>
      <c r="P124">
        <v>72.900000000000006</v>
      </c>
      <c r="Q124">
        <v>4</v>
      </c>
      <c r="R124" s="4" t="str" cm="1">
        <f t="array" ref="R124">_xlfn.IFS(stdsurvey[[#This Row],[class_attendance_percent]]&lt;60,"Less than 0%",stdsurvey[[#This Row],[class_attendance_percent]]&lt;70,"60-70 %",stdsurvey[[#This Row],[class_attendance_percent]]&lt;80, "70-80%",stdsurvey[[#This Row],[class_attendance_percent]]&lt;90,"80-90%",TRUE,"More than 90%")</f>
        <v>70-80%</v>
      </c>
      <c r="S124" t="s">
        <v>33</v>
      </c>
      <c r="T124">
        <v>3</v>
      </c>
      <c r="U124" t="s">
        <v>23</v>
      </c>
      <c r="V124">
        <v>2.52</v>
      </c>
      <c r="W124" s="4" t="str" cm="1">
        <f t="array" ref="W12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24" s="4" t="str" cm="1">
        <f t="array" ref="X124">_xlfn.IFS(stdsurvey[[#This Row],[daily_sleep_hours]]&lt;4,"&lt; 4 hrs",stdsurvey[[#This Row],[daily_sleep_hours]]&lt;=6,"4-6 hrs",stdsurvey[[#This Row],[daily_sleep_hours]]&lt;=8,"6-8 hrs",TRUE,"&gt; 8 hrs")</f>
        <v>4-6 hrs</v>
      </c>
      <c r="Y124" t="s">
        <v>27</v>
      </c>
    </row>
    <row r="125" spans="1:25" x14ac:dyDescent="0.3">
      <c r="A125" t="s">
        <v>159</v>
      </c>
      <c r="B125">
        <v>19</v>
      </c>
      <c r="C125" t="s">
        <v>45</v>
      </c>
      <c r="D125">
        <v>1</v>
      </c>
      <c r="E125" t="s">
        <v>63</v>
      </c>
      <c r="F125">
        <v>7</v>
      </c>
      <c r="G125">
        <v>3.3</v>
      </c>
      <c r="H125">
        <v>5</v>
      </c>
      <c r="I125">
        <v>15</v>
      </c>
      <c r="J125">
        <v>14</v>
      </c>
      <c r="K125" s="4" t="str" cm="1">
        <f t="array" ref="K125">_xlfn.IFS(stdsurvey[[#This Row],[phq9_score]]="","Answer Not Provided",stdsurvey[[#This Row],[phq9_score]]&lt;=4,"Minimal",stdsurvey[[#This Row],[phq9_score]]&lt;=9,"Mild",stdsurvey[[#This Row],[phq9_score]]&lt;=14,"Moderate",stdsurvey[[#This Row],[phq9_score]]&lt;=19,"Moderately Severe",stdsurvey[[#This Row],[phq9_score]]&lt;=27,"Severe")</f>
        <v>Moderately Severe</v>
      </c>
      <c r="L125">
        <v>20</v>
      </c>
      <c r="M125" s="4" t="str" cm="1">
        <f t="array" ref="M125">_xlfn.IFS(stdsurvey[[#This Row],[gad7_score]]="","Answer Not Provided",stdsurvey[[#This Row],[gad7_score]]&lt;=4,"Minimal",stdsurvey[[#This Row],[gad7_score]]&lt;=9,"Mild",stdsurvey[[#This Row],[gad7_score]]&lt;=14,"Moderate",stdsurvey[[#This Row],[gad7_score]]&lt;=21,"Severe")</f>
        <v>Moderate</v>
      </c>
      <c r="N125">
        <v>21.2</v>
      </c>
      <c r="O125" s="4" t="str" cm="1">
        <f t="array" ref="O125">_xlfn.IFS(stdsurvey[[#This Row],[perceived_stress_scale]]="","Answer Not Provided",stdsurvey[[#This Row],[perceived_stress_scale]]&lt;=13,"Low Stress",stdsurvey[[#This Row],[perceived_stress_scale]]&lt;=26,"Moderate Stress",stdsurvey[[#This Row],[perceived_stress_scale]]&lt;=40,"High Stress")</f>
        <v>Moderate Stress</v>
      </c>
      <c r="P125">
        <v>70</v>
      </c>
      <c r="Q125">
        <v>2</v>
      </c>
      <c r="R125" s="4" t="str" cm="1">
        <f t="array" ref="R125">_xlfn.IFS(stdsurvey[[#This Row],[class_attendance_percent]]&lt;60,"Less than 0%",stdsurvey[[#This Row],[class_attendance_percent]]&lt;70,"60-70 %",stdsurvey[[#This Row],[class_attendance_percent]]&lt;80, "70-80%",stdsurvey[[#This Row],[class_attendance_percent]]&lt;90,"80-90%",TRUE,"More than 90%")</f>
        <v>70-80%</v>
      </c>
      <c r="S125" t="s">
        <v>22</v>
      </c>
      <c r="T125">
        <v>4</v>
      </c>
      <c r="U125" t="s">
        <v>26</v>
      </c>
      <c r="V125">
        <v>3.31</v>
      </c>
      <c r="W125" s="4" t="str" cm="1">
        <f t="array" ref="W12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25" s="4" t="str" cm="1">
        <f t="array" ref="X125">_xlfn.IFS(stdsurvey[[#This Row],[daily_sleep_hours]]&lt;4,"&lt; 4 hrs",stdsurvey[[#This Row],[daily_sleep_hours]]&lt;=6,"4-6 hrs",stdsurvey[[#This Row],[daily_sleep_hours]]&lt;=8,"6-8 hrs",TRUE,"&gt; 8 hrs")</f>
        <v>6-8 hrs</v>
      </c>
      <c r="Y125" t="s">
        <v>20</v>
      </c>
    </row>
    <row r="126" spans="1:25" x14ac:dyDescent="0.3">
      <c r="A126" t="s">
        <v>160</v>
      </c>
      <c r="B126">
        <v>22</v>
      </c>
      <c r="C126" t="s">
        <v>27</v>
      </c>
      <c r="D126">
        <v>1</v>
      </c>
      <c r="E126" t="s">
        <v>21</v>
      </c>
      <c r="F126">
        <v>7.4</v>
      </c>
      <c r="G126">
        <v>2.9</v>
      </c>
      <c r="H126">
        <v>3</v>
      </c>
      <c r="I126">
        <v>15</v>
      </c>
      <c r="J126">
        <v>9</v>
      </c>
      <c r="K126" s="4" t="str" cm="1">
        <f t="array" ref="K126">_xlfn.IFS(stdsurvey[[#This Row],[phq9_score]]="","Answer Not Provided",stdsurvey[[#This Row],[phq9_score]]&lt;=4,"Minimal",stdsurvey[[#This Row],[phq9_score]]&lt;=9,"Mild",stdsurvey[[#This Row],[phq9_score]]&lt;=14,"Moderate",stdsurvey[[#This Row],[phq9_score]]&lt;=19,"Moderately Severe",stdsurvey[[#This Row],[phq9_score]]&lt;=27,"Severe")</f>
        <v>Moderately Severe</v>
      </c>
      <c r="L126">
        <v>15</v>
      </c>
      <c r="M126" s="4" t="str" cm="1">
        <f t="array" ref="M126">_xlfn.IFS(stdsurvey[[#This Row],[gad7_score]]="","Answer Not Provided",stdsurvey[[#This Row],[gad7_score]]&lt;=4,"Minimal",stdsurvey[[#This Row],[gad7_score]]&lt;=9,"Mild",stdsurvey[[#This Row],[gad7_score]]&lt;=14,"Moderate",stdsurvey[[#This Row],[gad7_score]]&lt;=21,"Severe")</f>
        <v>Mild</v>
      </c>
      <c r="N126">
        <v>20</v>
      </c>
      <c r="O126" s="4" t="str" cm="1">
        <f t="array" ref="O126">_xlfn.IFS(stdsurvey[[#This Row],[perceived_stress_scale]]="","Answer Not Provided",stdsurvey[[#This Row],[perceived_stress_scale]]&lt;=13,"Low Stress",stdsurvey[[#This Row],[perceived_stress_scale]]&lt;=26,"Moderate Stress",stdsurvey[[#This Row],[perceived_stress_scale]]&lt;=40,"High Stress")</f>
        <v>Moderate Stress</v>
      </c>
      <c r="P126">
        <v>86.1</v>
      </c>
      <c r="Q126">
        <v>4</v>
      </c>
      <c r="R126" s="4" t="str" cm="1">
        <f t="array" ref="R126">_xlfn.IFS(stdsurvey[[#This Row],[class_attendance_percent]]&lt;60,"Less than 0%",stdsurvey[[#This Row],[class_attendance_percent]]&lt;70,"60-70 %",stdsurvey[[#This Row],[class_attendance_percent]]&lt;80, "70-80%",stdsurvey[[#This Row],[class_attendance_percent]]&lt;90,"80-90%",TRUE,"More than 90%")</f>
        <v>80-90%</v>
      </c>
      <c r="S126" t="s">
        <v>33</v>
      </c>
      <c r="T126">
        <v>3</v>
      </c>
      <c r="U126" t="s">
        <v>26</v>
      </c>
      <c r="V126">
        <v>3</v>
      </c>
      <c r="W126" s="4" t="str" cm="1">
        <f t="array" ref="W12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26" s="4" t="str" cm="1">
        <f t="array" ref="X126">_xlfn.IFS(stdsurvey[[#This Row],[daily_sleep_hours]]&lt;4,"&lt; 4 hrs",stdsurvey[[#This Row],[daily_sleep_hours]]&lt;=6,"4-6 hrs",stdsurvey[[#This Row],[daily_sleep_hours]]&lt;=8,"6-8 hrs",TRUE,"&gt; 8 hrs")</f>
        <v>6-8 hrs</v>
      </c>
      <c r="Y126" t="s">
        <v>27</v>
      </c>
    </row>
    <row r="127" spans="1:25" x14ac:dyDescent="0.3">
      <c r="A127" t="s">
        <v>161</v>
      </c>
      <c r="B127">
        <v>22</v>
      </c>
      <c r="C127" t="s">
        <v>27</v>
      </c>
      <c r="D127">
        <v>1</v>
      </c>
      <c r="E127" t="s">
        <v>49</v>
      </c>
      <c r="F127">
        <v>6.9</v>
      </c>
      <c r="G127">
        <v>2.9</v>
      </c>
      <c r="H127">
        <v>4</v>
      </c>
      <c r="I127">
        <v>7</v>
      </c>
      <c r="J127">
        <v>8</v>
      </c>
      <c r="K127" s="4" t="str" cm="1">
        <f t="array" ref="K127">_xlfn.IFS(stdsurvey[[#This Row],[phq9_score]]="","Answer Not Provided",stdsurvey[[#This Row],[phq9_score]]&lt;=4,"Minimal",stdsurvey[[#This Row],[phq9_score]]&lt;=9,"Mild",stdsurvey[[#This Row],[phq9_score]]&lt;=14,"Moderate",stdsurvey[[#This Row],[phq9_score]]&lt;=19,"Moderately Severe",stdsurvey[[#This Row],[phq9_score]]&lt;=27,"Severe")</f>
        <v>Mild</v>
      </c>
      <c r="L127">
        <v>12</v>
      </c>
      <c r="M127" s="4" t="str" cm="1">
        <f t="array" ref="M127">_xlfn.IFS(stdsurvey[[#This Row],[gad7_score]]="","Answer Not Provided",stdsurvey[[#This Row],[gad7_score]]&lt;=4,"Minimal",stdsurvey[[#This Row],[gad7_score]]&lt;=9,"Mild",stdsurvey[[#This Row],[gad7_score]]&lt;=14,"Moderate",stdsurvey[[#This Row],[gad7_score]]&lt;=21,"Severe")</f>
        <v>Mild</v>
      </c>
      <c r="N127">
        <v>28.7</v>
      </c>
      <c r="O127" s="4" t="str" cm="1">
        <f t="array" ref="O127">_xlfn.IFS(stdsurvey[[#This Row],[perceived_stress_scale]]="","Answer Not Provided",stdsurvey[[#This Row],[perceived_stress_scale]]&lt;=13,"Low Stress",stdsurvey[[#This Row],[perceived_stress_scale]]&lt;=26,"Moderate Stress",stdsurvey[[#This Row],[perceived_stress_scale]]&lt;=40,"High Stress")</f>
        <v>Low Stress</v>
      </c>
      <c r="P127">
        <v>65</v>
      </c>
      <c r="Q127">
        <v>5</v>
      </c>
      <c r="R127" s="4" t="str" cm="1">
        <f t="array" ref="R127">_xlfn.IFS(stdsurvey[[#This Row],[class_attendance_percent]]&lt;60,"Less than 0%",stdsurvey[[#This Row],[class_attendance_percent]]&lt;70,"60-70 %",stdsurvey[[#This Row],[class_attendance_percent]]&lt;80, "70-80%",stdsurvey[[#This Row],[class_attendance_percent]]&lt;90,"80-90%",TRUE,"More than 90%")</f>
        <v>60-70 %</v>
      </c>
      <c r="S127" t="s">
        <v>33</v>
      </c>
      <c r="T127">
        <v>2</v>
      </c>
      <c r="U127" t="s">
        <v>23</v>
      </c>
      <c r="V127">
        <v>3.03</v>
      </c>
      <c r="W127" s="4" t="str" cm="1">
        <f t="array" ref="W12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27" s="4" t="str" cm="1">
        <f t="array" ref="X127">_xlfn.IFS(stdsurvey[[#This Row],[daily_sleep_hours]]&lt;4,"&lt; 4 hrs",stdsurvey[[#This Row],[daily_sleep_hours]]&lt;=6,"4-6 hrs",stdsurvey[[#This Row],[daily_sleep_hours]]&lt;=8,"6-8 hrs",TRUE,"&gt; 8 hrs")</f>
        <v>6-8 hrs</v>
      </c>
      <c r="Y127" t="s">
        <v>27</v>
      </c>
    </row>
    <row r="128" spans="1:25" x14ac:dyDescent="0.3">
      <c r="A128" t="s">
        <v>162</v>
      </c>
      <c r="B128">
        <v>24</v>
      </c>
      <c r="C128" t="s">
        <v>20</v>
      </c>
      <c r="D128">
        <v>1</v>
      </c>
      <c r="E128" t="s">
        <v>21</v>
      </c>
      <c r="F128">
        <v>6.6</v>
      </c>
      <c r="G128">
        <v>7.1</v>
      </c>
      <c r="H128">
        <v>1</v>
      </c>
      <c r="I128">
        <v>2</v>
      </c>
      <c r="J128">
        <v>6</v>
      </c>
      <c r="K128" s="4" t="str" cm="1">
        <f t="array" ref="K128">_xlfn.IFS(stdsurvey[[#This Row],[phq9_score]]="","Answer Not Provided",stdsurvey[[#This Row],[phq9_score]]&lt;=4,"Minimal",stdsurvey[[#This Row],[phq9_score]]&lt;=9,"Mild",stdsurvey[[#This Row],[phq9_score]]&lt;=14,"Moderate",stdsurvey[[#This Row],[phq9_score]]&lt;=19,"Moderately Severe",stdsurvey[[#This Row],[phq9_score]]&lt;=27,"Severe")</f>
        <v>Minimal</v>
      </c>
      <c r="L128">
        <v>9</v>
      </c>
      <c r="M128" s="4" t="str" cm="1">
        <f t="array" ref="M128">_xlfn.IFS(stdsurvey[[#This Row],[gad7_score]]="","Answer Not Provided",stdsurvey[[#This Row],[gad7_score]]&lt;=4,"Minimal",stdsurvey[[#This Row],[gad7_score]]&lt;=9,"Mild",stdsurvey[[#This Row],[gad7_score]]&lt;=14,"Moderate",stdsurvey[[#This Row],[gad7_score]]&lt;=21,"Severe")</f>
        <v>Mild</v>
      </c>
      <c r="N128">
        <v>16.600000000000001</v>
      </c>
      <c r="O128" s="4" t="str" cm="1">
        <f t="array" ref="O128">_xlfn.IFS(stdsurvey[[#This Row],[perceived_stress_scale]]="","Answer Not Provided",stdsurvey[[#This Row],[perceived_stress_scale]]&lt;=13,"Low Stress",stdsurvey[[#This Row],[perceived_stress_scale]]&lt;=26,"Moderate Stress",stdsurvey[[#This Row],[perceived_stress_scale]]&lt;=40,"High Stress")</f>
        <v>Low Stress</v>
      </c>
      <c r="P128">
        <v>88.2</v>
      </c>
      <c r="Q128">
        <v>4</v>
      </c>
      <c r="R128" s="4" t="str" cm="1">
        <f t="array" ref="R128">_xlfn.IFS(stdsurvey[[#This Row],[class_attendance_percent]]&lt;60,"Less than 0%",stdsurvey[[#This Row],[class_attendance_percent]]&lt;70,"60-70 %",stdsurvey[[#This Row],[class_attendance_percent]]&lt;80, "70-80%",stdsurvey[[#This Row],[class_attendance_percent]]&lt;90,"80-90%",TRUE,"More than 90%")</f>
        <v>80-90%</v>
      </c>
      <c r="S128" t="s">
        <v>22</v>
      </c>
      <c r="T128">
        <v>2</v>
      </c>
      <c r="U128" t="s">
        <v>26</v>
      </c>
      <c r="V128">
        <v>3.24</v>
      </c>
      <c r="W128" s="4" t="str" cm="1">
        <f t="array" ref="W12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28" s="4" t="str" cm="1">
        <f t="array" ref="X128">_xlfn.IFS(stdsurvey[[#This Row],[daily_sleep_hours]]&lt;4,"&lt; 4 hrs",stdsurvey[[#This Row],[daily_sleep_hours]]&lt;=6,"4-6 hrs",stdsurvey[[#This Row],[daily_sleep_hours]]&lt;=8,"6-8 hrs",TRUE,"&gt; 8 hrs")</f>
        <v>6-8 hrs</v>
      </c>
      <c r="Y128" t="s">
        <v>20</v>
      </c>
    </row>
    <row r="129" spans="1:25" x14ac:dyDescent="0.3">
      <c r="A129" t="s">
        <v>163</v>
      </c>
      <c r="B129">
        <v>23</v>
      </c>
      <c r="C129" t="s">
        <v>39</v>
      </c>
      <c r="D129">
        <v>4</v>
      </c>
      <c r="E129" t="s">
        <v>63</v>
      </c>
      <c r="F129">
        <v>6.5</v>
      </c>
      <c r="G129">
        <v>7.3</v>
      </c>
      <c r="H129">
        <v>0</v>
      </c>
      <c r="I129">
        <v>3</v>
      </c>
      <c r="J129">
        <v>4</v>
      </c>
      <c r="K129" s="4" t="str" cm="1">
        <f t="array" ref="K129">_xlfn.IFS(stdsurvey[[#This Row],[phq9_score]]="","Answer Not Provided",stdsurvey[[#This Row],[phq9_score]]&lt;=4,"Minimal",stdsurvey[[#This Row],[phq9_score]]&lt;=9,"Mild",stdsurvey[[#This Row],[phq9_score]]&lt;=14,"Moderate",stdsurvey[[#This Row],[phq9_score]]&lt;=19,"Moderately Severe",stdsurvey[[#This Row],[phq9_score]]&lt;=27,"Severe")</f>
        <v>Minimal</v>
      </c>
      <c r="L129">
        <v>11</v>
      </c>
      <c r="M129" s="4" t="str" cm="1">
        <f t="array" ref="M129">_xlfn.IFS(stdsurvey[[#This Row],[gad7_score]]="","Answer Not Provided",stdsurvey[[#This Row],[gad7_score]]&lt;=4,"Minimal",stdsurvey[[#This Row],[gad7_score]]&lt;=9,"Mild",stdsurvey[[#This Row],[gad7_score]]&lt;=14,"Moderate",stdsurvey[[#This Row],[gad7_score]]&lt;=21,"Severe")</f>
        <v>Minimal</v>
      </c>
      <c r="N129">
        <v>2.6</v>
      </c>
      <c r="O129" s="4" t="str" cm="1">
        <f t="array" ref="O129">_xlfn.IFS(stdsurvey[[#This Row],[perceived_stress_scale]]="","Answer Not Provided",stdsurvey[[#This Row],[perceived_stress_scale]]&lt;=13,"Low Stress",stdsurvey[[#This Row],[perceived_stress_scale]]&lt;=26,"Moderate Stress",stdsurvey[[#This Row],[perceived_stress_scale]]&lt;=40,"High Stress")</f>
        <v>Low Stress</v>
      </c>
      <c r="P129">
        <v>72.599999999999994</v>
      </c>
      <c r="Q129">
        <v>3</v>
      </c>
      <c r="R129" s="4" t="str" cm="1">
        <f t="array" ref="R129">_xlfn.IFS(stdsurvey[[#This Row],[class_attendance_percent]]&lt;60,"Less than 0%",stdsurvey[[#This Row],[class_attendance_percent]]&lt;70,"60-70 %",stdsurvey[[#This Row],[class_attendance_percent]]&lt;80, "70-80%",stdsurvey[[#This Row],[class_attendance_percent]]&lt;90,"80-90%",TRUE,"More than 90%")</f>
        <v>70-80%</v>
      </c>
      <c r="S129" t="s">
        <v>33</v>
      </c>
      <c r="T129">
        <v>4</v>
      </c>
      <c r="U129" t="s">
        <v>23</v>
      </c>
      <c r="V129">
        <v>2.59</v>
      </c>
      <c r="W129" s="4" t="str" cm="1">
        <f t="array" ref="W12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29" s="4" t="str" cm="1">
        <f t="array" ref="X129">_xlfn.IFS(stdsurvey[[#This Row],[daily_sleep_hours]]&lt;4,"&lt; 4 hrs",stdsurvey[[#This Row],[daily_sleep_hours]]&lt;=6,"4-6 hrs",stdsurvey[[#This Row],[daily_sleep_hours]]&lt;=8,"6-8 hrs",TRUE,"&gt; 8 hrs")</f>
        <v>6-8 hrs</v>
      </c>
      <c r="Y129" t="s">
        <v>27</v>
      </c>
    </row>
    <row r="130" spans="1:25" x14ac:dyDescent="0.3">
      <c r="A130" t="s">
        <v>164</v>
      </c>
      <c r="B130">
        <v>22</v>
      </c>
      <c r="C130" t="s">
        <v>25</v>
      </c>
      <c r="D130">
        <v>2</v>
      </c>
      <c r="E130" t="s">
        <v>30</v>
      </c>
      <c r="F130">
        <v>5.6</v>
      </c>
      <c r="G130">
        <v>5.3</v>
      </c>
      <c r="H130">
        <v>3</v>
      </c>
      <c r="I130">
        <v>10</v>
      </c>
      <c r="J130">
        <v>10</v>
      </c>
      <c r="K130" s="4" t="str" cm="1">
        <f t="array" ref="K130">_xlfn.IFS(stdsurvey[[#This Row],[phq9_score]]="","Answer Not Provided",stdsurvey[[#This Row],[phq9_score]]&lt;=4,"Minimal",stdsurvey[[#This Row],[phq9_score]]&lt;=9,"Mild",stdsurvey[[#This Row],[phq9_score]]&lt;=14,"Moderate",stdsurvey[[#This Row],[phq9_score]]&lt;=19,"Moderately Severe",stdsurvey[[#This Row],[phq9_score]]&lt;=27,"Severe")</f>
        <v>Moderate</v>
      </c>
      <c r="L130">
        <v>13</v>
      </c>
      <c r="M130" s="4" t="str" cm="1">
        <f t="array" ref="M130">_xlfn.IFS(stdsurvey[[#This Row],[gad7_score]]="","Answer Not Provided",stdsurvey[[#This Row],[gad7_score]]&lt;=4,"Minimal",stdsurvey[[#This Row],[gad7_score]]&lt;=9,"Mild",stdsurvey[[#This Row],[gad7_score]]&lt;=14,"Moderate",stdsurvey[[#This Row],[gad7_score]]&lt;=21,"Severe")</f>
        <v>Moderate</v>
      </c>
      <c r="N130">
        <v>18.8</v>
      </c>
      <c r="O130" s="4" t="str" cm="1">
        <f t="array" ref="O130">_xlfn.IFS(stdsurvey[[#This Row],[perceived_stress_scale]]="","Answer Not Provided",stdsurvey[[#This Row],[perceived_stress_scale]]&lt;=13,"Low Stress",stdsurvey[[#This Row],[perceived_stress_scale]]&lt;=26,"Moderate Stress",stdsurvey[[#This Row],[perceived_stress_scale]]&lt;=40,"High Stress")</f>
        <v>Low Stress</v>
      </c>
      <c r="P130">
        <v>96.8</v>
      </c>
      <c r="Q130">
        <v>1</v>
      </c>
      <c r="R130" s="4" t="str" cm="1">
        <f t="array" ref="R130">_xlfn.IFS(stdsurvey[[#This Row],[class_attendance_percent]]&lt;60,"Less than 0%",stdsurvey[[#This Row],[class_attendance_percent]]&lt;70,"60-70 %",stdsurvey[[#This Row],[class_attendance_percent]]&lt;80, "70-80%",stdsurvey[[#This Row],[class_attendance_percent]]&lt;90,"80-90%",TRUE,"More than 90%")</f>
        <v>More than 90%</v>
      </c>
      <c r="S130" t="s">
        <v>22</v>
      </c>
      <c r="T130">
        <v>2</v>
      </c>
      <c r="U130" t="s">
        <v>23</v>
      </c>
      <c r="V130">
        <v>2.2999999999999998</v>
      </c>
      <c r="W130" s="4" t="str" cm="1">
        <f t="array" ref="W13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30" s="4" t="str" cm="1">
        <f t="array" ref="X130">_xlfn.IFS(stdsurvey[[#This Row],[daily_sleep_hours]]&lt;4,"&lt; 4 hrs",stdsurvey[[#This Row],[daily_sleep_hours]]&lt;=6,"4-6 hrs",stdsurvey[[#This Row],[daily_sleep_hours]]&lt;=8,"6-8 hrs",TRUE,"&gt; 8 hrs")</f>
        <v>4-6 hrs</v>
      </c>
      <c r="Y130" t="s">
        <v>27</v>
      </c>
    </row>
    <row r="131" spans="1:25" x14ac:dyDescent="0.3">
      <c r="A131" t="s">
        <v>165</v>
      </c>
      <c r="B131">
        <v>25</v>
      </c>
      <c r="C131" t="s">
        <v>29</v>
      </c>
      <c r="D131">
        <v>5</v>
      </c>
      <c r="E131" t="s">
        <v>21</v>
      </c>
      <c r="F131">
        <v>9.6</v>
      </c>
      <c r="G131">
        <v>2</v>
      </c>
      <c r="H131">
        <v>0</v>
      </c>
      <c r="I131">
        <v>5</v>
      </c>
      <c r="J131">
        <v>9</v>
      </c>
      <c r="K131" s="4" t="str" cm="1">
        <f t="array" ref="K131">_xlfn.IFS(stdsurvey[[#This Row],[phq9_score]]="","Answer Not Provided",stdsurvey[[#This Row],[phq9_score]]&lt;=4,"Minimal",stdsurvey[[#This Row],[phq9_score]]&lt;=9,"Mild",stdsurvey[[#This Row],[phq9_score]]&lt;=14,"Moderate",stdsurvey[[#This Row],[phq9_score]]&lt;=19,"Moderately Severe",stdsurvey[[#This Row],[phq9_score]]&lt;=27,"Severe")</f>
        <v>Mild</v>
      </c>
      <c r="L131">
        <v>13</v>
      </c>
      <c r="M131" s="4" t="str" cm="1">
        <f t="array" ref="M131">_xlfn.IFS(stdsurvey[[#This Row],[gad7_score]]="","Answer Not Provided",stdsurvey[[#This Row],[gad7_score]]&lt;=4,"Minimal",stdsurvey[[#This Row],[gad7_score]]&lt;=9,"Mild",stdsurvey[[#This Row],[gad7_score]]&lt;=14,"Moderate",stdsurvey[[#This Row],[gad7_score]]&lt;=21,"Severe")</f>
        <v>Mild</v>
      </c>
      <c r="N131">
        <v>18.600000000000001</v>
      </c>
      <c r="O131" s="4" t="str" cm="1">
        <f t="array" ref="O131">_xlfn.IFS(stdsurvey[[#This Row],[perceived_stress_scale]]="","Answer Not Provided",stdsurvey[[#This Row],[perceived_stress_scale]]&lt;=13,"Low Stress",stdsurvey[[#This Row],[perceived_stress_scale]]&lt;=26,"Moderate Stress",stdsurvey[[#This Row],[perceived_stress_scale]]&lt;=40,"High Stress")</f>
        <v>Low Stress</v>
      </c>
      <c r="P131">
        <v>77.400000000000006</v>
      </c>
      <c r="Q131">
        <v>5</v>
      </c>
      <c r="R131" s="4" t="str" cm="1">
        <f t="array" ref="R131">_xlfn.IFS(stdsurvey[[#This Row],[class_attendance_percent]]&lt;60,"Less than 0%",stdsurvey[[#This Row],[class_attendance_percent]]&lt;70,"60-70 %",stdsurvey[[#This Row],[class_attendance_percent]]&lt;80, "70-80%",stdsurvey[[#This Row],[class_attendance_percent]]&lt;90,"80-90%",TRUE,"More than 90%")</f>
        <v>70-80%</v>
      </c>
      <c r="S131" t="s">
        <v>33</v>
      </c>
      <c r="T131">
        <v>4</v>
      </c>
      <c r="U131" t="s">
        <v>51</v>
      </c>
      <c r="V131">
        <v>2.84</v>
      </c>
      <c r="W131" s="4" t="str" cm="1">
        <f t="array" ref="W13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31" s="4" t="str" cm="1">
        <f t="array" ref="X131">_xlfn.IFS(stdsurvey[[#This Row],[daily_sleep_hours]]&lt;4,"&lt; 4 hrs",stdsurvey[[#This Row],[daily_sleep_hours]]&lt;=6,"4-6 hrs",stdsurvey[[#This Row],[daily_sleep_hours]]&lt;=8,"6-8 hrs",TRUE,"&gt; 8 hrs")</f>
        <v>&gt; 8 hrs</v>
      </c>
      <c r="Y131" t="s">
        <v>29</v>
      </c>
    </row>
    <row r="132" spans="1:25" x14ac:dyDescent="0.3">
      <c r="A132" t="s">
        <v>166</v>
      </c>
      <c r="B132">
        <v>19</v>
      </c>
      <c r="C132" t="s">
        <v>27</v>
      </c>
      <c r="D132">
        <v>1</v>
      </c>
      <c r="E132" t="s">
        <v>47</v>
      </c>
      <c r="F132">
        <v>6.4</v>
      </c>
      <c r="G132">
        <v>4</v>
      </c>
      <c r="H132">
        <v>5</v>
      </c>
      <c r="I132">
        <v>6</v>
      </c>
      <c r="J132">
        <v>10</v>
      </c>
      <c r="K132" s="4" t="str" cm="1">
        <f t="array" ref="K132">_xlfn.IFS(stdsurvey[[#This Row],[phq9_score]]="","Answer Not Provided",stdsurvey[[#This Row],[phq9_score]]&lt;=4,"Minimal",stdsurvey[[#This Row],[phq9_score]]&lt;=9,"Mild",stdsurvey[[#This Row],[phq9_score]]&lt;=14,"Moderate",stdsurvey[[#This Row],[phq9_score]]&lt;=19,"Moderately Severe",stdsurvey[[#This Row],[phq9_score]]&lt;=27,"Severe")</f>
        <v>Mild</v>
      </c>
      <c r="L132">
        <v>13</v>
      </c>
      <c r="M132" s="4" t="str" cm="1">
        <f t="array" ref="M132">_xlfn.IFS(stdsurvey[[#This Row],[gad7_score]]="","Answer Not Provided",stdsurvey[[#This Row],[gad7_score]]&lt;=4,"Minimal",stdsurvey[[#This Row],[gad7_score]]&lt;=9,"Mild",stdsurvey[[#This Row],[gad7_score]]&lt;=14,"Moderate",stdsurvey[[#This Row],[gad7_score]]&lt;=21,"Severe")</f>
        <v>Moderate</v>
      </c>
      <c r="N132">
        <v>14.3</v>
      </c>
      <c r="O132" s="4" t="str" cm="1">
        <f t="array" ref="O132">_xlfn.IFS(stdsurvey[[#This Row],[perceived_stress_scale]]="","Answer Not Provided",stdsurvey[[#This Row],[perceived_stress_scale]]&lt;=13,"Low Stress",stdsurvey[[#This Row],[perceived_stress_scale]]&lt;=26,"Moderate Stress",stdsurvey[[#This Row],[perceived_stress_scale]]&lt;=40,"High Stress")</f>
        <v>Low Stress</v>
      </c>
      <c r="P132">
        <v>88.8</v>
      </c>
      <c r="Q132">
        <v>3</v>
      </c>
      <c r="R132" s="4" t="str" cm="1">
        <f t="array" ref="R132">_xlfn.IFS(stdsurvey[[#This Row],[class_attendance_percent]]&lt;60,"Less than 0%",stdsurvey[[#This Row],[class_attendance_percent]]&lt;70,"60-70 %",stdsurvey[[#This Row],[class_attendance_percent]]&lt;80, "70-80%",stdsurvey[[#This Row],[class_attendance_percent]]&lt;90,"80-90%",TRUE,"More than 90%")</f>
        <v>80-90%</v>
      </c>
      <c r="S132" t="s">
        <v>22</v>
      </c>
      <c r="T132">
        <v>3</v>
      </c>
      <c r="U132" t="s">
        <v>51</v>
      </c>
      <c r="V132">
        <v>2.76</v>
      </c>
      <c r="W132" s="4" t="str" cm="1">
        <f t="array" ref="W13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32" s="4" t="str" cm="1">
        <f t="array" ref="X132">_xlfn.IFS(stdsurvey[[#This Row],[daily_sleep_hours]]&lt;4,"&lt; 4 hrs",stdsurvey[[#This Row],[daily_sleep_hours]]&lt;=6,"4-6 hrs",stdsurvey[[#This Row],[daily_sleep_hours]]&lt;=8,"6-8 hrs",TRUE,"&gt; 8 hrs")</f>
        <v>6-8 hrs</v>
      </c>
      <c r="Y132" t="s">
        <v>27</v>
      </c>
    </row>
    <row r="133" spans="1:25" x14ac:dyDescent="0.3">
      <c r="A133" t="s">
        <v>167</v>
      </c>
      <c r="B133">
        <v>20</v>
      </c>
      <c r="C133" t="s">
        <v>20</v>
      </c>
      <c r="D133">
        <v>3</v>
      </c>
      <c r="E133" t="s">
        <v>30</v>
      </c>
      <c r="F133">
        <v>3</v>
      </c>
      <c r="G133">
        <v>12.8</v>
      </c>
      <c r="H133">
        <v>4</v>
      </c>
      <c r="I133">
        <v>3</v>
      </c>
      <c r="J133">
        <v>4</v>
      </c>
      <c r="K133" s="4" t="str" cm="1">
        <f t="array" ref="K133">_xlfn.IFS(stdsurvey[[#This Row],[phq9_score]]="","Answer Not Provided",stdsurvey[[#This Row],[phq9_score]]&lt;=4,"Minimal",stdsurvey[[#This Row],[phq9_score]]&lt;=9,"Mild",stdsurvey[[#This Row],[phq9_score]]&lt;=14,"Moderate",stdsurvey[[#This Row],[phq9_score]]&lt;=19,"Moderately Severe",stdsurvey[[#This Row],[phq9_score]]&lt;=27,"Severe")</f>
        <v>Minimal</v>
      </c>
      <c r="L133">
        <v>10</v>
      </c>
      <c r="M133" s="4" t="str" cm="1">
        <f t="array" ref="M133">_xlfn.IFS(stdsurvey[[#This Row],[gad7_score]]="","Answer Not Provided",stdsurvey[[#This Row],[gad7_score]]&lt;=4,"Minimal",stdsurvey[[#This Row],[gad7_score]]&lt;=9,"Mild",stdsurvey[[#This Row],[gad7_score]]&lt;=14,"Moderate",stdsurvey[[#This Row],[gad7_score]]&lt;=21,"Severe")</f>
        <v>Minimal</v>
      </c>
      <c r="N133">
        <v>20.8</v>
      </c>
      <c r="O133" s="4" t="str" cm="1">
        <f t="array" ref="O133">_xlfn.IFS(stdsurvey[[#This Row],[perceived_stress_scale]]="","Answer Not Provided",stdsurvey[[#This Row],[perceived_stress_scale]]&lt;=13,"Low Stress",stdsurvey[[#This Row],[perceived_stress_scale]]&lt;=26,"Moderate Stress",stdsurvey[[#This Row],[perceived_stress_scale]]&lt;=40,"High Stress")</f>
        <v>Low Stress</v>
      </c>
      <c r="P133">
        <v>80.3</v>
      </c>
      <c r="Q133">
        <v>3</v>
      </c>
      <c r="R133" s="4" t="str" cm="1">
        <f t="array" ref="R133">_xlfn.IFS(stdsurvey[[#This Row],[class_attendance_percent]]&lt;60,"Less than 0%",stdsurvey[[#This Row],[class_attendance_percent]]&lt;70,"60-70 %",stdsurvey[[#This Row],[class_attendance_percent]]&lt;80, "70-80%",stdsurvey[[#This Row],[class_attendance_percent]]&lt;90,"80-90%",TRUE,"More than 90%")</f>
        <v>80-90%</v>
      </c>
      <c r="S133" t="s">
        <v>22</v>
      </c>
      <c r="T133">
        <v>2</v>
      </c>
      <c r="U133" t="s">
        <v>23</v>
      </c>
      <c r="V133">
        <v>3.39</v>
      </c>
      <c r="W133" s="4" t="str" cm="1">
        <f t="array" ref="W13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33" s="4" t="str" cm="1">
        <f t="array" ref="X133">_xlfn.IFS(stdsurvey[[#This Row],[daily_sleep_hours]]&lt;4,"&lt; 4 hrs",stdsurvey[[#This Row],[daily_sleep_hours]]&lt;=6,"4-6 hrs",stdsurvey[[#This Row],[daily_sleep_hours]]&lt;=8,"6-8 hrs",TRUE,"&gt; 8 hrs")</f>
        <v>&lt; 4 hrs</v>
      </c>
      <c r="Y133" t="s">
        <v>20</v>
      </c>
    </row>
    <row r="134" spans="1:25" x14ac:dyDescent="0.3">
      <c r="A134" t="s">
        <v>168</v>
      </c>
      <c r="B134">
        <v>20</v>
      </c>
      <c r="C134" t="s">
        <v>27</v>
      </c>
      <c r="D134">
        <v>2</v>
      </c>
      <c r="E134" t="s">
        <v>47</v>
      </c>
      <c r="F134">
        <v>3.2</v>
      </c>
      <c r="G134">
        <v>16</v>
      </c>
      <c r="H134">
        <v>6</v>
      </c>
      <c r="I134">
        <v>3</v>
      </c>
      <c r="J134">
        <v>3</v>
      </c>
      <c r="K134" s="4" t="str" cm="1">
        <f t="array" ref="K134">_xlfn.IFS(stdsurvey[[#This Row],[phq9_score]]="","Answer Not Provided",stdsurvey[[#This Row],[phq9_score]]&lt;=4,"Minimal",stdsurvey[[#This Row],[phq9_score]]&lt;=9,"Mild",stdsurvey[[#This Row],[phq9_score]]&lt;=14,"Moderate",stdsurvey[[#This Row],[phq9_score]]&lt;=19,"Moderately Severe",stdsurvey[[#This Row],[phq9_score]]&lt;=27,"Severe")</f>
        <v>Minimal</v>
      </c>
      <c r="L134">
        <v>7</v>
      </c>
      <c r="M134" s="4" t="str" cm="1">
        <f t="array" ref="M134">_xlfn.IFS(stdsurvey[[#This Row],[gad7_score]]="","Answer Not Provided",stdsurvey[[#This Row],[gad7_score]]&lt;=4,"Minimal",stdsurvey[[#This Row],[gad7_score]]&lt;=9,"Mild",stdsurvey[[#This Row],[gad7_score]]&lt;=14,"Moderate",stdsurvey[[#This Row],[gad7_score]]&lt;=21,"Severe")</f>
        <v>Minimal</v>
      </c>
      <c r="N134">
        <v>19.100000000000001</v>
      </c>
      <c r="O134" s="4" t="str" cm="1">
        <f t="array" ref="O134">_xlfn.IFS(stdsurvey[[#This Row],[perceived_stress_scale]]="","Answer Not Provided",stdsurvey[[#This Row],[perceived_stress_scale]]&lt;=13,"Low Stress",stdsurvey[[#This Row],[perceived_stress_scale]]&lt;=26,"Moderate Stress",stdsurvey[[#This Row],[perceived_stress_scale]]&lt;=40,"High Stress")</f>
        <v>Low Stress</v>
      </c>
      <c r="P134">
        <v>93.4</v>
      </c>
      <c r="Q134">
        <v>4</v>
      </c>
      <c r="R134" s="4" t="str" cm="1">
        <f t="array" ref="R134">_xlfn.IFS(stdsurvey[[#This Row],[class_attendance_percent]]&lt;60,"Less than 0%",stdsurvey[[#This Row],[class_attendance_percent]]&lt;70,"60-70 %",stdsurvey[[#This Row],[class_attendance_percent]]&lt;80, "70-80%",stdsurvey[[#This Row],[class_attendance_percent]]&lt;90,"80-90%",TRUE,"More than 90%")</f>
        <v>More than 90%</v>
      </c>
      <c r="S134" t="s">
        <v>22</v>
      </c>
      <c r="T134">
        <v>4</v>
      </c>
      <c r="U134" t="s">
        <v>26</v>
      </c>
      <c r="V134">
        <v>3.47</v>
      </c>
      <c r="W134" s="4" t="str" cm="1">
        <f t="array" ref="W13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34" s="4" t="str" cm="1">
        <f t="array" ref="X134">_xlfn.IFS(stdsurvey[[#This Row],[daily_sleep_hours]]&lt;4,"&lt; 4 hrs",stdsurvey[[#This Row],[daily_sleep_hours]]&lt;=6,"4-6 hrs",stdsurvey[[#This Row],[daily_sleep_hours]]&lt;=8,"6-8 hrs",TRUE,"&gt; 8 hrs")</f>
        <v>&lt; 4 hrs</v>
      </c>
      <c r="Y134" t="s">
        <v>27</v>
      </c>
    </row>
    <row r="135" spans="1:25" x14ac:dyDescent="0.3">
      <c r="A135" t="s">
        <v>169</v>
      </c>
      <c r="B135">
        <v>21</v>
      </c>
      <c r="C135" t="s">
        <v>20</v>
      </c>
      <c r="D135">
        <v>2</v>
      </c>
      <c r="E135" t="s">
        <v>21</v>
      </c>
      <c r="F135">
        <v>3.5</v>
      </c>
      <c r="G135">
        <v>7.9</v>
      </c>
      <c r="H135">
        <v>2</v>
      </c>
      <c r="I135">
        <v>7</v>
      </c>
      <c r="J135">
        <v>5</v>
      </c>
      <c r="K135" s="4" t="str" cm="1">
        <f t="array" ref="K135">_xlfn.IFS(stdsurvey[[#This Row],[phq9_score]]="","Answer Not Provided",stdsurvey[[#This Row],[phq9_score]]&lt;=4,"Minimal",stdsurvey[[#This Row],[phq9_score]]&lt;=9,"Mild",stdsurvey[[#This Row],[phq9_score]]&lt;=14,"Moderate",stdsurvey[[#This Row],[phq9_score]]&lt;=19,"Moderately Severe",stdsurvey[[#This Row],[phq9_score]]&lt;=27,"Severe")</f>
        <v>Mild</v>
      </c>
      <c r="L135">
        <v>16</v>
      </c>
      <c r="M135" s="4" t="str" cm="1">
        <f t="array" ref="M135">_xlfn.IFS(stdsurvey[[#This Row],[gad7_score]]="","Answer Not Provided",stdsurvey[[#This Row],[gad7_score]]&lt;=4,"Minimal",stdsurvey[[#This Row],[gad7_score]]&lt;=9,"Mild",stdsurvey[[#This Row],[gad7_score]]&lt;=14,"Moderate",stdsurvey[[#This Row],[gad7_score]]&lt;=21,"Severe")</f>
        <v>Mild</v>
      </c>
      <c r="N135">
        <v>5.9</v>
      </c>
      <c r="O135" s="4" t="str" cm="1">
        <f t="array" ref="O135">_xlfn.IFS(stdsurvey[[#This Row],[perceived_stress_scale]]="","Answer Not Provided",stdsurvey[[#This Row],[perceived_stress_scale]]&lt;=13,"Low Stress",stdsurvey[[#This Row],[perceived_stress_scale]]&lt;=26,"Moderate Stress",stdsurvey[[#This Row],[perceived_stress_scale]]&lt;=40,"High Stress")</f>
        <v>Moderate Stress</v>
      </c>
      <c r="P135">
        <v>78.599999999999994</v>
      </c>
      <c r="Q135">
        <v>3</v>
      </c>
      <c r="R135" s="4" t="str" cm="1">
        <f t="array" ref="R135">_xlfn.IFS(stdsurvey[[#This Row],[class_attendance_percent]]&lt;60,"Less than 0%",stdsurvey[[#This Row],[class_attendance_percent]]&lt;70,"60-70 %",stdsurvey[[#This Row],[class_attendance_percent]]&lt;80, "70-80%",stdsurvey[[#This Row],[class_attendance_percent]]&lt;90,"80-90%",TRUE,"More than 90%")</f>
        <v>70-80%</v>
      </c>
      <c r="S135" t="s">
        <v>33</v>
      </c>
      <c r="T135">
        <v>3</v>
      </c>
      <c r="U135" t="s">
        <v>26</v>
      </c>
      <c r="V135">
        <v>2.73</v>
      </c>
      <c r="W135" s="4" t="str" cm="1">
        <f t="array" ref="W13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35" s="4" t="str" cm="1">
        <f t="array" ref="X135">_xlfn.IFS(stdsurvey[[#This Row],[daily_sleep_hours]]&lt;4,"&lt; 4 hrs",stdsurvey[[#This Row],[daily_sleep_hours]]&lt;=6,"4-6 hrs",stdsurvey[[#This Row],[daily_sleep_hours]]&lt;=8,"6-8 hrs",TRUE,"&gt; 8 hrs")</f>
        <v>&lt; 4 hrs</v>
      </c>
      <c r="Y135" t="s">
        <v>20</v>
      </c>
    </row>
    <row r="136" spans="1:25" x14ac:dyDescent="0.3">
      <c r="A136" t="s">
        <v>170</v>
      </c>
      <c r="B136">
        <v>19</v>
      </c>
      <c r="C136" t="s">
        <v>29</v>
      </c>
      <c r="D136">
        <v>4</v>
      </c>
      <c r="E136" t="s">
        <v>63</v>
      </c>
      <c r="F136">
        <v>6.1</v>
      </c>
      <c r="G136">
        <v>2</v>
      </c>
      <c r="H136">
        <v>3</v>
      </c>
      <c r="I136">
        <v>2</v>
      </c>
      <c r="J136">
        <v>5</v>
      </c>
      <c r="K136" s="4" t="str" cm="1">
        <f t="array" ref="K136">_xlfn.IFS(stdsurvey[[#This Row],[phq9_score]]="","Answer Not Provided",stdsurvey[[#This Row],[phq9_score]]&lt;=4,"Minimal",stdsurvey[[#This Row],[phq9_score]]&lt;=9,"Mild",stdsurvey[[#This Row],[phq9_score]]&lt;=14,"Moderate",stdsurvey[[#This Row],[phq9_score]]&lt;=19,"Moderately Severe",stdsurvey[[#This Row],[phq9_score]]&lt;=27,"Severe")</f>
        <v>Minimal</v>
      </c>
      <c r="L136">
        <v>8</v>
      </c>
      <c r="M136" s="4" t="str" cm="1">
        <f t="array" ref="M136">_xlfn.IFS(stdsurvey[[#This Row],[gad7_score]]="","Answer Not Provided",stdsurvey[[#This Row],[gad7_score]]&lt;=4,"Minimal",stdsurvey[[#This Row],[gad7_score]]&lt;=9,"Mild",stdsurvey[[#This Row],[gad7_score]]&lt;=14,"Moderate",stdsurvey[[#This Row],[gad7_score]]&lt;=21,"Severe")</f>
        <v>Mild</v>
      </c>
      <c r="N136">
        <v>23.9</v>
      </c>
      <c r="O136" s="4" t="str" cm="1">
        <f t="array" ref="O136">_xlfn.IFS(stdsurvey[[#This Row],[perceived_stress_scale]]="","Answer Not Provided",stdsurvey[[#This Row],[perceived_stress_scale]]&lt;=13,"Low Stress",stdsurvey[[#This Row],[perceived_stress_scale]]&lt;=26,"Moderate Stress",stdsurvey[[#This Row],[perceived_stress_scale]]&lt;=40,"High Stress")</f>
        <v>Low Stress</v>
      </c>
      <c r="P136">
        <v>57.4</v>
      </c>
      <c r="Q136">
        <v>4</v>
      </c>
      <c r="R136" s="4" t="str" cm="1">
        <f t="array" ref="R136">_xlfn.IFS(stdsurvey[[#This Row],[class_attendance_percent]]&lt;60,"Less than 0%",stdsurvey[[#This Row],[class_attendance_percent]]&lt;70,"60-70 %",stdsurvey[[#This Row],[class_attendance_percent]]&lt;80, "70-80%",stdsurvey[[#This Row],[class_attendance_percent]]&lt;90,"80-90%",TRUE,"More than 90%")</f>
        <v>Less than 0%</v>
      </c>
      <c r="S136" t="s">
        <v>33</v>
      </c>
      <c r="T136">
        <v>1</v>
      </c>
      <c r="U136" t="s">
        <v>23</v>
      </c>
      <c r="V136">
        <v>2.94</v>
      </c>
      <c r="W136" s="4" t="str" cm="1">
        <f t="array" ref="W13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36" s="4" t="str" cm="1">
        <f t="array" ref="X136">_xlfn.IFS(stdsurvey[[#This Row],[daily_sleep_hours]]&lt;4,"&lt; 4 hrs",stdsurvey[[#This Row],[daily_sleep_hours]]&lt;=6,"4-6 hrs",stdsurvey[[#This Row],[daily_sleep_hours]]&lt;=8,"6-8 hrs",TRUE,"&gt; 8 hrs")</f>
        <v>6-8 hrs</v>
      </c>
      <c r="Y136" t="s">
        <v>29</v>
      </c>
    </row>
    <row r="137" spans="1:25" x14ac:dyDescent="0.3">
      <c r="A137" t="s">
        <v>171</v>
      </c>
      <c r="B137">
        <v>23</v>
      </c>
      <c r="C137" t="s">
        <v>61</v>
      </c>
      <c r="D137">
        <v>5</v>
      </c>
      <c r="E137" t="s">
        <v>47</v>
      </c>
      <c r="F137">
        <v>6.4</v>
      </c>
      <c r="G137">
        <v>4</v>
      </c>
      <c r="H137">
        <v>4</v>
      </c>
      <c r="I137">
        <v>2</v>
      </c>
      <c r="J137">
        <v>1</v>
      </c>
      <c r="K137" s="4" t="str" cm="1">
        <f t="array" ref="K137">_xlfn.IFS(stdsurvey[[#This Row],[phq9_score]]="","Answer Not Provided",stdsurvey[[#This Row],[phq9_score]]&lt;=4,"Minimal",stdsurvey[[#This Row],[phq9_score]]&lt;=9,"Mild",stdsurvey[[#This Row],[phq9_score]]&lt;=14,"Moderate",stdsurvey[[#This Row],[phq9_score]]&lt;=19,"Moderately Severe",stdsurvey[[#This Row],[phq9_score]]&lt;=27,"Severe")</f>
        <v>Minimal</v>
      </c>
      <c r="L137">
        <v>12</v>
      </c>
      <c r="M137" s="4" t="str" cm="1">
        <f t="array" ref="M137">_xlfn.IFS(stdsurvey[[#This Row],[gad7_score]]="","Answer Not Provided",stdsurvey[[#This Row],[gad7_score]]&lt;=4,"Minimal",stdsurvey[[#This Row],[gad7_score]]&lt;=9,"Mild",stdsurvey[[#This Row],[gad7_score]]&lt;=14,"Moderate",stdsurvey[[#This Row],[gad7_score]]&lt;=21,"Severe")</f>
        <v>Minimal</v>
      </c>
      <c r="N137">
        <v>15.6</v>
      </c>
      <c r="O137" s="4" t="str" cm="1">
        <f t="array" ref="O137">_xlfn.IFS(stdsurvey[[#This Row],[perceived_stress_scale]]="","Answer Not Provided",stdsurvey[[#This Row],[perceived_stress_scale]]&lt;=13,"Low Stress",stdsurvey[[#This Row],[perceived_stress_scale]]&lt;=26,"Moderate Stress",stdsurvey[[#This Row],[perceived_stress_scale]]&lt;=40,"High Stress")</f>
        <v>Low Stress</v>
      </c>
      <c r="P137">
        <v>93.8</v>
      </c>
      <c r="Q137">
        <v>1</v>
      </c>
      <c r="R137" s="4" t="str" cm="1">
        <f t="array" ref="R137">_xlfn.IFS(stdsurvey[[#This Row],[class_attendance_percent]]&lt;60,"Less than 0%",stdsurvey[[#This Row],[class_attendance_percent]]&lt;70,"60-70 %",stdsurvey[[#This Row],[class_attendance_percent]]&lt;80, "70-80%",stdsurvey[[#This Row],[class_attendance_percent]]&lt;90,"80-90%",TRUE,"More than 90%")</f>
        <v>More than 90%</v>
      </c>
      <c r="S137" t="s">
        <v>33</v>
      </c>
      <c r="T137">
        <v>5</v>
      </c>
      <c r="U137" t="s">
        <v>26</v>
      </c>
      <c r="V137">
        <v>2.95</v>
      </c>
      <c r="W137" s="4" t="str" cm="1">
        <f t="array" ref="W13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37" s="4" t="str" cm="1">
        <f t="array" ref="X137">_xlfn.IFS(stdsurvey[[#This Row],[daily_sleep_hours]]&lt;4,"&lt; 4 hrs",stdsurvey[[#This Row],[daily_sleep_hours]]&lt;=6,"4-6 hrs",stdsurvey[[#This Row],[daily_sleep_hours]]&lt;=8,"6-8 hrs",TRUE,"&gt; 8 hrs")</f>
        <v>6-8 hrs</v>
      </c>
      <c r="Y137" t="s">
        <v>61</v>
      </c>
    </row>
    <row r="138" spans="1:25" x14ac:dyDescent="0.3">
      <c r="A138" t="s">
        <v>172</v>
      </c>
      <c r="B138">
        <v>21</v>
      </c>
      <c r="C138" t="s">
        <v>20</v>
      </c>
      <c r="D138">
        <v>4</v>
      </c>
      <c r="E138" t="s">
        <v>30</v>
      </c>
      <c r="F138">
        <v>6.5</v>
      </c>
      <c r="G138">
        <v>5</v>
      </c>
      <c r="H138">
        <v>1</v>
      </c>
      <c r="I138">
        <v>2</v>
      </c>
      <c r="J138">
        <v>3</v>
      </c>
      <c r="K138" s="4" t="str" cm="1">
        <f t="array" ref="K138">_xlfn.IFS(stdsurvey[[#This Row],[phq9_score]]="","Answer Not Provided",stdsurvey[[#This Row],[phq9_score]]&lt;=4,"Minimal",stdsurvey[[#This Row],[phq9_score]]&lt;=9,"Mild",stdsurvey[[#This Row],[phq9_score]]&lt;=14,"Moderate",stdsurvey[[#This Row],[phq9_score]]&lt;=19,"Moderately Severe",stdsurvey[[#This Row],[phq9_score]]&lt;=27,"Severe")</f>
        <v>Minimal</v>
      </c>
      <c r="L138">
        <v>5</v>
      </c>
      <c r="M138" s="4" t="str" cm="1">
        <f t="array" ref="M138">_xlfn.IFS(stdsurvey[[#This Row],[gad7_score]]="","Answer Not Provided",stdsurvey[[#This Row],[gad7_score]]&lt;=4,"Minimal",stdsurvey[[#This Row],[gad7_score]]&lt;=9,"Mild",stdsurvey[[#This Row],[gad7_score]]&lt;=14,"Moderate",stdsurvey[[#This Row],[gad7_score]]&lt;=21,"Severe")</f>
        <v>Minimal</v>
      </c>
      <c r="N138">
        <v>19.600000000000001</v>
      </c>
      <c r="O138" s="4" t="str" cm="1">
        <f t="array" ref="O138">_xlfn.IFS(stdsurvey[[#This Row],[perceived_stress_scale]]="","Answer Not Provided",stdsurvey[[#This Row],[perceived_stress_scale]]&lt;=13,"Low Stress",stdsurvey[[#This Row],[perceived_stress_scale]]&lt;=26,"Moderate Stress",stdsurvey[[#This Row],[perceived_stress_scale]]&lt;=40,"High Stress")</f>
        <v>Low Stress</v>
      </c>
      <c r="P138">
        <v>78</v>
      </c>
      <c r="Q138">
        <v>4</v>
      </c>
      <c r="R138" s="4" t="str" cm="1">
        <f t="array" ref="R138">_xlfn.IFS(stdsurvey[[#This Row],[class_attendance_percent]]&lt;60,"Less than 0%",stdsurvey[[#This Row],[class_attendance_percent]]&lt;70,"60-70 %",stdsurvey[[#This Row],[class_attendance_percent]]&lt;80, "70-80%",stdsurvey[[#This Row],[class_attendance_percent]]&lt;90,"80-90%",TRUE,"More than 90%")</f>
        <v>70-80%</v>
      </c>
      <c r="S138" t="s">
        <v>33</v>
      </c>
      <c r="T138">
        <v>2</v>
      </c>
      <c r="U138" t="s">
        <v>23</v>
      </c>
      <c r="V138">
        <v>2.96</v>
      </c>
      <c r="W138" s="4" t="str" cm="1">
        <f t="array" ref="W13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38" s="4" t="str" cm="1">
        <f t="array" ref="X138">_xlfn.IFS(stdsurvey[[#This Row],[daily_sleep_hours]]&lt;4,"&lt; 4 hrs",stdsurvey[[#This Row],[daily_sleep_hours]]&lt;=6,"4-6 hrs",stdsurvey[[#This Row],[daily_sleep_hours]]&lt;=8,"6-8 hrs",TRUE,"&gt; 8 hrs")</f>
        <v>6-8 hrs</v>
      </c>
      <c r="Y138" t="s">
        <v>20</v>
      </c>
    </row>
    <row r="139" spans="1:25" x14ac:dyDescent="0.3">
      <c r="A139" t="s">
        <v>173</v>
      </c>
      <c r="B139">
        <v>18</v>
      </c>
      <c r="C139" t="s">
        <v>20</v>
      </c>
      <c r="D139">
        <v>1</v>
      </c>
      <c r="E139" t="s">
        <v>49</v>
      </c>
      <c r="F139">
        <v>8.6</v>
      </c>
      <c r="G139">
        <v>4.5999999999999996</v>
      </c>
      <c r="H139">
        <v>3</v>
      </c>
      <c r="I139">
        <v>8</v>
      </c>
      <c r="J139">
        <v>7</v>
      </c>
      <c r="K139" s="4" t="str" cm="1">
        <f t="array" ref="K139">_xlfn.IFS(stdsurvey[[#This Row],[phq9_score]]="","Answer Not Provided",stdsurvey[[#This Row],[phq9_score]]&lt;=4,"Minimal",stdsurvey[[#This Row],[phq9_score]]&lt;=9,"Mild",stdsurvey[[#This Row],[phq9_score]]&lt;=14,"Moderate",stdsurvey[[#This Row],[phq9_score]]&lt;=19,"Moderately Severe",stdsurvey[[#This Row],[phq9_score]]&lt;=27,"Severe")</f>
        <v>Mild</v>
      </c>
      <c r="L139">
        <v>16</v>
      </c>
      <c r="M139" s="4" t="str" cm="1">
        <f t="array" ref="M139">_xlfn.IFS(stdsurvey[[#This Row],[gad7_score]]="","Answer Not Provided",stdsurvey[[#This Row],[gad7_score]]&lt;=4,"Minimal",stdsurvey[[#This Row],[gad7_score]]&lt;=9,"Mild",stdsurvey[[#This Row],[gad7_score]]&lt;=14,"Moderate",stdsurvey[[#This Row],[gad7_score]]&lt;=21,"Severe")</f>
        <v>Mild</v>
      </c>
      <c r="N139">
        <v>13.7</v>
      </c>
      <c r="O139" s="4" t="str" cm="1">
        <f t="array" ref="O139">_xlfn.IFS(stdsurvey[[#This Row],[perceived_stress_scale]]="","Answer Not Provided",stdsurvey[[#This Row],[perceived_stress_scale]]&lt;=13,"Low Stress",stdsurvey[[#This Row],[perceived_stress_scale]]&lt;=26,"Moderate Stress",stdsurvey[[#This Row],[perceived_stress_scale]]&lt;=40,"High Stress")</f>
        <v>Moderate Stress</v>
      </c>
      <c r="P139">
        <v>92.1</v>
      </c>
      <c r="Q139">
        <v>5</v>
      </c>
      <c r="R139" s="4" t="str" cm="1">
        <f t="array" ref="R139">_xlfn.IFS(stdsurvey[[#This Row],[class_attendance_percent]]&lt;60,"Less than 0%",stdsurvey[[#This Row],[class_attendance_percent]]&lt;70,"60-70 %",stdsurvey[[#This Row],[class_attendance_percent]]&lt;80, "70-80%",stdsurvey[[#This Row],[class_attendance_percent]]&lt;90,"80-90%",TRUE,"More than 90%")</f>
        <v>More than 90%</v>
      </c>
      <c r="S139" t="s">
        <v>22</v>
      </c>
      <c r="T139">
        <v>3</v>
      </c>
      <c r="U139" t="s">
        <v>51</v>
      </c>
      <c r="V139">
        <v>3.6</v>
      </c>
      <c r="W139" s="4" t="str" cm="1">
        <f t="array" ref="W13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39" s="4" t="str" cm="1">
        <f t="array" ref="X139">_xlfn.IFS(stdsurvey[[#This Row],[daily_sleep_hours]]&lt;4,"&lt; 4 hrs",stdsurvey[[#This Row],[daily_sleep_hours]]&lt;=6,"4-6 hrs",stdsurvey[[#This Row],[daily_sleep_hours]]&lt;=8,"6-8 hrs",TRUE,"&gt; 8 hrs")</f>
        <v>&gt; 8 hrs</v>
      </c>
      <c r="Y139" t="s">
        <v>20</v>
      </c>
    </row>
    <row r="140" spans="1:25" x14ac:dyDescent="0.3">
      <c r="A140" t="s">
        <v>174</v>
      </c>
      <c r="B140">
        <v>19</v>
      </c>
      <c r="C140" t="s">
        <v>45</v>
      </c>
      <c r="D140">
        <v>2</v>
      </c>
      <c r="E140" t="s">
        <v>21</v>
      </c>
      <c r="F140">
        <v>6</v>
      </c>
      <c r="G140">
        <v>8.4</v>
      </c>
      <c r="H140">
        <v>3</v>
      </c>
      <c r="I140">
        <v>9</v>
      </c>
      <c r="J140">
        <v>7</v>
      </c>
      <c r="K140" s="4" t="str" cm="1">
        <f t="array" ref="K140">_xlfn.IFS(stdsurvey[[#This Row],[phq9_score]]="","Answer Not Provided",stdsurvey[[#This Row],[phq9_score]]&lt;=4,"Minimal",stdsurvey[[#This Row],[phq9_score]]&lt;=9,"Mild",stdsurvey[[#This Row],[phq9_score]]&lt;=14,"Moderate",stdsurvey[[#This Row],[phq9_score]]&lt;=19,"Moderately Severe",stdsurvey[[#This Row],[phq9_score]]&lt;=27,"Severe")</f>
        <v>Mild</v>
      </c>
      <c r="L140">
        <v>14</v>
      </c>
      <c r="M140" s="4" t="str" cm="1">
        <f t="array" ref="M140">_xlfn.IFS(stdsurvey[[#This Row],[gad7_score]]="","Answer Not Provided",stdsurvey[[#This Row],[gad7_score]]&lt;=4,"Minimal",stdsurvey[[#This Row],[gad7_score]]&lt;=9,"Mild",stdsurvey[[#This Row],[gad7_score]]&lt;=14,"Moderate",stdsurvey[[#This Row],[gad7_score]]&lt;=21,"Severe")</f>
        <v>Mild</v>
      </c>
      <c r="N140">
        <v>28.3</v>
      </c>
      <c r="O140" s="4" t="str" cm="1">
        <f t="array" ref="O140">_xlfn.IFS(stdsurvey[[#This Row],[perceived_stress_scale]]="","Answer Not Provided",stdsurvey[[#This Row],[perceived_stress_scale]]&lt;=13,"Low Stress",stdsurvey[[#This Row],[perceived_stress_scale]]&lt;=26,"Moderate Stress",stdsurvey[[#This Row],[perceived_stress_scale]]&lt;=40,"High Stress")</f>
        <v>Moderate Stress</v>
      </c>
      <c r="P140">
        <v>86.4</v>
      </c>
      <c r="Q140">
        <v>5</v>
      </c>
      <c r="R140" s="4" t="str" cm="1">
        <f t="array" ref="R140">_xlfn.IFS(stdsurvey[[#This Row],[class_attendance_percent]]&lt;60,"Less than 0%",stdsurvey[[#This Row],[class_attendance_percent]]&lt;70,"60-70 %",stdsurvey[[#This Row],[class_attendance_percent]]&lt;80, "70-80%",stdsurvey[[#This Row],[class_attendance_percent]]&lt;90,"80-90%",TRUE,"More than 90%")</f>
        <v>80-90%</v>
      </c>
      <c r="S140" t="s">
        <v>33</v>
      </c>
      <c r="T140">
        <v>3</v>
      </c>
      <c r="U140" t="s">
        <v>23</v>
      </c>
      <c r="V140">
        <v>3</v>
      </c>
      <c r="W140" s="4" t="str" cm="1">
        <f t="array" ref="W14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40" s="4" t="str" cm="1">
        <f t="array" ref="X140">_xlfn.IFS(stdsurvey[[#This Row],[daily_sleep_hours]]&lt;4,"&lt; 4 hrs",stdsurvey[[#This Row],[daily_sleep_hours]]&lt;=6,"4-6 hrs",stdsurvey[[#This Row],[daily_sleep_hours]]&lt;=8,"6-8 hrs",TRUE,"&gt; 8 hrs")</f>
        <v>4-6 hrs</v>
      </c>
      <c r="Y140" t="s">
        <v>20</v>
      </c>
    </row>
    <row r="141" spans="1:25" x14ac:dyDescent="0.3">
      <c r="A141" t="s">
        <v>175</v>
      </c>
      <c r="B141">
        <v>22</v>
      </c>
      <c r="C141" t="s">
        <v>20</v>
      </c>
      <c r="D141">
        <v>3</v>
      </c>
      <c r="E141" t="s">
        <v>32</v>
      </c>
      <c r="F141">
        <v>7.1</v>
      </c>
      <c r="G141">
        <v>6.9</v>
      </c>
      <c r="H141">
        <v>6</v>
      </c>
      <c r="I141">
        <v>5</v>
      </c>
      <c r="J141">
        <v>6</v>
      </c>
      <c r="K141" s="4" t="str" cm="1">
        <f t="array" ref="K141">_xlfn.IFS(stdsurvey[[#This Row],[phq9_score]]="","Answer Not Provided",stdsurvey[[#This Row],[phq9_score]]&lt;=4,"Minimal",stdsurvey[[#This Row],[phq9_score]]&lt;=9,"Mild",stdsurvey[[#This Row],[phq9_score]]&lt;=14,"Moderate",stdsurvey[[#This Row],[phq9_score]]&lt;=19,"Moderately Severe",stdsurvey[[#This Row],[phq9_score]]&lt;=27,"Severe")</f>
        <v>Mild</v>
      </c>
      <c r="L141">
        <v>10</v>
      </c>
      <c r="M141" s="4" t="str" cm="1">
        <f t="array" ref="M141">_xlfn.IFS(stdsurvey[[#This Row],[gad7_score]]="","Answer Not Provided",stdsurvey[[#This Row],[gad7_score]]&lt;=4,"Minimal",stdsurvey[[#This Row],[gad7_score]]&lt;=9,"Mild",stdsurvey[[#This Row],[gad7_score]]&lt;=14,"Moderate",stdsurvey[[#This Row],[gad7_score]]&lt;=21,"Severe")</f>
        <v>Mild</v>
      </c>
      <c r="N141">
        <v>14.7</v>
      </c>
      <c r="O141" s="4" t="str" cm="1">
        <f t="array" ref="O141">_xlfn.IFS(stdsurvey[[#This Row],[perceived_stress_scale]]="","Answer Not Provided",stdsurvey[[#This Row],[perceived_stress_scale]]&lt;=13,"Low Stress",stdsurvey[[#This Row],[perceived_stress_scale]]&lt;=26,"Moderate Stress",stdsurvey[[#This Row],[perceived_stress_scale]]&lt;=40,"High Stress")</f>
        <v>Low Stress</v>
      </c>
      <c r="P141">
        <v>65.599999999999994</v>
      </c>
      <c r="Q141">
        <v>5</v>
      </c>
      <c r="R141" s="4" t="str" cm="1">
        <f t="array" ref="R141">_xlfn.IFS(stdsurvey[[#This Row],[class_attendance_percent]]&lt;60,"Less than 0%",stdsurvey[[#This Row],[class_attendance_percent]]&lt;70,"60-70 %",stdsurvey[[#This Row],[class_attendance_percent]]&lt;80, "70-80%",stdsurvey[[#This Row],[class_attendance_percent]]&lt;90,"80-90%",TRUE,"More than 90%")</f>
        <v>60-70 %</v>
      </c>
      <c r="S141" t="s">
        <v>33</v>
      </c>
      <c r="T141">
        <v>3</v>
      </c>
      <c r="U141" t="s">
        <v>23</v>
      </c>
      <c r="V141">
        <v>2.2999999999999998</v>
      </c>
      <c r="W141" s="4" t="str" cm="1">
        <f t="array" ref="W14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41" s="4" t="str" cm="1">
        <f t="array" ref="X141">_xlfn.IFS(stdsurvey[[#This Row],[daily_sleep_hours]]&lt;4,"&lt; 4 hrs",stdsurvey[[#This Row],[daily_sleep_hours]]&lt;=6,"4-6 hrs",stdsurvey[[#This Row],[daily_sleep_hours]]&lt;=8,"6-8 hrs",TRUE,"&gt; 8 hrs")</f>
        <v>6-8 hrs</v>
      </c>
      <c r="Y141" t="s">
        <v>20</v>
      </c>
    </row>
    <row r="142" spans="1:25" x14ac:dyDescent="0.3">
      <c r="A142" t="s">
        <v>176</v>
      </c>
      <c r="B142">
        <v>23</v>
      </c>
      <c r="C142" t="s">
        <v>27</v>
      </c>
      <c r="D142">
        <v>2</v>
      </c>
      <c r="E142" t="s">
        <v>49</v>
      </c>
      <c r="F142">
        <v>5.2</v>
      </c>
      <c r="G142">
        <v>1.9</v>
      </c>
      <c r="H142">
        <v>4</v>
      </c>
      <c r="I142">
        <v>5</v>
      </c>
      <c r="J142">
        <v>10</v>
      </c>
      <c r="K142" s="4" t="str" cm="1">
        <f t="array" ref="K142">_xlfn.IFS(stdsurvey[[#This Row],[phq9_score]]="","Answer Not Provided",stdsurvey[[#This Row],[phq9_score]]&lt;=4,"Minimal",stdsurvey[[#This Row],[phq9_score]]&lt;=9,"Mild",stdsurvey[[#This Row],[phq9_score]]&lt;=14,"Moderate",stdsurvey[[#This Row],[phq9_score]]&lt;=19,"Moderately Severe",stdsurvey[[#This Row],[phq9_score]]&lt;=27,"Severe")</f>
        <v>Mild</v>
      </c>
      <c r="L142">
        <v>14</v>
      </c>
      <c r="M142" s="4" t="str" cm="1">
        <f t="array" ref="M142">_xlfn.IFS(stdsurvey[[#This Row],[gad7_score]]="","Answer Not Provided",stdsurvey[[#This Row],[gad7_score]]&lt;=4,"Minimal",stdsurvey[[#This Row],[gad7_score]]&lt;=9,"Mild",stdsurvey[[#This Row],[gad7_score]]&lt;=14,"Moderate",stdsurvey[[#This Row],[gad7_score]]&lt;=21,"Severe")</f>
        <v>Moderate</v>
      </c>
      <c r="N142">
        <v>14.9</v>
      </c>
      <c r="O142" s="4" t="str" cm="1">
        <f t="array" ref="O142">_xlfn.IFS(stdsurvey[[#This Row],[perceived_stress_scale]]="","Answer Not Provided",stdsurvey[[#This Row],[perceived_stress_scale]]&lt;=13,"Low Stress",stdsurvey[[#This Row],[perceived_stress_scale]]&lt;=26,"Moderate Stress",stdsurvey[[#This Row],[perceived_stress_scale]]&lt;=40,"High Stress")</f>
        <v>Moderate Stress</v>
      </c>
      <c r="P142">
        <v>65.7</v>
      </c>
      <c r="Q142">
        <v>5</v>
      </c>
      <c r="R142" s="4" t="str" cm="1">
        <f t="array" ref="R142">_xlfn.IFS(stdsurvey[[#This Row],[class_attendance_percent]]&lt;60,"Less than 0%",stdsurvey[[#This Row],[class_attendance_percent]]&lt;70,"60-70 %",stdsurvey[[#This Row],[class_attendance_percent]]&lt;80, "70-80%",stdsurvey[[#This Row],[class_attendance_percent]]&lt;90,"80-90%",TRUE,"More than 90%")</f>
        <v>60-70 %</v>
      </c>
      <c r="S142" t="s">
        <v>33</v>
      </c>
      <c r="T142">
        <v>4</v>
      </c>
      <c r="U142" t="s">
        <v>23</v>
      </c>
      <c r="V142">
        <v>2.89</v>
      </c>
      <c r="W142" s="4" t="str" cm="1">
        <f t="array" ref="W14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42" s="4" t="str" cm="1">
        <f t="array" ref="X142">_xlfn.IFS(stdsurvey[[#This Row],[daily_sleep_hours]]&lt;4,"&lt; 4 hrs",stdsurvey[[#This Row],[daily_sleep_hours]]&lt;=6,"4-6 hrs",stdsurvey[[#This Row],[daily_sleep_hours]]&lt;=8,"6-8 hrs",TRUE,"&gt; 8 hrs")</f>
        <v>4-6 hrs</v>
      </c>
      <c r="Y142" t="s">
        <v>27</v>
      </c>
    </row>
    <row r="143" spans="1:25" x14ac:dyDescent="0.3">
      <c r="A143" t="s">
        <v>177</v>
      </c>
      <c r="B143">
        <v>26</v>
      </c>
      <c r="C143" t="s">
        <v>20</v>
      </c>
      <c r="D143">
        <v>4</v>
      </c>
      <c r="E143" t="s">
        <v>47</v>
      </c>
      <c r="F143">
        <v>5.7</v>
      </c>
      <c r="G143">
        <v>2.8</v>
      </c>
      <c r="H143">
        <v>0</v>
      </c>
      <c r="I143">
        <v>11</v>
      </c>
      <c r="J143">
        <v>9</v>
      </c>
      <c r="K143" s="4" t="str" cm="1">
        <f t="array" ref="K143">_xlfn.IFS(stdsurvey[[#This Row],[phq9_score]]="","Answer Not Provided",stdsurvey[[#This Row],[phq9_score]]&lt;=4,"Minimal",stdsurvey[[#This Row],[phq9_score]]&lt;=9,"Mild",stdsurvey[[#This Row],[phq9_score]]&lt;=14,"Moderate",stdsurvey[[#This Row],[phq9_score]]&lt;=19,"Moderately Severe",stdsurvey[[#This Row],[phq9_score]]&lt;=27,"Severe")</f>
        <v>Moderate</v>
      </c>
      <c r="L143">
        <v>15</v>
      </c>
      <c r="M143" s="4" t="str" cm="1">
        <f t="array" ref="M143">_xlfn.IFS(stdsurvey[[#This Row],[gad7_score]]="","Answer Not Provided",stdsurvey[[#This Row],[gad7_score]]&lt;=4,"Minimal",stdsurvey[[#This Row],[gad7_score]]&lt;=9,"Mild",stdsurvey[[#This Row],[gad7_score]]&lt;=14,"Moderate",stdsurvey[[#This Row],[gad7_score]]&lt;=21,"Severe")</f>
        <v>Mild</v>
      </c>
      <c r="N143">
        <v>15</v>
      </c>
      <c r="O143" s="4" t="str" cm="1">
        <f t="array" ref="O143">_xlfn.IFS(stdsurvey[[#This Row],[perceived_stress_scale]]="","Answer Not Provided",stdsurvey[[#This Row],[perceived_stress_scale]]&lt;=13,"Low Stress",stdsurvey[[#This Row],[perceived_stress_scale]]&lt;=26,"Moderate Stress",stdsurvey[[#This Row],[perceived_stress_scale]]&lt;=40,"High Stress")</f>
        <v>Moderate Stress</v>
      </c>
      <c r="P143">
        <v>91.7</v>
      </c>
      <c r="Q143">
        <v>3</v>
      </c>
      <c r="R143" s="4" t="str" cm="1">
        <f t="array" ref="R143">_xlfn.IFS(stdsurvey[[#This Row],[class_attendance_percent]]&lt;60,"Less than 0%",stdsurvey[[#This Row],[class_attendance_percent]]&lt;70,"60-70 %",stdsurvey[[#This Row],[class_attendance_percent]]&lt;80, "70-80%",stdsurvey[[#This Row],[class_attendance_percent]]&lt;90,"80-90%",TRUE,"More than 90%")</f>
        <v>More than 90%</v>
      </c>
      <c r="S143" t="s">
        <v>22</v>
      </c>
      <c r="T143">
        <v>1</v>
      </c>
      <c r="U143" t="s">
        <v>51</v>
      </c>
      <c r="V143">
        <v>3.23</v>
      </c>
      <c r="W143" s="4" t="str" cm="1">
        <f t="array" ref="W14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43" s="4" t="str" cm="1">
        <f t="array" ref="X143">_xlfn.IFS(stdsurvey[[#This Row],[daily_sleep_hours]]&lt;4,"&lt; 4 hrs",stdsurvey[[#This Row],[daily_sleep_hours]]&lt;=6,"4-6 hrs",stdsurvey[[#This Row],[daily_sleep_hours]]&lt;=8,"6-8 hrs",TRUE,"&gt; 8 hrs")</f>
        <v>4-6 hrs</v>
      </c>
      <c r="Y143" t="s">
        <v>20</v>
      </c>
    </row>
    <row r="144" spans="1:25" x14ac:dyDescent="0.3">
      <c r="A144" t="s">
        <v>178</v>
      </c>
      <c r="B144">
        <v>28</v>
      </c>
      <c r="C144" t="s">
        <v>27</v>
      </c>
      <c r="D144">
        <v>3</v>
      </c>
      <c r="E144" t="s">
        <v>30</v>
      </c>
      <c r="F144">
        <v>5.8</v>
      </c>
      <c r="G144">
        <v>7.9</v>
      </c>
      <c r="H144">
        <v>3</v>
      </c>
      <c r="I144">
        <v>12</v>
      </c>
      <c r="J144">
        <v>9</v>
      </c>
      <c r="K144" s="4" t="str" cm="1">
        <f t="array" ref="K144">_xlfn.IFS(stdsurvey[[#This Row],[phq9_score]]="","Answer Not Provided",stdsurvey[[#This Row],[phq9_score]]&lt;=4,"Minimal",stdsurvey[[#This Row],[phq9_score]]&lt;=9,"Mild",stdsurvey[[#This Row],[phq9_score]]&lt;=14,"Moderate",stdsurvey[[#This Row],[phq9_score]]&lt;=19,"Moderately Severe",stdsurvey[[#This Row],[phq9_score]]&lt;=27,"Severe")</f>
        <v>Moderate</v>
      </c>
      <c r="L144">
        <v>9</v>
      </c>
      <c r="M144" s="4" t="str" cm="1">
        <f t="array" ref="M144">_xlfn.IFS(stdsurvey[[#This Row],[gad7_score]]="","Answer Not Provided",stdsurvey[[#This Row],[gad7_score]]&lt;=4,"Minimal",stdsurvey[[#This Row],[gad7_score]]&lt;=9,"Mild",stdsurvey[[#This Row],[gad7_score]]&lt;=14,"Moderate",stdsurvey[[#This Row],[gad7_score]]&lt;=21,"Severe")</f>
        <v>Mild</v>
      </c>
      <c r="N144">
        <v>19.7</v>
      </c>
      <c r="O144" s="4" t="str" cm="1">
        <f t="array" ref="O144">_xlfn.IFS(stdsurvey[[#This Row],[perceived_stress_scale]]="","Answer Not Provided",stdsurvey[[#This Row],[perceived_stress_scale]]&lt;=13,"Low Stress",stdsurvey[[#This Row],[perceived_stress_scale]]&lt;=26,"Moderate Stress",stdsurvey[[#This Row],[perceived_stress_scale]]&lt;=40,"High Stress")</f>
        <v>Low Stress</v>
      </c>
      <c r="P144">
        <v>77.3</v>
      </c>
      <c r="Q144">
        <v>5</v>
      </c>
      <c r="R144" s="4" t="str" cm="1">
        <f t="array" ref="R144">_xlfn.IFS(stdsurvey[[#This Row],[class_attendance_percent]]&lt;60,"Less than 0%",stdsurvey[[#This Row],[class_attendance_percent]]&lt;70,"60-70 %",stdsurvey[[#This Row],[class_attendance_percent]]&lt;80, "70-80%",stdsurvey[[#This Row],[class_attendance_percent]]&lt;90,"80-90%",TRUE,"More than 90%")</f>
        <v>70-80%</v>
      </c>
      <c r="S144" t="s">
        <v>33</v>
      </c>
      <c r="T144">
        <v>5</v>
      </c>
      <c r="U144" t="s">
        <v>23</v>
      </c>
      <c r="V144">
        <v>3.14</v>
      </c>
      <c r="W144" s="4" t="str" cm="1">
        <f t="array" ref="W14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44" s="4" t="str" cm="1">
        <f t="array" ref="X144">_xlfn.IFS(stdsurvey[[#This Row],[daily_sleep_hours]]&lt;4,"&lt; 4 hrs",stdsurvey[[#This Row],[daily_sleep_hours]]&lt;=6,"4-6 hrs",stdsurvey[[#This Row],[daily_sleep_hours]]&lt;=8,"6-8 hrs",TRUE,"&gt; 8 hrs")</f>
        <v>4-6 hrs</v>
      </c>
      <c r="Y144" t="s">
        <v>27</v>
      </c>
    </row>
    <row r="145" spans="1:25" x14ac:dyDescent="0.3">
      <c r="A145" t="s">
        <v>179</v>
      </c>
      <c r="B145">
        <v>22</v>
      </c>
      <c r="C145" t="s">
        <v>27</v>
      </c>
      <c r="D145">
        <v>3</v>
      </c>
      <c r="E145" t="s">
        <v>30</v>
      </c>
      <c r="F145">
        <v>5.6</v>
      </c>
      <c r="G145">
        <v>10.1</v>
      </c>
      <c r="H145">
        <v>3</v>
      </c>
      <c r="I145">
        <v>4</v>
      </c>
      <c r="J145">
        <v>7</v>
      </c>
      <c r="K145" s="4" t="str" cm="1">
        <f t="array" ref="K145">_xlfn.IFS(stdsurvey[[#This Row],[phq9_score]]="","Answer Not Provided",stdsurvey[[#This Row],[phq9_score]]&lt;=4,"Minimal",stdsurvey[[#This Row],[phq9_score]]&lt;=9,"Mild",stdsurvey[[#This Row],[phq9_score]]&lt;=14,"Moderate",stdsurvey[[#This Row],[phq9_score]]&lt;=19,"Moderately Severe",stdsurvey[[#This Row],[phq9_score]]&lt;=27,"Severe")</f>
        <v>Minimal</v>
      </c>
      <c r="L145">
        <v>1</v>
      </c>
      <c r="M145" s="4" t="str" cm="1">
        <f t="array" ref="M145">_xlfn.IFS(stdsurvey[[#This Row],[gad7_score]]="","Answer Not Provided",stdsurvey[[#This Row],[gad7_score]]&lt;=4,"Minimal",stdsurvey[[#This Row],[gad7_score]]&lt;=9,"Mild",stdsurvey[[#This Row],[gad7_score]]&lt;=14,"Moderate",stdsurvey[[#This Row],[gad7_score]]&lt;=21,"Severe")</f>
        <v>Mild</v>
      </c>
      <c r="N145">
        <v>27.1</v>
      </c>
      <c r="O145" s="4" t="str" cm="1">
        <f t="array" ref="O145">_xlfn.IFS(stdsurvey[[#This Row],[perceived_stress_scale]]="","Answer Not Provided",stdsurvey[[#This Row],[perceived_stress_scale]]&lt;=13,"Low Stress",stdsurvey[[#This Row],[perceived_stress_scale]]&lt;=26,"Moderate Stress",stdsurvey[[#This Row],[perceived_stress_scale]]&lt;=40,"High Stress")</f>
        <v>Low Stress</v>
      </c>
      <c r="P145">
        <v>90.4</v>
      </c>
      <c r="Q145">
        <v>5</v>
      </c>
      <c r="R145" s="4" t="str" cm="1">
        <f t="array" ref="R145">_xlfn.IFS(stdsurvey[[#This Row],[class_attendance_percent]]&lt;60,"Less than 0%",stdsurvey[[#This Row],[class_attendance_percent]]&lt;70,"60-70 %",stdsurvey[[#This Row],[class_attendance_percent]]&lt;80, "70-80%",stdsurvey[[#This Row],[class_attendance_percent]]&lt;90,"80-90%",TRUE,"More than 90%")</f>
        <v>More than 90%</v>
      </c>
      <c r="S145" t="s">
        <v>33</v>
      </c>
      <c r="T145">
        <v>4</v>
      </c>
      <c r="U145" t="s">
        <v>23</v>
      </c>
      <c r="V145">
        <v>3.28</v>
      </c>
      <c r="W145" s="4" t="str" cm="1">
        <f t="array" ref="W14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45" s="4" t="str" cm="1">
        <f t="array" ref="X145">_xlfn.IFS(stdsurvey[[#This Row],[daily_sleep_hours]]&lt;4,"&lt; 4 hrs",stdsurvey[[#This Row],[daily_sleep_hours]]&lt;=6,"4-6 hrs",stdsurvey[[#This Row],[daily_sleep_hours]]&lt;=8,"6-8 hrs",TRUE,"&gt; 8 hrs")</f>
        <v>4-6 hrs</v>
      </c>
      <c r="Y145" t="s">
        <v>27</v>
      </c>
    </row>
    <row r="146" spans="1:25" x14ac:dyDescent="0.3">
      <c r="A146" t="s">
        <v>180</v>
      </c>
      <c r="B146">
        <v>19</v>
      </c>
      <c r="C146" t="s">
        <v>27</v>
      </c>
      <c r="D146">
        <v>4</v>
      </c>
      <c r="E146" t="s">
        <v>49</v>
      </c>
      <c r="F146">
        <v>3.9</v>
      </c>
      <c r="G146">
        <v>5.0999999999999996</v>
      </c>
      <c r="H146">
        <v>1</v>
      </c>
      <c r="I146">
        <v>13</v>
      </c>
      <c r="J146">
        <v>11</v>
      </c>
      <c r="K146" s="4" t="str" cm="1">
        <f t="array" ref="K146">_xlfn.IFS(stdsurvey[[#This Row],[phq9_score]]="","Answer Not Provided",stdsurvey[[#This Row],[phq9_score]]&lt;=4,"Minimal",stdsurvey[[#This Row],[phq9_score]]&lt;=9,"Mild",stdsurvey[[#This Row],[phq9_score]]&lt;=14,"Moderate",stdsurvey[[#This Row],[phq9_score]]&lt;=19,"Moderately Severe",stdsurvey[[#This Row],[phq9_score]]&lt;=27,"Severe")</f>
        <v>Moderate</v>
      </c>
      <c r="L146">
        <v>22</v>
      </c>
      <c r="M146" s="4" t="str" cm="1">
        <f t="array" ref="M146">_xlfn.IFS(stdsurvey[[#This Row],[gad7_score]]="","Answer Not Provided",stdsurvey[[#This Row],[gad7_score]]&lt;=4,"Minimal",stdsurvey[[#This Row],[gad7_score]]&lt;=9,"Mild",stdsurvey[[#This Row],[gad7_score]]&lt;=14,"Moderate",stdsurvey[[#This Row],[gad7_score]]&lt;=21,"Severe")</f>
        <v>Moderate</v>
      </c>
      <c r="N146">
        <v>21.8</v>
      </c>
      <c r="O146" s="4" t="str" cm="1">
        <f t="array" ref="O146">_xlfn.IFS(stdsurvey[[#This Row],[perceived_stress_scale]]="","Answer Not Provided",stdsurvey[[#This Row],[perceived_stress_scale]]&lt;=13,"Low Stress",stdsurvey[[#This Row],[perceived_stress_scale]]&lt;=26,"Moderate Stress",stdsurvey[[#This Row],[perceived_stress_scale]]&lt;=40,"High Stress")</f>
        <v>Moderate Stress</v>
      </c>
      <c r="P146">
        <v>80</v>
      </c>
      <c r="Q146">
        <v>3</v>
      </c>
      <c r="R146" s="4" t="str" cm="1">
        <f t="array" ref="R146">_xlfn.IFS(stdsurvey[[#This Row],[class_attendance_percent]]&lt;60,"Less than 0%",stdsurvey[[#This Row],[class_attendance_percent]]&lt;70,"60-70 %",stdsurvey[[#This Row],[class_attendance_percent]]&lt;80, "70-80%",stdsurvey[[#This Row],[class_attendance_percent]]&lt;90,"80-90%",TRUE,"More than 90%")</f>
        <v>80-90%</v>
      </c>
      <c r="S146" t="s">
        <v>22</v>
      </c>
      <c r="T146">
        <v>5</v>
      </c>
      <c r="U146" t="s">
        <v>26</v>
      </c>
      <c r="V146">
        <v>3.12</v>
      </c>
      <c r="W146" s="4" t="str" cm="1">
        <f t="array" ref="W14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46" s="4" t="str" cm="1">
        <f t="array" ref="X146">_xlfn.IFS(stdsurvey[[#This Row],[daily_sleep_hours]]&lt;4,"&lt; 4 hrs",stdsurvey[[#This Row],[daily_sleep_hours]]&lt;=6,"4-6 hrs",stdsurvey[[#This Row],[daily_sleep_hours]]&lt;=8,"6-8 hrs",TRUE,"&gt; 8 hrs")</f>
        <v>&lt; 4 hrs</v>
      </c>
      <c r="Y146" t="s">
        <v>27</v>
      </c>
    </row>
    <row r="147" spans="1:25" x14ac:dyDescent="0.3">
      <c r="A147" t="s">
        <v>181</v>
      </c>
      <c r="B147">
        <v>17</v>
      </c>
      <c r="C147" t="s">
        <v>20</v>
      </c>
      <c r="D147">
        <v>4</v>
      </c>
      <c r="E147" t="s">
        <v>32</v>
      </c>
      <c r="F147">
        <v>5.5</v>
      </c>
      <c r="G147">
        <v>10.8</v>
      </c>
      <c r="H147">
        <v>2</v>
      </c>
      <c r="I147">
        <v>17</v>
      </c>
      <c r="J147">
        <v>16</v>
      </c>
      <c r="K147" s="4" t="str" cm="1">
        <f t="array" ref="K147">_xlfn.IFS(stdsurvey[[#This Row],[phq9_score]]="","Answer Not Provided",stdsurvey[[#This Row],[phq9_score]]&lt;=4,"Minimal",stdsurvey[[#This Row],[phq9_score]]&lt;=9,"Mild",stdsurvey[[#This Row],[phq9_score]]&lt;=14,"Moderate",stdsurvey[[#This Row],[phq9_score]]&lt;=19,"Moderately Severe",stdsurvey[[#This Row],[phq9_score]]&lt;=27,"Severe")</f>
        <v>Moderately Severe</v>
      </c>
      <c r="L147">
        <v>27</v>
      </c>
      <c r="M147" s="4" t="str" cm="1">
        <f t="array" ref="M147">_xlfn.IFS(stdsurvey[[#This Row],[gad7_score]]="","Answer Not Provided",stdsurvey[[#This Row],[gad7_score]]&lt;=4,"Minimal",stdsurvey[[#This Row],[gad7_score]]&lt;=9,"Mild",stdsurvey[[#This Row],[gad7_score]]&lt;=14,"Moderate",stdsurvey[[#This Row],[gad7_score]]&lt;=21,"Severe")</f>
        <v>Severe</v>
      </c>
      <c r="N147">
        <v>20.2</v>
      </c>
      <c r="O147" s="4" t="str" cm="1">
        <f t="array" ref="O147">_xlfn.IFS(stdsurvey[[#This Row],[perceived_stress_scale]]="","Answer Not Provided",stdsurvey[[#This Row],[perceived_stress_scale]]&lt;=13,"Low Stress",stdsurvey[[#This Row],[perceived_stress_scale]]&lt;=26,"Moderate Stress",stdsurvey[[#This Row],[perceived_stress_scale]]&lt;=40,"High Stress")</f>
        <v>High Stress</v>
      </c>
      <c r="P147">
        <v>95.3</v>
      </c>
      <c r="Q147">
        <v>3</v>
      </c>
      <c r="R147" s="4" t="str" cm="1">
        <f t="array" ref="R147">_xlfn.IFS(stdsurvey[[#This Row],[class_attendance_percent]]&lt;60,"Less than 0%",stdsurvey[[#This Row],[class_attendance_percent]]&lt;70,"60-70 %",stdsurvey[[#This Row],[class_attendance_percent]]&lt;80, "70-80%",stdsurvey[[#This Row],[class_attendance_percent]]&lt;90,"80-90%",TRUE,"More than 90%")</f>
        <v>More than 90%</v>
      </c>
      <c r="S147" t="s">
        <v>33</v>
      </c>
      <c r="T147">
        <v>4</v>
      </c>
      <c r="U147" t="s">
        <v>23</v>
      </c>
      <c r="V147">
        <v>2.77</v>
      </c>
      <c r="W147" s="4" t="str" cm="1">
        <f t="array" ref="W14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47" s="4" t="str" cm="1">
        <f t="array" ref="X147">_xlfn.IFS(stdsurvey[[#This Row],[daily_sleep_hours]]&lt;4,"&lt; 4 hrs",stdsurvey[[#This Row],[daily_sleep_hours]]&lt;=6,"4-6 hrs",stdsurvey[[#This Row],[daily_sleep_hours]]&lt;=8,"6-8 hrs",TRUE,"&gt; 8 hrs")</f>
        <v>4-6 hrs</v>
      </c>
      <c r="Y147" t="s">
        <v>20</v>
      </c>
    </row>
    <row r="148" spans="1:25" x14ac:dyDescent="0.3">
      <c r="A148" t="s">
        <v>182</v>
      </c>
      <c r="B148">
        <v>22</v>
      </c>
      <c r="C148" t="s">
        <v>20</v>
      </c>
      <c r="D148">
        <v>1</v>
      </c>
      <c r="E148" t="s">
        <v>21</v>
      </c>
      <c r="F148">
        <v>6.2</v>
      </c>
      <c r="G148">
        <v>4.7</v>
      </c>
      <c r="H148">
        <v>2</v>
      </c>
      <c r="I148">
        <v>8</v>
      </c>
      <c r="J148">
        <v>8</v>
      </c>
      <c r="K148" s="4" t="str" cm="1">
        <f t="array" ref="K148">_xlfn.IFS(stdsurvey[[#This Row],[phq9_score]]="","Answer Not Provided",stdsurvey[[#This Row],[phq9_score]]&lt;=4,"Minimal",stdsurvey[[#This Row],[phq9_score]]&lt;=9,"Mild",stdsurvey[[#This Row],[phq9_score]]&lt;=14,"Moderate",stdsurvey[[#This Row],[phq9_score]]&lt;=19,"Moderately Severe",stdsurvey[[#This Row],[phq9_score]]&lt;=27,"Severe")</f>
        <v>Mild</v>
      </c>
      <c r="L148">
        <v>19</v>
      </c>
      <c r="M148" s="4" t="str" cm="1">
        <f t="array" ref="M148">_xlfn.IFS(stdsurvey[[#This Row],[gad7_score]]="","Answer Not Provided",stdsurvey[[#This Row],[gad7_score]]&lt;=4,"Minimal",stdsurvey[[#This Row],[gad7_score]]&lt;=9,"Mild",stdsurvey[[#This Row],[gad7_score]]&lt;=14,"Moderate",stdsurvey[[#This Row],[gad7_score]]&lt;=21,"Severe")</f>
        <v>Mild</v>
      </c>
      <c r="N148">
        <v>20.100000000000001</v>
      </c>
      <c r="O148" s="4" t="str" cm="1">
        <f t="array" ref="O148">_xlfn.IFS(stdsurvey[[#This Row],[perceived_stress_scale]]="","Answer Not Provided",stdsurvey[[#This Row],[perceived_stress_scale]]&lt;=13,"Low Stress",stdsurvey[[#This Row],[perceived_stress_scale]]&lt;=26,"Moderate Stress",stdsurvey[[#This Row],[perceived_stress_scale]]&lt;=40,"High Stress")</f>
        <v>Moderate Stress</v>
      </c>
      <c r="P148">
        <v>82</v>
      </c>
      <c r="Q148">
        <v>2</v>
      </c>
      <c r="R148" s="4" t="str" cm="1">
        <f t="array" ref="R148">_xlfn.IFS(stdsurvey[[#This Row],[class_attendance_percent]]&lt;60,"Less than 0%",stdsurvey[[#This Row],[class_attendance_percent]]&lt;70,"60-70 %",stdsurvey[[#This Row],[class_attendance_percent]]&lt;80, "70-80%",stdsurvey[[#This Row],[class_attendance_percent]]&lt;90,"80-90%",TRUE,"More than 90%")</f>
        <v>80-90%</v>
      </c>
      <c r="S148" t="s">
        <v>22</v>
      </c>
      <c r="T148">
        <v>5</v>
      </c>
      <c r="U148" t="s">
        <v>26</v>
      </c>
      <c r="V148">
        <v>2.61</v>
      </c>
      <c r="W148" s="4" t="str" cm="1">
        <f t="array" ref="W14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48" s="4" t="str" cm="1">
        <f t="array" ref="X148">_xlfn.IFS(stdsurvey[[#This Row],[daily_sleep_hours]]&lt;4,"&lt; 4 hrs",stdsurvey[[#This Row],[daily_sleep_hours]]&lt;=6,"4-6 hrs",stdsurvey[[#This Row],[daily_sleep_hours]]&lt;=8,"6-8 hrs",TRUE,"&gt; 8 hrs")</f>
        <v>6-8 hrs</v>
      </c>
      <c r="Y148" t="s">
        <v>20</v>
      </c>
    </row>
    <row r="149" spans="1:25" x14ac:dyDescent="0.3">
      <c r="A149" t="s">
        <v>183</v>
      </c>
      <c r="B149">
        <v>20</v>
      </c>
      <c r="C149" t="s">
        <v>20</v>
      </c>
      <c r="D149">
        <v>1</v>
      </c>
      <c r="E149" t="s">
        <v>30</v>
      </c>
      <c r="F149">
        <v>6.1</v>
      </c>
      <c r="G149">
        <v>2.2000000000000002</v>
      </c>
      <c r="H149">
        <v>0</v>
      </c>
      <c r="I149">
        <v>5</v>
      </c>
      <c r="J149">
        <v>5</v>
      </c>
      <c r="K149" s="4" t="str" cm="1">
        <f t="array" ref="K149">_xlfn.IFS(stdsurvey[[#This Row],[phq9_score]]="","Answer Not Provided",stdsurvey[[#This Row],[phq9_score]]&lt;=4,"Minimal",stdsurvey[[#This Row],[phq9_score]]&lt;=9,"Mild",stdsurvey[[#This Row],[phq9_score]]&lt;=14,"Moderate",stdsurvey[[#This Row],[phq9_score]]&lt;=19,"Moderately Severe",stdsurvey[[#This Row],[phq9_score]]&lt;=27,"Severe")</f>
        <v>Mild</v>
      </c>
      <c r="L149">
        <v>10</v>
      </c>
      <c r="M149" s="4" t="str" cm="1">
        <f t="array" ref="M149">_xlfn.IFS(stdsurvey[[#This Row],[gad7_score]]="","Answer Not Provided",stdsurvey[[#This Row],[gad7_score]]&lt;=4,"Minimal",stdsurvey[[#This Row],[gad7_score]]&lt;=9,"Mild",stdsurvey[[#This Row],[gad7_score]]&lt;=14,"Moderate",stdsurvey[[#This Row],[gad7_score]]&lt;=21,"Severe")</f>
        <v>Mild</v>
      </c>
      <c r="N149">
        <v>9.8000000000000007</v>
      </c>
      <c r="O149" s="4" t="str" cm="1">
        <f t="array" ref="O149">_xlfn.IFS(stdsurvey[[#This Row],[perceived_stress_scale]]="","Answer Not Provided",stdsurvey[[#This Row],[perceived_stress_scale]]&lt;=13,"Low Stress",stdsurvey[[#This Row],[perceived_stress_scale]]&lt;=26,"Moderate Stress",stdsurvey[[#This Row],[perceived_stress_scale]]&lt;=40,"High Stress")</f>
        <v>Low Stress</v>
      </c>
      <c r="P149">
        <v>74.900000000000006</v>
      </c>
      <c r="Q149">
        <v>4</v>
      </c>
      <c r="R149" s="4" t="str" cm="1">
        <f t="array" ref="R149">_xlfn.IFS(stdsurvey[[#This Row],[class_attendance_percent]]&lt;60,"Less than 0%",stdsurvey[[#This Row],[class_attendance_percent]]&lt;70,"60-70 %",stdsurvey[[#This Row],[class_attendance_percent]]&lt;80, "70-80%",stdsurvey[[#This Row],[class_attendance_percent]]&lt;90,"80-90%",TRUE,"More than 90%")</f>
        <v>70-80%</v>
      </c>
      <c r="S149" t="s">
        <v>33</v>
      </c>
      <c r="T149">
        <v>3</v>
      </c>
      <c r="U149" t="s">
        <v>23</v>
      </c>
      <c r="V149">
        <v>2.87</v>
      </c>
      <c r="W149" s="4" t="str" cm="1">
        <f t="array" ref="W14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49" s="4" t="str" cm="1">
        <f t="array" ref="X149">_xlfn.IFS(stdsurvey[[#This Row],[daily_sleep_hours]]&lt;4,"&lt; 4 hrs",stdsurvey[[#This Row],[daily_sleep_hours]]&lt;=6,"4-6 hrs",stdsurvey[[#This Row],[daily_sleep_hours]]&lt;=8,"6-8 hrs",TRUE,"&gt; 8 hrs")</f>
        <v>6-8 hrs</v>
      </c>
      <c r="Y149" t="s">
        <v>20</v>
      </c>
    </row>
    <row r="150" spans="1:25" x14ac:dyDescent="0.3">
      <c r="A150" t="s">
        <v>184</v>
      </c>
      <c r="B150">
        <v>21</v>
      </c>
      <c r="C150" t="s">
        <v>20</v>
      </c>
      <c r="D150">
        <v>3</v>
      </c>
      <c r="E150" t="s">
        <v>21</v>
      </c>
      <c r="F150">
        <v>5</v>
      </c>
      <c r="G150">
        <v>6.5</v>
      </c>
      <c r="H150">
        <v>3</v>
      </c>
      <c r="I150">
        <v>6</v>
      </c>
      <c r="J150">
        <v>2</v>
      </c>
      <c r="K150" s="4" t="str" cm="1">
        <f t="array" ref="K150">_xlfn.IFS(stdsurvey[[#This Row],[phq9_score]]="","Answer Not Provided",stdsurvey[[#This Row],[phq9_score]]&lt;=4,"Minimal",stdsurvey[[#This Row],[phq9_score]]&lt;=9,"Mild",stdsurvey[[#This Row],[phq9_score]]&lt;=14,"Moderate",stdsurvey[[#This Row],[phq9_score]]&lt;=19,"Moderately Severe",stdsurvey[[#This Row],[phq9_score]]&lt;=27,"Severe")</f>
        <v>Mild</v>
      </c>
      <c r="L150">
        <v>6</v>
      </c>
      <c r="M150" s="4" t="str" cm="1">
        <f t="array" ref="M150">_xlfn.IFS(stdsurvey[[#This Row],[gad7_score]]="","Answer Not Provided",stdsurvey[[#This Row],[gad7_score]]&lt;=4,"Minimal",stdsurvey[[#This Row],[gad7_score]]&lt;=9,"Mild",stdsurvey[[#This Row],[gad7_score]]&lt;=14,"Moderate",stdsurvey[[#This Row],[gad7_score]]&lt;=21,"Severe")</f>
        <v>Minimal</v>
      </c>
      <c r="N150">
        <v>9.8000000000000007</v>
      </c>
      <c r="O150" s="4" t="str" cm="1">
        <f t="array" ref="O150">_xlfn.IFS(stdsurvey[[#This Row],[perceived_stress_scale]]="","Answer Not Provided",stdsurvey[[#This Row],[perceived_stress_scale]]&lt;=13,"Low Stress",stdsurvey[[#This Row],[perceived_stress_scale]]&lt;=26,"Moderate Stress",stdsurvey[[#This Row],[perceived_stress_scale]]&lt;=40,"High Stress")</f>
        <v>Low Stress</v>
      </c>
      <c r="P150">
        <v>72.7</v>
      </c>
      <c r="R150" s="4" t="str" cm="1">
        <f t="array" ref="R150">_xlfn.IFS(stdsurvey[[#This Row],[class_attendance_percent]]&lt;60,"Less than 0%",stdsurvey[[#This Row],[class_attendance_percent]]&lt;70,"60-70 %",stdsurvey[[#This Row],[class_attendance_percent]]&lt;80, "70-80%",stdsurvey[[#This Row],[class_attendance_percent]]&lt;90,"80-90%",TRUE,"More than 90%")</f>
        <v>70-80%</v>
      </c>
      <c r="S150" t="s">
        <v>22</v>
      </c>
      <c r="T150">
        <v>3</v>
      </c>
      <c r="U150" t="s">
        <v>23</v>
      </c>
      <c r="V150">
        <v>2.87</v>
      </c>
      <c r="W150" s="4" t="str" cm="1">
        <f t="array" ref="W15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50" s="4" t="str" cm="1">
        <f t="array" ref="X150">_xlfn.IFS(stdsurvey[[#This Row],[daily_sleep_hours]]&lt;4,"&lt; 4 hrs",stdsurvey[[#This Row],[daily_sleep_hours]]&lt;=6,"4-6 hrs",stdsurvey[[#This Row],[daily_sleep_hours]]&lt;=8,"6-8 hrs",TRUE,"&gt; 8 hrs")</f>
        <v>4-6 hrs</v>
      </c>
      <c r="Y150" t="s">
        <v>20</v>
      </c>
    </row>
    <row r="151" spans="1:25" x14ac:dyDescent="0.3">
      <c r="A151" t="s">
        <v>185</v>
      </c>
      <c r="B151">
        <v>20</v>
      </c>
      <c r="C151" t="s">
        <v>102</v>
      </c>
      <c r="D151">
        <v>3</v>
      </c>
      <c r="E151" t="s">
        <v>47</v>
      </c>
      <c r="F151">
        <v>3.9</v>
      </c>
      <c r="G151">
        <v>16</v>
      </c>
      <c r="H151">
        <v>1</v>
      </c>
      <c r="I151">
        <v>4</v>
      </c>
      <c r="J151">
        <v>1</v>
      </c>
      <c r="K151" s="4" t="str" cm="1">
        <f t="array" ref="K151">_xlfn.IFS(stdsurvey[[#This Row],[phq9_score]]="","Answer Not Provided",stdsurvey[[#This Row],[phq9_score]]&lt;=4,"Minimal",stdsurvey[[#This Row],[phq9_score]]&lt;=9,"Mild",stdsurvey[[#This Row],[phq9_score]]&lt;=14,"Moderate",stdsurvey[[#This Row],[phq9_score]]&lt;=19,"Moderately Severe",stdsurvey[[#This Row],[phq9_score]]&lt;=27,"Severe")</f>
        <v>Minimal</v>
      </c>
      <c r="L151">
        <v>7</v>
      </c>
      <c r="M151" s="4" t="str" cm="1">
        <f t="array" ref="M151">_xlfn.IFS(stdsurvey[[#This Row],[gad7_score]]="","Answer Not Provided",stdsurvey[[#This Row],[gad7_score]]&lt;=4,"Minimal",stdsurvey[[#This Row],[gad7_score]]&lt;=9,"Mild",stdsurvey[[#This Row],[gad7_score]]&lt;=14,"Moderate",stdsurvey[[#This Row],[gad7_score]]&lt;=21,"Severe")</f>
        <v>Minimal</v>
      </c>
      <c r="N151">
        <v>22.3</v>
      </c>
      <c r="O151" s="4" t="str" cm="1">
        <f t="array" ref="O151">_xlfn.IFS(stdsurvey[[#This Row],[perceived_stress_scale]]="","Answer Not Provided",stdsurvey[[#This Row],[perceived_stress_scale]]&lt;=13,"Low Stress",stdsurvey[[#This Row],[perceived_stress_scale]]&lt;=26,"Moderate Stress",stdsurvey[[#This Row],[perceived_stress_scale]]&lt;=40,"High Stress")</f>
        <v>Low Stress</v>
      </c>
      <c r="P151">
        <v>87.9</v>
      </c>
      <c r="Q151">
        <v>3</v>
      </c>
      <c r="R151" s="4" t="str" cm="1">
        <f t="array" ref="R151">_xlfn.IFS(stdsurvey[[#This Row],[class_attendance_percent]]&lt;60,"Less than 0%",stdsurvey[[#This Row],[class_attendance_percent]]&lt;70,"60-70 %",stdsurvey[[#This Row],[class_attendance_percent]]&lt;80, "70-80%",stdsurvey[[#This Row],[class_attendance_percent]]&lt;90,"80-90%",TRUE,"More than 90%")</f>
        <v>80-90%</v>
      </c>
      <c r="S151" t="s">
        <v>22</v>
      </c>
      <c r="T151">
        <v>3</v>
      </c>
      <c r="U151" t="s">
        <v>26</v>
      </c>
      <c r="V151">
        <v>4.2</v>
      </c>
      <c r="W151" s="4" t="str" cm="1">
        <f t="array" ref="W15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51" s="4" t="str" cm="1">
        <f t="array" ref="X151">_xlfn.IFS(stdsurvey[[#This Row],[daily_sleep_hours]]&lt;4,"&lt; 4 hrs",stdsurvey[[#This Row],[daily_sleep_hours]]&lt;=6,"4-6 hrs",stdsurvey[[#This Row],[daily_sleep_hours]]&lt;=8,"6-8 hrs",TRUE,"&gt; 8 hrs")</f>
        <v>&lt; 4 hrs</v>
      </c>
      <c r="Y151" t="s">
        <v>20</v>
      </c>
    </row>
    <row r="152" spans="1:25" x14ac:dyDescent="0.3">
      <c r="A152" t="s">
        <v>186</v>
      </c>
      <c r="B152">
        <v>21</v>
      </c>
      <c r="C152" t="s">
        <v>39</v>
      </c>
      <c r="D152">
        <v>2</v>
      </c>
      <c r="E152" t="s">
        <v>30</v>
      </c>
      <c r="F152">
        <v>6.5</v>
      </c>
      <c r="G152">
        <v>1.6</v>
      </c>
      <c r="H152">
        <v>3</v>
      </c>
      <c r="I152">
        <v>11</v>
      </c>
      <c r="J152">
        <v>5</v>
      </c>
      <c r="K152" s="4" t="str" cm="1">
        <f t="array" ref="K152">_xlfn.IFS(stdsurvey[[#This Row],[phq9_score]]="","Answer Not Provided",stdsurvey[[#This Row],[phq9_score]]&lt;=4,"Minimal",stdsurvey[[#This Row],[phq9_score]]&lt;=9,"Mild",stdsurvey[[#This Row],[phq9_score]]&lt;=14,"Moderate",stdsurvey[[#This Row],[phq9_score]]&lt;=19,"Moderately Severe",stdsurvey[[#This Row],[phq9_score]]&lt;=27,"Severe")</f>
        <v>Moderate</v>
      </c>
      <c r="L152">
        <v>15</v>
      </c>
      <c r="M152" s="4" t="str" cm="1">
        <f t="array" ref="M152">_xlfn.IFS(stdsurvey[[#This Row],[gad7_score]]="","Answer Not Provided",stdsurvey[[#This Row],[gad7_score]]&lt;=4,"Minimal",stdsurvey[[#This Row],[gad7_score]]&lt;=9,"Mild",stdsurvey[[#This Row],[gad7_score]]&lt;=14,"Moderate",stdsurvey[[#This Row],[gad7_score]]&lt;=21,"Severe")</f>
        <v>Mild</v>
      </c>
      <c r="N152">
        <v>12.8</v>
      </c>
      <c r="O152" s="4" t="str" cm="1">
        <f t="array" ref="O152">_xlfn.IFS(stdsurvey[[#This Row],[perceived_stress_scale]]="","Answer Not Provided",stdsurvey[[#This Row],[perceived_stress_scale]]&lt;=13,"Low Stress",stdsurvey[[#This Row],[perceived_stress_scale]]&lt;=26,"Moderate Stress",stdsurvey[[#This Row],[perceived_stress_scale]]&lt;=40,"High Stress")</f>
        <v>Moderate Stress</v>
      </c>
      <c r="P152">
        <v>98.7</v>
      </c>
      <c r="Q152">
        <v>3</v>
      </c>
      <c r="R152" s="4" t="str" cm="1">
        <f t="array" ref="R152">_xlfn.IFS(stdsurvey[[#This Row],[class_attendance_percent]]&lt;60,"Less than 0%",stdsurvey[[#This Row],[class_attendance_percent]]&lt;70,"60-70 %",stdsurvey[[#This Row],[class_attendance_percent]]&lt;80, "70-80%",stdsurvey[[#This Row],[class_attendance_percent]]&lt;90,"80-90%",TRUE,"More than 90%")</f>
        <v>More than 90%</v>
      </c>
      <c r="S152" t="s">
        <v>22</v>
      </c>
      <c r="T152">
        <v>4</v>
      </c>
      <c r="U152" t="s">
        <v>23</v>
      </c>
      <c r="V152">
        <v>3.09</v>
      </c>
      <c r="W152" s="4" t="str" cm="1">
        <f t="array" ref="W15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52" s="4" t="str" cm="1">
        <f t="array" ref="X152">_xlfn.IFS(stdsurvey[[#This Row],[daily_sleep_hours]]&lt;4,"&lt; 4 hrs",stdsurvey[[#This Row],[daily_sleep_hours]]&lt;=6,"4-6 hrs",stdsurvey[[#This Row],[daily_sleep_hours]]&lt;=8,"6-8 hrs",TRUE,"&gt; 8 hrs")</f>
        <v>6-8 hrs</v>
      </c>
      <c r="Y152" t="s">
        <v>27</v>
      </c>
    </row>
    <row r="153" spans="1:25" x14ac:dyDescent="0.3">
      <c r="A153" t="s">
        <v>187</v>
      </c>
      <c r="B153">
        <v>24</v>
      </c>
      <c r="C153" t="s">
        <v>20</v>
      </c>
      <c r="D153">
        <v>2</v>
      </c>
      <c r="E153" t="s">
        <v>21</v>
      </c>
      <c r="F153">
        <v>5.0999999999999996</v>
      </c>
      <c r="G153">
        <v>10.6</v>
      </c>
      <c r="H153">
        <v>1</v>
      </c>
      <c r="I153">
        <v>5</v>
      </c>
      <c r="J153">
        <v>6</v>
      </c>
      <c r="K153" s="4" t="str" cm="1">
        <f t="array" ref="K153">_xlfn.IFS(stdsurvey[[#This Row],[phq9_score]]="","Answer Not Provided",stdsurvey[[#This Row],[phq9_score]]&lt;=4,"Minimal",stdsurvey[[#This Row],[phq9_score]]&lt;=9,"Mild",stdsurvey[[#This Row],[phq9_score]]&lt;=14,"Moderate",stdsurvey[[#This Row],[phq9_score]]&lt;=19,"Moderately Severe",stdsurvey[[#This Row],[phq9_score]]&lt;=27,"Severe")</f>
        <v>Mild</v>
      </c>
      <c r="L153">
        <v>8</v>
      </c>
      <c r="M153" s="4" t="str" cm="1">
        <f t="array" ref="M153">_xlfn.IFS(stdsurvey[[#This Row],[gad7_score]]="","Answer Not Provided",stdsurvey[[#This Row],[gad7_score]]&lt;=4,"Minimal",stdsurvey[[#This Row],[gad7_score]]&lt;=9,"Mild",stdsurvey[[#This Row],[gad7_score]]&lt;=14,"Moderate",stdsurvey[[#This Row],[gad7_score]]&lt;=21,"Severe")</f>
        <v>Mild</v>
      </c>
      <c r="N153">
        <v>7.2</v>
      </c>
      <c r="O153" s="4" t="str" cm="1">
        <f t="array" ref="O153">_xlfn.IFS(stdsurvey[[#This Row],[perceived_stress_scale]]="","Answer Not Provided",stdsurvey[[#This Row],[perceived_stress_scale]]&lt;=13,"Low Stress",stdsurvey[[#This Row],[perceived_stress_scale]]&lt;=26,"Moderate Stress",stdsurvey[[#This Row],[perceived_stress_scale]]&lt;=40,"High Stress")</f>
        <v>Low Stress</v>
      </c>
      <c r="P153">
        <v>74.599999999999994</v>
      </c>
      <c r="Q153">
        <v>4</v>
      </c>
      <c r="R153" s="4" t="str" cm="1">
        <f t="array" ref="R153">_xlfn.IFS(stdsurvey[[#This Row],[class_attendance_percent]]&lt;60,"Less than 0%",stdsurvey[[#This Row],[class_attendance_percent]]&lt;70,"60-70 %",stdsurvey[[#This Row],[class_attendance_percent]]&lt;80, "70-80%",stdsurvey[[#This Row],[class_attendance_percent]]&lt;90,"80-90%",TRUE,"More than 90%")</f>
        <v>70-80%</v>
      </c>
      <c r="S153" t="s">
        <v>22</v>
      </c>
      <c r="T153">
        <v>3</v>
      </c>
      <c r="U153" t="s">
        <v>26</v>
      </c>
      <c r="V153">
        <v>2.39</v>
      </c>
      <c r="W153" s="4" t="str" cm="1">
        <f t="array" ref="W15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53" s="4" t="str" cm="1">
        <f t="array" ref="X153">_xlfn.IFS(stdsurvey[[#This Row],[daily_sleep_hours]]&lt;4,"&lt; 4 hrs",stdsurvey[[#This Row],[daily_sleep_hours]]&lt;=6,"4-6 hrs",stdsurvey[[#This Row],[daily_sleep_hours]]&lt;=8,"6-8 hrs",TRUE,"&gt; 8 hrs")</f>
        <v>4-6 hrs</v>
      </c>
      <c r="Y153" t="s">
        <v>20</v>
      </c>
    </row>
    <row r="154" spans="1:25" x14ac:dyDescent="0.3">
      <c r="A154" t="s">
        <v>188</v>
      </c>
      <c r="B154">
        <v>22</v>
      </c>
      <c r="C154" t="s">
        <v>27</v>
      </c>
      <c r="D154">
        <v>4</v>
      </c>
      <c r="E154" t="s">
        <v>35</v>
      </c>
      <c r="F154">
        <v>6.6</v>
      </c>
      <c r="G154">
        <v>6.2</v>
      </c>
      <c r="H154">
        <v>4</v>
      </c>
      <c r="I154">
        <v>9</v>
      </c>
      <c r="J154">
        <v>5</v>
      </c>
      <c r="K154" s="4" t="str" cm="1">
        <f t="array" ref="K154">_xlfn.IFS(stdsurvey[[#This Row],[phq9_score]]="","Answer Not Provided",stdsurvey[[#This Row],[phq9_score]]&lt;=4,"Minimal",stdsurvey[[#This Row],[phq9_score]]&lt;=9,"Mild",stdsurvey[[#This Row],[phq9_score]]&lt;=14,"Moderate",stdsurvey[[#This Row],[phq9_score]]&lt;=19,"Moderately Severe",stdsurvey[[#This Row],[phq9_score]]&lt;=27,"Severe")</f>
        <v>Mild</v>
      </c>
      <c r="L154">
        <v>18</v>
      </c>
      <c r="M154" s="4" t="str" cm="1">
        <f t="array" ref="M154">_xlfn.IFS(stdsurvey[[#This Row],[gad7_score]]="","Answer Not Provided",stdsurvey[[#This Row],[gad7_score]]&lt;=4,"Minimal",stdsurvey[[#This Row],[gad7_score]]&lt;=9,"Mild",stdsurvey[[#This Row],[gad7_score]]&lt;=14,"Moderate",stdsurvey[[#This Row],[gad7_score]]&lt;=21,"Severe")</f>
        <v>Mild</v>
      </c>
      <c r="N154">
        <v>5.0999999999999996</v>
      </c>
      <c r="O154" s="4" t="str" cm="1">
        <f t="array" ref="O154">_xlfn.IFS(stdsurvey[[#This Row],[perceived_stress_scale]]="","Answer Not Provided",stdsurvey[[#This Row],[perceived_stress_scale]]&lt;=13,"Low Stress",stdsurvey[[#This Row],[perceived_stress_scale]]&lt;=26,"Moderate Stress",stdsurvey[[#This Row],[perceived_stress_scale]]&lt;=40,"High Stress")</f>
        <v>Moderate Stress</v>
      </c>
      <c r="P154">
        <v>89</v>
      </c>
      <c r="Q154">
        <v>1</v>
      </c>
      <c r="R154" s="4" t="str" cm="1">
        <f t="array" ref="R154">_xlfn.IFS(stdsurvey[[#This Row],[class_attendance_percent]]&lt;60,"Less than 0%",stdsurvey[[#This Row],[class_attendance_percent]]&lt;70,"60-70 %",stdsurvey[[#This Row],[class_attendance_percent]]&lt;80, "70-80%",stdsurvey[[#This Row],[class_attendance_percent]]&lt;90,"80-90%",TRUE,"More than 90%")</f>
        <v>80-90%</v>
      </c>
      <c r="S154" t="s">
        <v>22</v>
      </c>
      <c r="T154">
        <v>4</v>
      </c>
      <c r="U154" t="s">
        <v>26</v>
      </c>
      <c r="V154">
        <v>2.6</v>
      </c>
      <c r="W154" s="4" t="str" cm="1">
        <f t="array" ref="W15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54" s="4" t="str" cm="1">
        <f t="array" ref="X154">_xlfn.IFS(stdsurvey[[#This Row],[daily_sleep_hours]]&lt;4,"&lt; 4 hrs",stdsurvey[[#This Row],[daily_sleep_hours]]&lt;=6,"4-6 hrs",stdsurvey[[#This Row],[daily_sleep_hours]]&lt;=8,"6-8 hrs",TRUE,"&gt; 8 hrs")</f>
        <v>6-8 hrs</v>
      </c>
      <c r="Y154" t="s">
        <v>27</v>
      </c>
    </row>
    <row r="155" spans="1:25" x14ac:dyDescent="0.3">
      <c r="A155" t="s">
        <v>189</v>
      </c>
      <c r="B155">
        <v>21</v>
      </c>
      <c r="C155" t="s">
        <v>45</v>
      </c>
      <c r="D155">
        <v>4</v>
      </c>
      <c r="E155" t="s">
        <v>30</v>
      </c>
      <c r="F155">
        <v>8</v>
      </c>
      <c r="G155">
        <v>2.6</v>
      </c>
      <c r="H155">
        <v>1</v>
      </c>
      <c r="I155">
        <v>9</v>
      </c>
      <c r="J155">
        <v>10</v>
      </c>
      <c r="K155" s="4" t="str" cm="1">
        <f t="array" ref="K155">_xlfn.IFS(stdsurvey[[#This Row],[phq9_score]]="","Answer Not Provided",stdsurvey[[#This Row],[phq9_score]]&lt;=4,"Minimal",stdsurvey[[#This Row],[phq9_score]]&lt;=9,"Mild",stdsurvey[[#This Row],[phq9_score]]&lt;=14,"Moderate",stdsurvey[[#This Row],[phq9_score]]&lt;=19,"Moderately Severe",stdsurvey[[#This Row],[phq9_score]]&lt;=27,"Severe")</f>
        <v>Mild</v>
      </c>
      <c r="L155">
        <v>22</v>
      </c>
      <c r="M155" s="4" t="str" cm="1">
        <f t="array" ref="M155">_xlfn.IFS(stdsurvey[[#This Row],[gad7_score]]="","Answer Not Provided",stdsurvey[[#This Row],[gad7_score]]&lt;=4,"Minimal",stdsurvey[[#This Row],[gad7_score]]&lt;=9,"Mild",stdsurvey[[#This Row],[gad7_score]]&lt;=14,"Moderate",stdsurvey[[#This Row],[gad7_score]]&lt;=21,"Severe")</f>
        <v>Moderate</v>
      </c>
      <c r="N155">
        <v>9.8000000000000007</v>
      </c>
      <c r="O155" s="4" t="str" cm="1">
        <f t="array" ref="O155">_xlfn.IFS(stdsurvey[[#This Row],[perceived_stress_scale]]="","Answer Not Provided",stdsurvey[[#This Row],[perceived_stress_scale]]&lt;=13,"Low Stress",stdsurvey[[#This Row],[perceived_stress_scale]]&lt;=26,"Moderate Stress",stdsurvey[[#This Row],[perceived_stress_scale]]&lt;=40,"High Stress")</f>
        <v>Moderate Stress</v>
      </c>
      <c r="P155">
        <v>71.2</v>
      </c>
      <c r="Q155">
        <v>5</v>
      </c>
      <c r="R155" s="4" t="str" cm="1">
        <f t="array" ref="R155">_xlfn.IFS(stdsurvey[[#This Row],[class_attendance_percent]]&lt;60,"Less than 0%",stdsurvey[[#This Row],[class_attendance_percent]]&lt;70,"60-70 %",stdsurvey[[#This Row],[class_attendance_percent]]&lt;80, "70-80%",stdsurvey[[#This Row],[class_attendance_percent]]&lt;90,"80-90%",TRUE,"More than 90%")</f>
        <v>70-80%</v>
      </c>
      <c r="S155" t="s">
        <v>22</v>
      </c>
      <c r="T155">
        <v>1</v>
      </c>
      <c r="U155" t="s">
        <v>26</v>
      </c>
      <c r="V155">
        <v>3.29</v>
      </c>
      <c r="W155" s="4" t="str" cm="1">
        <f t="array" ref="W15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55" s="4" t="str" cm="1">
        <f t="array" ref="X155">_xlfn.IFS(stdsurvey[[#This Row],[daily_sleep_hours]]&lt;4,"&lt; 4 hrs",stdsurvey[[#This Row],[daily_sleep_hours]]&lt;=6,"4-6 hrs",stdsurvey[[#This Row],[daily_sleep_hours]]&lt;=8,"6-8 hrs",TRUE,"&gt; 8 hrs")</f>
        <v>6-8 hrs</v>
      </c>
      <c r="Y155" t="s">
        <v>20</v>
      </c>
    </row>
    <row r="156" spans="1:25" x14ac:dyDescent="0.3">
      <c r="A156" t="s">
        <v>190</v>
      </c>
      <c r="B156">
        <v>19</v>
      </c>
      <c r="C156" t="s">
        <v>27</v>
      </c>
      <c r="D156">
        <v>3</v>
      </c>
      <c r="E156" t="s">
        <v>49</v>
      </c>
      <c r="F156">
        <v>6.4</v>
      </c>
      <c r="G156">
        <v>1</v>
      </c>
      <c r="H156">
        <v>5</v>
      </c>
      <c r="I156">
        <v>2</v>
      </c>
      <c r="J156">
        <v>3</v>
      </c>
      <c r="K156" s="4" t="str" cm="1">
        <f t="array" ref="K156">_xlfn.IFS(stdsurvey[[#This Row],[phq9_score]]="","Answer Not Provided",stdsurvey[[#This Row],[phq9_score]]&lt;=4,"Minimal",stdsurvey[[#This Row],[phq9_score]]&lt;=9,"Mild",stdsurvey[[#This Row],[phq9_score]]&lt;=14,"Moderate",stdsurvey[[#This Row],[phq9_score]]&lt;=19,"Moderately Severe",stdsurvey[[#This Row],[phq9_score]]&lt;=27,"Severe")</f>
        <v>Minimal</v>
      </c>
      <c r="L156">
        <v>9</v>
      </c>
      <c r="M156" s="4" t="str" cm="1">
        <f t="array" ref="M156">_xlfn.IFS(stdsurvey[[#This Row],[gad7_score]]="","Answer Not Provided",stdsurvey[[#This Row],[gad7_score]]&lt;=4,"Minimal",stdsurvey[[#This Row],[gad7_score]]&lt;=9,"Mild",stdsurvey[[#This Row],[gad7_score]]&lt;=14,"Moderate",stdsurvey[[#This Row],[gad7_score]]&lt;=21,"Severe")</f>
        <v>Minimal</v>
      </c>
      <c r="N156">
        <v>20</v>
      </c>
      <c r="O156" s="4" t="str" cm="1">
        <f t="array" ref="O156">_xlfn.IFS(stdsurvey[[#This Row],[perceived_stress_scale]]="","Answer Not Provided",stdsurvey[[#This Row],[perceived_stress_scale]]&lt;=13,"Low Stress",stdsurvey[[#This Row],[perceived_stress_scale]]&lt;=26,"Moderate Stress",stdsurvey[[#This Row],[perceived_stress_scale]]&lt;=40,"High Stress")</f>
        <v>Low Stress</v>
      </c>
      <c r="P156">
        <v>82</v>
      </c>
      <c r="Q156">
        <v>3</v>
      </c>
      <c r="R156" s="4" t="str" cm="1">
        <f t="array" ref="R156">_xlfn.IFS(stdsurvey[[#This Row],[class_attendance_percent]]&lt;60,"Less than 0%",stdsurvey[[#This Row],[class_attendance_percent]]&lt;70,"60-70 %",stdsurvey[[#This Row],[class_attendance_percent]]&lt;80, "70-80%",stdsurvey[[#This Row],[class_attendance_percent]]&lt;90,"80-90%",TRUE,"More than 90%")</f>
        <v>80-90%</v>
      </c>
      <c r="S156" t="s">
        <v>22</v>
      </c>
      <c r="T156">
        <v>4</v>
      </c>
      <c r="U156" t="s">
        <v>26</v>
      </c>
      <c r="V156">
        <v>3.71</v>
      </c>
      <c r="W156" s="4" t="str" cm="1">
        <f t="array" ref="W15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56" s="4" t="str" cm="1">
        <f t="array" ref="X156">_xlfn.IFS(stdsurvey[[#This Row],[daily_sleep_hours]]&lt;4,"&lt; 4 hrs",stdsurvey[[#This Row],[daily_sleep_hours]]&lt;=6,"4-6 hrs",stdsurvey[[#This Row],[daily_sleep_hours]]&lt;=8,"6-8 hrs",TRUE,"&gt; 8 hrs")</f>
        <v>6-8 hrs</v>
      </c>
      <c r="Y156" t="s">
        <v>27</v>
      </c>
    </row>
    <row r="157" spans="1:25" x14ac:dyDescent="0.3">
      <c r="A157" t="s">
        <v>191</v>
      </c>
      <c r="B157">
        <v>18</v>
      </c>
      <c r="C157" t="s">
        <v>20</v>
      </c>
      <c r="D157">
        <v>2</v>
      </c>
      <c r="E157" t="s">
        <v>30</v>
      </c>
      <c r="F157">
        <v>6.3</v>
      </c>
      <c r="G157">
        <v>1</v>
      </c>
      <c r="H157">
        <v>0</v>
      </c>
      <c r="I157">
        <v>11</v>
      </c>
      <c r="J157">
        <v>9</v>
      </c>
      <c r="K157" s="4" t="str" cm="1">
        <f t="array" ref="K157">_xlfn.IFS(stdsurvey[[#This Row],[phq9_score]]="","Answer Not Provided",stdsurvey[[#This Row],[phq9_score]]&lt;=4,"Minimal",stdsurvey[[#This Row],[phq9_score]]&lt;=9,"Mild",stdsurvey[[#This Row],[phq9_score]]&lt;=14,"Moderate",stdsurvey[[#This Row],[phq9_score]]&lt;=19,"Moderately Severe",stdsurvey[[#This Row],[phq9_score]]&lt;=27,"Severe")</f>
        <v>Moderate</v>
      </c>
      <c r="L157">
        <v>16</v>
      </c>
      <c r="M157" s="4" t="str" cm="1">
        <f t="array" ref="M157">_xlfn.IFS(stdsurvey[[#This Row],[gad7_score]]="","Answer Not Provided",stdsurvey[[#This Row],[gad7_score]]&lt;=4,"Minimal",stdsurvey[[#This Row],[gad7_score]]&lt;=9,"Mild",stdsurvey[[#This Row],[gad7_score]]&lt;=14,"Moderate",stdsurvey[[#This Row],[gad7_score]]&lt;=21,"Severe")</f>
        <v>Mild</v>
      </c>
      <c r="N157">
        <v>17.8</v>
      </c>
      <c r="O157" s="4" t="str" cm="1">
        <f t="array" ref="O157">_xlfn.IFS(stdsurvey[[#This Row],[perceived_stress_scale]]="","Answer Not Provided",stdsurvey[[#This Row],[perceived_stress_scale]]&lt;=13,"Low Stress",stdsurvey[[#This Row],[perceived_stress_scale]]&lt;=26,"Moderate Stress",stdsurvey[[#This Row],[perceived_stress_scale]]&lt;=40,"High Stress")</f>
        <v>Moderate Stress</v>
      </c>
      <c r="P157">
        <v>100</v>
      </c>
      <c r="Q157">
        <v>2</v>
      </c>
      <c r="R157" s="4" t="str" cm="1">
        <f t="array" ref="R157">_xlfn.IFS(stdsurvey[[#This Row],[class_attendance_percent]]&lt;60,"Less than 0%",stdsurvey[[#This Row],[class_attendance_percent]]&lt;70,"60-70 %",stdsurvey[[#This Row],[class_attendance_percent]]&lt;80, "70-80%",stdsurvey[[#This Row],[class_attendance_percent]]&lt;90,"80-90%",TRUE,"More than 90%")</f>
        <v>More than 90%</v>
      </c>
      <c r="S157" t="s">
        <v>22</v>
      </c>
      <c r="T157">
        <v>2</v>
      </c>
      <c r="U157" t="s">
        <v>51</v>
      </c>
      <c r="V157">
        <v>3.2</v>
      </c>
      <c r="W157" s="4" t="str" cm="1">
        <f t="array" ref="W15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57" s="4" t="str" cm="1">
        <f t="array" ref="X157">_xlfn.IFS(stdsurvey[[#This Row],[daily_sleep_hours]]&lt;4,"&lt; 4 hrs",stdsurvey[[#This Row],[daily_sleep_hours]]&lt;=6,"4-6 hrs",stdsurvey[[#This Row],[daily_sleep_hours]]&lt;=8,"6-8 hrs",TRUE,"&gt; 8 hrs")</f>
        <v>6-8 hrs</v>
      </c>
      <c r="Y157" t="s">
        <v>20</v>
      </c>
    </row>
    <row r="158" spans="1:25" x14ac:dyDescent="0.3">
      <c r="A158" t="s">
        <v>192</v>
      </c>
      <c r="B158">
        <v>20</v>
      </c>
      <c r="C158" t="s">
        <v>45</v>
      </c>
      <c r="D158">
        <v>2</v>
      </c>
      <c r="E158" t="s">
        <v>47</v>
      </c>
      <c r="F158">
        <v>7</v>
      </c>
      <c r="G158">
        <v>2.9</v>
      </c>
      <c r="H158">
        <v>3</v>
      </c>
      <c r="I158">
        <v>2</v>
      </c>
      <c r="J158">
        <v>2</v>
      </c>
      <c r="K158" s="4" t="str" cm="1">
        <f t="array" ref="K158">_xlfn.IFS(stdsurvey[[#This Row],[phq9_score]]="","Answer Not Provided",stdsurvey[[#This Row],[phq9_score]]&lt;=4,"Minimal",stdsurvey[[#This Row],[phq9_score]]&lt;=9,"Mild",stdsurvey[[#This Row],[phq9_score]]&lt;=14,"Moderate",stdsurvey[[#This Row],[phq9_score]]&lt;=19,"Moderately Severe",stdsurvey[[#This Row],[phq9_score]]&lt;=27,"Severe")</f>
        <v>Minimal</v>
      </c>
      <c r="L158">
        <v>3</v>
      </c>
      <c r="M158" s="4" t="str" cm="1">
        <f t="array" ref="M158">_xlfn.IFS(stdsurvey[[#This Row],[gad7_score]]="","Answer Not Provided",stdsurvey[[#This Row],[gad7_score]]&lt;=4,"Minimal",stdsurvey[[#This Row],[gad7_score]]&lt;=9,"Mild",stdsurvey[[#This Row],[gad7_score]]&lt;=14,"Moderate",stdsurvey[[#This Row],[gad7_score]]&lt;=21,"Severe")</f>
        <v>Minimal</v>
      </c>
      <c r="N158">
        <v>16.8</v>
      </c>
      <c r="O158" s="4" t="str" cm="1">
        <f t="array" ref="O158">_xlfn.IFS(stdsurvey[[#This Row],[perceived_stress_scale]]="","Answer Not Provided",stdsurvey[[#This Row],[perceived_stress_scale]]&lt;=13,"Low Stress",stdsurvey[[#This Row],[perceived_stress_scale]]&lt;=26,"Moderate Stress",stdsurvey[[#This Row],[perceived_stress_scale]]&lt;=40,"High Stress")</f>
        <v>Low Stress</v>
      </c>
      <c r="P158">
        <v>100</v>
      </c>
      <c r="Q158">
        <v>1</v>
      </c>
      <c r="R158" s="4" t="str" cm="1">
        <f t="array" ref="R158">_xlfn.IFS(stdsurvey[[#This Row],[class_attendance_percent]]&lt;60,"Less than 0%",stdsurvey[[#This Row],[class_attendance_percent]]&lt;70,"60-70 %",stdsurvey[[#This Row],[class_attendance_percent]]&lt;80, "70-80%",stdsurvey[[#This Row],[class_attendance_percent]]&lt;90,"80-90%",TRUE,"More than 90%")</f>
        <v>More than 90%</v>
      </c>
      <c r="S158" t="s">
        <v>22</v>
      </c>
      <c r="T158">
        <v>5</v>
      </c>
      <c r="U158" t="s">
        <v>51</v>
      </c>
      <c r="V158">
        <v>3.42</v>
      </c>
      <c r="W158" s="4" t="str" cm="1">
        <f t="array" ref="W15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58" s="4" t="str" cm="1">
        <f t="array" ref="X158">_xlfn.IFS(stdsurvey[[#This Row],[daily_sleep_hours]]&lt;4,"&lt; 4 hrs",stdsurvey[[#This Row],[daily_sleep_hours]]&lt;=6,"4-6 hrs",stdsurvey[[#This Row],[daily_sleep_hours]]&lt;=8,"6-8 hrs",TRUE,"&gt; 8 hrs")</f>
        <v>6-8 hrs</v>
      </c>
      <c r="Y158" t="s">
        <v>20</v>
      </c>
    </row>
    <row r="159" spans="1:25" x14ac:dyDescent="0.3">
      <c r="A159" t="s">
        <v>193</v>
      </c>
      <c r="B159">
        <v>21</v>
      </c>
      <c r="C159" t="s">
        <v>20</v>
      </c>
      <c r="D159">
        <v>3</v>
      </c>
      <c r="E159" t="s">
        <v>49</v>
      </c>
      <c r="F159">
        <v>7.2</v>
      </c>
      <c r="G159">
        <v>5.6</v>
      </c>
      <c r="H159">
        <v>2</v>
      </c>
      <c r="I159">
        <v>3</v>
      </c>
      <c r="J159">
        <v>5</v>
      </c>
      <c r="K159" s="4" t="str" cm="1">
        <f t="array" ref="K159">_xlfn.IFS(stdsurvey[[#This Row],[phq9_score]]="","Answer Not Provided",stdsurvey[[#This Row],[phq9_score]]&lt;=4,"Minimal",stdsurvey[[#This Row],[phq9_score]]&lt;=9,"Mild",stdsurvey[[#This Row],[phq9_score]]&lt;=14,"Moderate",stdsurvey[[#This Row],[phq9_score]]&lt;=19,"Moderately Severe",stdsurvey[[#This Row],[phq9_score]]&lt;=27,"Severe")</f>
        <v>Minimal</v>
      </c>
      <c r="L159">
        <v>14</v>
      </c>
      <c r="M159" s="4" t="str" cm="1">
        <f t="array" ref="M159">_xlfn.IFS(stdsurvey[[#This Row],[gad7_score]]="","Answer Not Provided",stdsurvey[[#This Row],[gad7_score]]&lt;=4,"Minimal",stdsurvey[[#This Row],[gad7_score]]&lt;=9,"Mild",stdsurvey[[#This Row],[gad7_score]]&lt;=14,"Moderate",stdsurvey[[#This Row],[gad7_score]]&lt;=21,"Severe")</f>
        <v>Mild</v>
      </c>
      <c r="N159">
        <v>20.3</v>
      </c>
      <c r="O159" s="4" t="str" cm="1">
        <f t="array" ref="O159">_xlfn.IFS(stdsurvey[[#This Row],[perceived_stress_scale]]="","Answer Not Provided",stdsurvey[[#This Row],[perceived_stress_scale]]&lt;=13,"Low Stress",stdsurvey[[#This Row],[perceived_stress_scale]]&lt;=26,"Moderate Stress",stdsurvey[[#This Row],[perceived_stress_scale]]&lt;=40,"High Stress")</f>
        <v>Moderate Stress</v>
      </c>
      <c r="P159">
        <v>86.2</v>
      </c>
      <c r="Q159">
        <v>5</v>
      </c>
      <c r="R159" s="4" t="str" cm="1">
        <f t="array" ref="R159">_xlfn.IFS(stdsurvey[[#This Row],[class_attendance_percent]]&lt;60,"Less than 0%",stdsurvey[[#This Row],[class_attendance_percent]]&lt;70,"60-70 %",stdsurvey[[#This Row],[class_attendance_percent]]&lt;80, "70-80%",stdsurvey[[#This Row],[class_attendance_percent]]&lt;90,"80-90%",TRUE,"More than 90%")</f>
        <v>80-90%</v>
      </c>
      <c r="S159" t="s">
        <v>22</v>
      </c>
      <c r="T159">
        <v>2</v>
      </c>
      <c r="U159" t="s">
        <v>23</v>
      </c>
      <c r="V159">
        <v>3</v>
      </c>
      <c r="W159" s="4" t="str" cm="1">
        <f t="array" ref="W15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59" s="4" t="str" cm="1">
        <f t="array" ref="X159">_xlfn.IFS(stdsurvey[[#This Row],[daily_sleep_hours]]&lt;4,"&lt; 4 hrs",stdsurvey[[#This Row],[daily_sleep_hours]]&lt;=6,"4-6 hrs",stdsurvey[[#This Row],[daily_sleep_hours]]&lt;=8,"6-8 hrs",TRUE,"&gt; 8 hrs")</f>
        <v>6-8 hrs</v>
      </c>
      <c r="Y159" t="s">
        <v>20</v>
      </c>
    </row>
    <row r="160" spans="1:25" x14ac:dyDescent="0.3">
      <c r="A160" t="s">
        <v>194</v>
      </c>
      <c r="B160">
        <v>25</v>
      </c>
      <c r="C160" t="s">
        <v>39</v>
      </c>
      <c r="D160">
        <v>2</v>
      </c>
      <c r="E160" t="s">
        <v>47</v>
      </c>
      <c r="F160">
        <v>5.7</v>
      </c>
      <c r="G160">
        <v>7.5</v>
      </c>
      <c r="H160">
        <v>1</v>
      </c>
      <c r="I160">
        <v>5</v>
      </c>
      <c r="J160">
        <v>4</v>
      </c>
      <c r="K160" s="4" t="str" cm="1">
        <f t="array" ref="K160">_xlfn.IFS(stdsurvey[[#This Row],[phq9_score]]="","Answer Not Provided",stdsurvey[[#This Row],[phq9_score]]&lt;=4,"Minimal",stdsurvey[[#This Row],[phq9_score]]&lt;=9,"Mild",stdsurvey[[#This Row],[phq9_score]]&lt;=14,"Moderate",stdsurvey[[#This Row],[phq9_score]]&lt;=19,"Moderately Severe",stdsurvey[[#This Row],[phq9_score]]&lt;=27,"Severe")</f>
        <v>Mild</v>
      </c>
      <c r="L160">
        <v>10</v>
      </c>
      <c r="M160" s="4" t="str" cm="1">
        <f t="array" ref="M160">_xlfn.IFS(stdsurvey[[#This Row],[gad7_score]]="","Answer Not Provided",stdsurvey[[#This Row],[gad7_score]]&lt;=4,"Minimal",stdsurvey[[#This Row],[gad7_score]]&lt;=9,"Mild",stdsurvey[[#This Row],[gad7_score]]&lt;=14,"Moderate",stdsurvey[[#This Row],[gad7_score]]&lt;=21,"Severe")</f>
        <v>Minimal</v>
      </c>
      <c r="N160">
        <v>16.2</v>
      </c>
      <c r="O160" s="4" t="str" cm="1">
        <f t="array" ref="O160">_xlfn.IFS(stdsurvey[[#This Row],[perceived_stress_scale]]="","Answer Not Provided",stdsurvey[[#This Row],[perceived_stress_scale]]&lt;=13,"Low Stress",stdsurvey[[#This Row],[perceived_stress_scale]]&lt;=26,"Moderate Stress",stdsurvey[[#This Row],[perceived_stress_scale]]&lt;=40,"High Stress")</f>
        <v>Low Stress</v>
      </c>
      <c r="P160">
        <v>85.6</v>
      </c>
      <c r="Q160">
        <v>5</v>
      </c>
      <c r="R160" s="4" t="str" cm="1">
        <f t="array" ref="R160">_xlfn.IFS(stdsurvey[[#This Row],[class_attendance_percent]]&lt;60,"Less than 0%",stdsurvey[[#This Row],[class_attendance_percent]]&lt;70,"60-70 %",stdsurvey[[#This Row],[class_attendance_percent]]&lt;80, "70-80%",stdsurvey[[#This Row],[class_attendance_percent]]&lt;90,"80-90%",TRUE,"More than 90%")</f>
        <v>80-90%</v>
      </c>
      <c r="S160" t="s">
        <v>33</v>
      </c>
      <c r="T160">
        <v>2</v>
      </c>
      <c r="U160" t="s">
        <v>23</v>
      </c>
      <c r="V160">
        <v>3.02</v>
      </c>
      <c r="W160" s="4" t="str" cm="1">
        <f t="array" ref="W16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60" s="4" t="str" cm="1">
        <f t="array" ref="X160">_xlfn.IFS(stdsurvey[[#This Row],[daily_sleep_hours]]&lt;4,"&lt; 4 hrs",stdsurvey[[#This Row],[daily_sleep_hours]]&lt;=6,"4-6 hrs",stdsurvey[[#This Row],[daily_sleep_hours]]&lt;=8,"6-8 hrs",TRUE,"&gt; 8 hrs")</f>
        <v>4-6 hrs</v>
      </c>
      <c r="Y160" t="s">
        <v>27</v>
      </c>
    </row>
    <row r="161" spans="1:25" x14ac:dyDescent="0.3">
      <c r="A161" t="s">
        <v>195</v>
      </c>
      <c r="B161">
        <v>22</v>
      </c>
      <c r="C161" t="s">
        <v>20</v>
      </c>
      <c r="D161">
        <v>3</v>
      </c>
      <c r="E161" t="s">
        <v>30</v>
      </c>
      <c r="F161">
        <v>6.9</v>
      </c>
      <c r="G161">
        <v>8.6</v>
      </c>
      <c r="H161">
        <v>3</v>
      </c>
      <c r="I161">
        <v>4</v>
      </c>
      <c r="J161">
        <v>3</v>
      </c>
      <c r="K161" s="4" t="str" cm="1">
        <f t="array" ref="K161">_xlfn.IFS(stdsurvey[[#This Row],[phq9_score]]="","Answer Not Provided",stdsurvey[[#This Row],[phq9_score]]&lt;=4,"Minimal",stdsurvey[[#This Row],[phq9_score]]&lt;=9,"Mild",stdsurvey[[#This Row],[phq9_score]]&lt;=14,"Moderate",stdsurvey[[#This Row],[phq9_score]]&lt;=19,"Moderately Severe",stdsurvey[[#This Row],[phq9_score]]&lt;=27,"Severe")</f>
        <v>Minimal</v>
      </c>
      <c r="L161">
        <v>8</v>
      </c>
      <c r="M161" s="4" t="str" cm="1">
        <f t="array" ref="M161">_xlfn.IFS(stdsurvey[[#This Row],[gad7_score]]="","Answer Not Provided",stdsurvey[[#This Row],[gad7_score]]&lt;=4,"Minimal",stdsurvey[[#This Row],[gad7_score]]&lt;=9,"Mild",stdsurvey[[#This Row],[gad7_score]]&lt;=14,"Moderate",stdsurvey[[#This Row],[gad7_score]]&lt;=21,"Severe")</f>
        <v>Minimal</v>
      </c>
      <c r="N161">
        <v>26.5</v>
      </c>
      <c r="O161" s="4" t="str" cm="1">
        <f t="array" ref="O161">_xlfn.IFS(stdsurvey[[#This Row],[perceived_stress_scale]]="","Answer Not Provided",stdsurvey[[#This Row],[perceived_stress_scale]]&lt;=13,"Low Stress",stdsurvey[[#This Row],[perceived_stress_scale]]&lt;=26,"Moderate Stress",stdsurvey[[#This Row],[perceived_stress_scale]]&lt;=40,"High Stress")</f>
        <v>Low Stress</v>
      </c>
      <c r="P161">
        <v>68.2</v>
      </c>
      <c r="Q161">
        <v>2</v>
      </c>
      <c r="R161" s="4" t="str" cm="1">
        <f t="array" ref="R161">_xlfn.IFS(stdsurvey[[#This Row],[class_attendance_percent]]&lt;60,"Less than 0%",stdsurvey[[#This Row],[class_attendance_percent]]&lt;70,"60-70 %",stdsurvey[[#This Row],[class_attendance_percent]]&lt;80, "70-80%",stdsurvey[[#This Row],[class_attendance_percent]]&lt;90,"80-90%",TRUE,"More than 90%")</f>
        <v>60-70 %</v>
      </c>
      <c r="S161" t="s">
        <v>33</v>
      </c>
      <c r="T161">
        <v>4</v>
      </c>
      <c r="U161" t="s">
        <v>23</v>
      </c>
      <c r="V161">
        <v>3.54</v>
      </c>
      <c r="W161" s="4" t="str" cm="1">
        <f t="array" ref="W16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61" s="4" t="str" cm="1">
        <f t="array" ref="X161">_xlfn.IFS(stdsurvey[[#This Row],[daily_sleep_hours]]&lt;4,"&lt; 4 hrs",stdsurvey[[#This Row],[daily_sleep_hours]]&lt;=6,"4-6 hrs",stdsurvey[[#This Row],[daily_sleep_hours]]&lt;=8,"6-8 hrs",TRUE,"&gt; 8 hrs")</f>
        <v>6-8 hrs</v>
      </c>
      <c r="Y161" t="s">
        <v>20</v>
      </c>
    </row>
    <row r="162" spans="1:25" x14ac:dyDescent="0.3">
      <c r="A162" t="s">
        <v>196</v>
      </c>
      <c r="B162">
        <v>24</v>
      </c>
      <c r="C162" t="s">
        <v>20</v>
      </c>
      <c r="D162">
        <v>3</v>
      </c>
      <c r="E162" t="s">
        <v>32</v>
      </c>
      <c r="F162">
        <v>7.6</v>
      </c>
      <c r="G162">
        <v>5.3</v>
      </c>
      <c r="H162">
        <v>4</v>
      </c>
      <c r="I162">
        <v>5</v>
      </c>
      <c r="J162">
        <v>8</v>
      </c>
      <c r="K162" s="4" t="str" cm="1">
        <f t="array" ref="K162">_xlfn.IFS(stdsurvey[[#This Row],[phq9_score]]="","Answer Not Provided",stdsurvey[[#This Row],[phq9_score]]&lt;=4,"Minimal",stdsurvey[[#This Row],[phq9_score]]&lt;=9,"Mild",stdsurvey[[#This Row],[phq9_score]]&lt;=14,"Moderate",stdsurvey[[#This Row],[phq9_score]]&lt;=19,"Moderately Severe",stdsurvey[[#This Row],[phq9_score]]&lt;=27,"Severe")</f>
        <v>Mild</v>
      </c>
      <c r="L162">
        <v>13</v>
      </c>
      <c r="M162" s="4" t="str" cm="1">
        <f t="array" ref="M162">_xlfn.IFS(stdsurvey[[#This Row],[gad7_score]]="","Answer Not Provided",stdsurvey[[#This Row],[gad7_score]]&lt;=4,"Minimal",stdsurvey[[#This Row],[gad7_score]]&lt;=9,"Mild",stdsurvey[[#This Row],[gad7_score]]&lt;=14,"Moderate",stdsurvey[[#This Row],[gad7_score]]&lt;=21,"Severe")</f>
        <v>Mild</v>
      </c>
      <c r="N162">
        <v>17.600000000000001</v>
      </c>
      <c r="O162" s="4" t="str" cm="1">
        <f t="array" ref="O162">_xlfn.IFS(stdsurvey[[#This Row],[perceived_stress_scale]]="","Answer Not Provided",stdsurvey[[#This Row],[perceived_stress_scale]]&lt;=13,"Low Stress",stdsurvey[[#This Row],[perceived_stress_scale]]&lt;=26,"Moderate Stress",stdsurvey[[#This Row],[perceived_stress_scale]]&lt;=40,"High Stress")</f>
        <v>Low Stress</v>
      </c>
      <c r="P162">
        <v>80.2</v>
      </c>
      <c r="Q162">
        <v>2</v>
      </c>
      <c r="R162" s="4" t="str" cm="1">
        <f t="array" ref="R162">_xlfn.IFS(stdsurvey[[#This Row],[class_attendance_percent]]&lt;60,"Less than 0%",stdsurvey[[#This Row],[class_attendance_percent]]&lt;70,"60-70 %",stdsurvey[[#This Row],[class_attendance_percent]]&lt;80, "70-80%",stdsurvey[[#This Row],[class_attendance_percent]]&lt;90,"80-90%",TRUE,"More than 90%")</f>
        <v>80-90%</v>
      </c>
      <c r="S162" t="s">
        <v>33</v>
      </c>
      <c r="T162">
        <v>4</v>
      </c>
      <c r="U162" t="s">
        <v>51</v>
      </c>
      <c r="V162">
        <v>2.65</v>
      </c>
      <c r="W162" s="4" t="str" cm="1">
        <f t="array" ref="W16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62" s="4" t="str" cm="1">
        <f t="array" ref="X162">_xlfn.IFS(stdsurvey[[#This Row],[daily_sleep_hours]]&lt;4,"&lt; 4 hrs",stdsurvey[[#This Row],[daily_sleep_hours]]&lt;=6,"4-6 hrs",stdsurvey[[#This Row],[daily_sleep_hours]]&lt;=8,"6-8 hrs",TRUE,"&gt; 8 hrs")</f>
        <v>6-8 hrs</v>
      </c>
      <c r="Y162" t="s">
        <v>20</v>
      </c>
    </row>
    <row r="163" spans="1:25" x14ac:dyDescent="0.3">
      <c r="A163" t="s">
        <v>197</v>
      </c>
      <c r="B163">
        <v>20</v>
      </c>
      <c r="C163" t="s">
        <v>27</v>
      </c>
      <c r="D163">
        <v>1</v>
      </c>
      <c r="E163" t="s">
        <v>49</v>
      </c>
      <c r="F163">
        <v>8</v>
      </c>
      <c r="G163">
        <v>4.8</v>
      </c>
      <c r="H163">
        <v>5</v>
      </c>
      <c r="I163">
        <v>5</v>
      </c>
      <c r="J163">
        <v>6</v>
      </c>
      <c r="K163" s="4" t="str" cm="1">
        <f t="array" ref="K163">_xlfn.IFS(stdsurvey[[#This Row],[phq9_score]]="","Answer Not Provided",stdsurvey[[#This Row],[phq9_score]]&lt;=4,"Minimal",stdsurvey[[#This Row],[phq9_score]]&lt;=9,"Mild",stdsurvey[[#This Row],[phq9_score]]&lt;=14,"Moderate",stdsurvey[[#This Row],[phq9_score]]&lt;=19,"Moderately Severe",stdsurvey[[#This Row],[phq9_score]]&lt;=27,"Severe")</f>
        <v>Mild</v>
      </c>
      <c r="L163">
        <v>9</v>
      </c>
      <c r="M163" s="4" t="str" cm="1">
        <f t="array" ref="M163">_xlfn.IFS(stdsurvey[[#This Row],[gad7_score]]="","Answer Not Provided",stdsurvey[[#This Row],[gad7_score]]&lt;=4,"Minimal",stdsurvey[[#This Row],[gad7_score]]&lt;=9,"Mild",stdsurvey[[#This Row],[gad7_score]]&lt;=14,"Moderate",stdsurvey[[#This Row],[gad7_score]]&lt;=21,"Severe")</f>
        <v>Mild</v>
      </c>
      <c r="N163">
        <v>23.3</v>
      </c>
      <c r="O163" s="4" t="str" cm="1">
        <f t="array" ref="O163">_xlfn.IFS(stdsurvey[[#This Row],[perceived_stress_scale]]="","Answer Not Provided",stdsurvey[[#This Row],[perceived_stress_scale]]&lt;=13,"Low Stress",stdsurvey[[#This Row],[perceived_stress_scale]]&lt;=26,"Moderate Stress",stdsurvey[[#This Row],[perceived_stress_scale]]&lt;=40,"High Stress")</f>
        <v>Low Stress</v>
      </c>
      <c r="P163">
        <v>87</v>
      </c>
      <c r="Q163">
        <v>3</v>
      </c>
      <c r="R163" s="4" t="str" cm="1">
        <f t="array" ref="R163">_xlfn.IFS(stdsurvey[[#This Row],[class_attendance_percent]]&lt;60,"Less than 0%",stdsurvey[[#This Row],[class_attendance_percent]]&lt;70,"60-70 %",stdsurvey[[#This Row],[class_attendance_percent]]&lt;80, "70-80%",stdsurvey[[#This Row],[class_attendance_percent]]&lt;90,"80-90%",TRUE,"More than 90%")</f>
        <v>80-90%</v>
      </c>
      <c r="S163" t="s">
        <v>33</v>
      </c>
      <c r="T163">
        <v>4</v>
      </c>
      <c r="U163" t="s">
        <v>23</v>
      </c>
      <c r="V163">
        <v>3.3</v>
      </c>
      <c r="W163" s="4" t="str" cm="1">
        <f t="array" ref="W16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63" s="4" t="str" cm="1">
        <f t="array" ref="X163">_xlfn.IFS(stdsurvey[[#This Row],[daily_sleep_hours]]&lt;4,"&lt; 4 hrs",stdsurvey[[#This Row],[daily_sleep_hours]]&lt;=6,"4-6 hrs",stdsurvey[[#This Row],[daily_sleep_hours]]&lt;=8,"6-8 hrs",TRUE,"&gt; 8 hrs")</f>
        <v>6-8 hrs</v>
      </c>
      <c r="Y163" t="s">
        <v>27</v>
      </c>
    </row>
    <row r="164" spans="1:25" x14ac:dyDescent="0.3">
      <c r="A164" t="s">
        <v>198</v>
      </c>
      <c r="B164">
        <v>19</v>
      </c>
      <c r="C164" t="s">
        <v>27</v>
      </c>
      <c r="D164">
        <v>1</v>
      </c>
      <c r="E164" t="s">
        <v>30</v>
      </c>
      <c r="F164">
        <v>8.4</v>
      </c>
      <c r="G164">
        <v>3.4</v>
      </c>
      <c r="H164">
        <v>2</v>
      </c>
      <c r="I164">
        <v>12</v>
      </c>
      <c r="J164">
        <v>9</v>
      </c>
      <c r="K164" s="4" t="str" cm="1">
        <f t="array" ref="K164">_xlfn.IFS(stdsurvey[[#This Row],[phq9_score]]="","Answer Not Provided",stdsurvey[[#This Row],[phq9_score]]&lt;=4,"Minimal",stdsurvey[[#This Row],[phq9_score]]&lt;=9,"Mild",stdsurvey[[#This Row],[phq9_score]]&lt;=14,"Moderate",stdsurvey[[#This Row],[phq9_score]]&lt;=19,"Moderately Severe",stdsurvey[[#This Row],[phq9_score]]&lt;=27,"Severe")</f>
        <v>Moderate</v>
      </c>
      <c r="L164">
        <v>17</v>
      </c>
      <c r="M164" s="4" t="str" cm="1">
        <f t="array" ref="M164">_xlfn.IFS(stdsurvey[[#This Row],[gad7_score]]="","Answer Not Provided",stdsurvey[[#This Row],[gad7_score]]&lt;=4,"Minimal",stdsurvey[[#This Row],[gad7_score]]&lt;=9,"Mild",stdsurvey[[#This Row],[gad7_score]]&lt;=14,"Moderate",stdsurvey[[#This Row],[gad7_score]]&lt;=21,"Severe")</f>
        <v>Mild</v>
      </c>
      <c r="N164">
        <v>17.8</v>
      </c>
      <c r="O164" s="4" t="str" cm="1">
        <f t="array" ref="O164">_xlfn.IFS(stdsurvey[[#This Row],[perceived_stress_scale]]="","Answer Not Provided",stdsurvey[[#This Row],[perceived_stress_scale]]&lt;=13,"Low Stress",stdsurvey[[#This Row],[perceived_stress_scale]]&lt;=26,"Moderate Stress",stdsurvey[[#This Row],[perceived_stress_scale]]&lt;=40,"High Stress")</f>
        <v>Moderate Stress</v>
      </c>
      <c r="P164">
        <v>84.9</v>
      </c>
      <c r="Q164">
        <v>2</v>
      </c>
      <c r="R164" s="4" t="str" cm="1">
        <f t="array" ref="R164">_xlfn.IFS(stdsurvey[[#This Row],[class_attendance_percent]]&lt;60,"Less than 0%",stdsurvey[[#This Row],[class_attendance_percent]]&lt;70,"60-70 %",stdsurvey[[#This Row],[class_attendance_percent]]&lt;80, "70-80%",stdsurvey[[#This Row],[class_attendance_percent]]&lt;90,"80-90%",TRUE,"More than 90%")</f>
        <v>80-90%</v>
      </c>
      <c r="S164" t="s">
        <v>22</v>
      </c>
      <c r="T164">
        <v>5</v>
      </c>
      <c r="U164" t="s">
        <v>26</v>
      </c>
      <c r="V164">
        <v>3.2</v>
      </c>
      <c r="W164" s="4" t="str" cm="1">
        <f t="array" ref="W16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64" s="4" t="str" cm="1">
        <f t="array" ref="X164">_xlfn.IFS(stdsurvey[[#This Row],[daily_sleep_hours]]&lt;4,"&lt; 4 hrs",stdsurvey[[#This Row],[daily_sleep_hours]]&lt;=6,"4-6 hrs",stdsurvey[[#This Row],[daily_sleep_hours]]&lt;=8,"6-8 hrs",TRUE,"&gt; 8 hrs")</f>
        <v>&gt; 8 hrs</v>
      </c>
      <c r="Y164" t="s">
        <v>27</v>
      </c>
    </row>
    <row r="165" spans="1:25" x14ac:dyDescent="0.3">
      <c r="A165" t="s">
        <v>199</v>
      </c>
      <c r="B165">
        <v>19</v>
      </c>
      <c r="C165" t="s">
        <v>20</v>
      </c>
      <c r="D165">
        <v>1</v>
      </c>
      <c r="E165" t="s">
        <v>30</v>
      </c>
      <c r="F165">
        <v>4.7</v>
      </c>
      <c r="G165">
        <v>5.7</v>
      </c>
      <c r="H165">
        <v>1</v>
      </c>
      <c r="I165">
        <v>4</v>
      </c>
      <c r="J165">
        <v>6</v>
      </c>
      <c r="K165" s="4" t="str" cm="1">
        <f t="array" ref="K165">_xlfn.IFS(stdsurvey[[#This Row],[phq9_score]]="","Answer Not Provided",stdsurvey[[#This Row],[phq9_score]]&lt;=4,"Minimal",stdsurvey[[#This Row],[phq9_score]]&lt;=9,"Mild",stdsurvey[[#This Row],[phq9_score]]&lt;=14,"Moderate",stdsurvey[[#This Row],[phq9_score]]&lt;=19,"Moderately Severe",stdsurvey[[#This Row],[phq9_score]]&lt;=27,"Severe")</f>
        <v>Minimal</v>
      </c>
      <c r="L165">
        <v>6</v>
      </c>
      <c r="M165" s="4" t="str" cm="1">
        <f t="array" ref="M165">_xlfn.IFS(stdsurvey[[#This Row],[gad7_score]]="","Answer Not Provided",stdsurvey[[#This Row],[gad7_score]]&lt;=4,"Minimal",stdsurvey[[#This Row],[gad7_score]]&lt;=9,"Mild",stdsurvey[[#This Row],[gad7_score]]&lt;=14,"Moderate",stdsurvey[[#This Row],[gad7_score]]&lt;=21,"Severe")</f>
        <v>Mild</v>
      </c>
      <c r="N165">
        <v>8.3000000000000007</v>
      </c>
      <c r="O165" s="4" t="str" cm="1">
        <f t="array" ref="O165">_xlfn.IFS(stdsurvey[[#This Row],[perceived_stress_scale]]="","Answer Not Provided",stdsurvey[[#This Row],[perceived_stress_scale]]&lt;=13,"Low Stress",stdsurvey[[#This Row],[perceived_stress_scale]]&lt;=26,"Moderate Stress",stdsurvey[[#This Row],[perceived_stress_scale]]&lt;=40,"High Stress")</f>
        <v>Low Stress</v>
      </c>
      <c r="P165">
        <v>82.7</v>
      </c>
      <c r="Q165">
        <v>4</v>
      </c>
      <c r="R165" s="4" t="str" cm="1">
        <f t="array" ref="R165">_xlfn.IFS(stdsurvey[[#This Row],[class_attendance_percent]]&lt;60,"Less than 0%",stdsurvey[[#This Row],[class_attendance_percent]]&lt;70,"60-70 %",stdsurvey[[#This Row],[class_attendance_percent]]&lt;80, "70-80%",stdsurvey[[#This Row],[class_attendance_percent]]&lt;90,"80-90%",TRUE,"More than 90%")</f>
        <v>80-90%</v>
      </c>
      <c r="S165" t="s">
        <v>33</v>
      </c>
      <c r="T165">
        <v>2</v>
      </c>
      <c r="U165" t="s">
        <v>23</v>
      </c>
      <c r="V165">
        <v>2.79</v>
      </c>
      <c r="W165" s="4" t="str" cm="1">
        <f t="array" ref="W16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65" s="4" t="str" cm="1">
        <f t="array" ref="X165">_xlfn.IFS(stdsurvey[[#This Row],[daily_sleep_hours]]&lt;4,"&lt; 4 hrs",stdsurvey[[#This Row],[daily_sleep_hours]]&lt;=6,"4-6 hrs",stdsurvey[[#This Row],[daily_sleep_hours]]&lt;=8,"6-8 hrs",TRUE,"&gt; 8 hrs")</f>
        <v>4-6 hrs</v>
      </c>
      <c r="Y165" t="s">
        <v>20</v>
      </c>
    </row>
    <row r="166" spans="1:25" x14ac:dyDescent="0.3">
      <c r="A166" t="s">
        <v>200</v>
      </c>
      <c r="B166">
        <v>20</v>
      </c>
      <c r="C166" t="s">
        <v>27</v>
      </c>
      <c r="D166">
        <v>4</v>
      </c>
      <c r="E166" t="s">
        <v>30</v>
      </c>
      <c r="F166">
        <v>6.6</v>
      </c>
      <c r="G166">
        <v>2.7</v>
      </c>
      <c r="H166">
        <v>4</v>
      </c>
      <c r="I166">
        <v>8</v>
      </c>
      <c r="J166">
        <v>7</v>
      </c>
      <c r="K166" s="4" t="str" cm="1">
        <f t="array" ref="K166">_xlfn.IFS(stdsurvey[[#This Row],[phq9_score]]="","Answer Not Provided",stdsurvey[[#This Row],[phq9_score]]&lt;=4,"Minimal",stdsurvey[[#This Row],[phq9_score]]&lt;=9,"Mild",stdsurvey[[#This Row],[phq9_score]]&lt;=14,"Moderate",stdsurvey[[#This Row],[phq9_score]]&lt;=19,"Moderately Severe",stdsurvey[[#This Row],[phq9_score]]&lt;=27,"Severe")</f>
        <v>Mild</v>
      </c>
      <c r="L166">
        <v>17</v>
      </c>
      <c r="M166" s="4" t="str" cm="1">
        <f t="array" ref="M166">_xlfn.IFS(stdsurvey[[#This Row],[gad7_score]]="","Answer Not Provided",stdsurvey[[#This Row],[gad7_score]]&lt;=4,"Minimal",stdsurvey[[#This Row],[gad7_score]]&lt;=9,"Mild",stdsurvey[[#This Row],[gad7_score]]&lt;=14,"Moderate",stdsurvey[[#This Row],[gad7_score]]&lt;=21,"Severe")</f>
        <v>Mild</v>
      </c>
      <c r="N166">
        <v>14.1</v>
      </c>
      <c r="O166" s="4" t="str" cm="1">
        <f t="array" ref="O166">_xlfn.IFS(stdsurvey[[#This Row],[perceived_stress_scale]]="","Answer Not Provided",stdsurvey[[#This Row],[perceived_stress_scale]]&lt;=13,"Low Stress",stdsurvey[[#This Row],[perceived_stress_scale]]&lt;=26,"Moderate Stress",stdsurvey[[#This Row],[perceived_stress_scale]]&lt;=40,"High Stress")</f>
        <v>Moderate Stress</v>
      </c>
      <c r="P166">
        <v>66</v>
      </c>
      <c r="Q166">
        <v>1</v>
      </c>
      <c r="R166" s="4" t="str" cm="1">
        <f t="array" ref="R166">_xlfn.IFS(stdsurvey[[#This Row],[class_attendance_percent]]&lt;60,"Less than 0%",stdsurvey[[#This Row],[class_attendance_percent]]&lt;70,"60-70 %",stdsurvey[[#This Row],[class_attendance_percent]]&lt;80, "70-80%",stdsurvey[[#This Row],[class_attendance_percent]]&lt;90,"80-90%",TRUE,"More than 90%")</f>
        <v>60-70 %</v>
      </c>
      <c r="S166" t="s">
        <v>22</v>
      </c>
      <c r="T166">
        <v>4</v>
      </c>
      <c r="U166" t="s">
        <v>51</v>
      </c>
      <c r="V166">
        <v>3.33</v>
      </c>
      <c r="W166" s="4" t="str" cm="1">
        <f t="array" ref="W16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66" s="4" t="str" cm="1">
        <f t="array" ref="X166">_xlfn.IFS(stdsurvey[[#This Row],[daily_sleep_hours]]&lt;4,"&lt; 4 hrs",stdsurvey[[#This Row],[daily_sleep_hours]]&lt;=6,"4-6 hrs",stdsurvey[[#This Row],[daily_sleep_hours]]&lt;=8,"6-8 hrs",TRUE,"&gt; 8 hrs")</f>
        <v>6-8 hrs</v>
      </c>
      <c r="Y166" t="s">
        <v>27</v>
      </c>
    </row>
    <row r="167" spans="1:25" x14ac:dyDescent="0.3">
      <c r="A167" t="s">
        <v>201</v>
      </c>
      <c r="B167">
        <v>26</v>
      </c>
      <c r="C167" t="s">
        <v>45</v>
      </c>
      <c r="D167">
        <v>3</v>
      </c>
      <c r="E167" t="s">
        <v>35</v>
      </c>
      <c r="F167">
        <v>6.8</v>
      </c>
      <c r="G167">
        <v>1.7</v>
      </c>
      <c r="H167">
        <v>3</v>
      </c>
      <c r="I167">
        <v>12</v>
      </c>
      <c r="J167">
        <v>11</v>
      </c>
      <c r="K167" s="4" t="str" cm="1">
        <f t="array" ref="K167">_xlfn.IFS(stdsurvey[[#This Row],[phq9_score]]="","Answer Not Provided",stdsurvey[[#This Row],[phq9_score]]&lt;=4,"Minimal",stdsurvey[[#This Row],[phq9_score]]&lt;=9,"Mild",stdsurvey[[#This Row],[phq9_score]]&lt;=14,"Moderate",stdsurvey[[#This Row],[phq9_score]]&lt;=19,"Moderately Severe",stdsurvey[[#This Row],[phq9_score]]&lt;=27,"Severe")</f>
        <v>Moderate</v>
      </c>
      <c r="L167">
        <v>17</v>
      </c>
      <c r="M167" s="4" t="str" cm="1">
        <f t="array" ref="M167">_xlfn.IFS(stdsurvey[[#This Row],[gad7_score]]="","Answer Not Provided",stdsurvey[[#This Row],[gad7_score]]&lt;=4,"Minimal",stdsurvey[[#This Row],[gad7_score]]&lt;=9,"Mild",stdsurvey[[#This Row],[gad7_score]]&lt;=14,"Moderate",stdsurvey[[#This Row],[gad7_score]]&lt;=21,"Severe")</f>
        <v>Moderate</v>
      </c>
      <c r="N167">
        <v>8.6999999999999993</v>
      </c>
      <c r="O167" s="4" t="str" cm="1">
        <f t="array" ref="O167">_xlfn.IFS(stdsurvey[[#This Row],[perceived_stress_scale]]="","Answer Not Provided",stdsurvey[[#This Row],[perceived_stress_scale]]&lt;=13,"Low Stress",stdsurvey[[#This Row],[perceived_stress_scale]]&lt;=26,"Moderate Stress",stdsurvey[[#This Row],[perceived_stress_scale]]&lt;=40,"High Stress")</f>
        <v>Moderate Stress</v>
      </c>
      <c r="P167">
        <v>89.3</v>
      </c>
      <c r="Q167">
        <v>3</v>
      </c>
      <c r="R167" s="4" t="str" cm="1">
        <f t="array" ref="R167">_xlfn.IFS(stdsurvey[[#This Row],[class_attendance_percent]]&lt;60,"Less than 0%",stdsurvey[[#This Row],[class_attendance_percent]]&lt;70,"60-70 %",stdsurvey[[#This Row],[class_attendance_percent]]&lt;80, "70-80%",stdsurvey[[#This Row],[class_attendance_percent]]&lt;90,"80-90%",TRUE,"More than 90%")</f>
        <v>80-90%</v>
      </c>
      <c r="S167" t="s">
        <v>22</v>
      </c>
      <c r="T167">
        <v>3</v>
      </c>
      <c r="U167" t="s">
        <v>26</v>
      </c>
      <c r="V167">
        <v>3.41</v>
      </c>
      <c r="W167" s="4" t="str" cm="1">
        <f t="array" ref="W16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67" s="4" t="str" cm="1">
        <f t="array" ref="X167">_xlfn.IFS(stdsurvey[[#This Row],[daily_sleep_hours]]&lt;4,"&lt; 4 hrs",stdsurvey[[#This Row],[daily_sleep_hours]]&lt;=6,"4-6 hrs",stdsurvey[[#This Row],[daily_sleep_hours]]&lt;=8,"6-8 hrs",TRUE,"&gt; 8 hrs")</f>
        <v>6-8 hrs</v>
      </c>
      <c r="Y167" t="s">
        <v>20</v>
      </c>
    </row>
    <row r="168" spans="1:25" x14ac:dyDescent="0.3">
      <c r="A168" t="s">
        <v>202</v>
      </c>
      <c r="B168">
        <v>20</v>
      </c>
      <c r="C168" t="s">
        <v>27</v>
      </c>
      <c r="D168">
        <v>1</v>
      </c>
      <c r="E168" t="s">
        <v>49</v>
      </c>
      <c r="F168">
        <v>6.5</v>
      </c>
      <c r="G168">
        <v>4.5999999999999996</v>
      </c>
      <c r="H168">
        <v>1</v>
      </c>
      <c r="I168">
        <v>5</v>
      </c>
      <c r="J168">
        <v>4</v>
      </c>
      <c r="K168" s="4" t="str" cm="1">
        <f t="array" ref="K168">_xlfn.IFS(stdsurvey[[#This Row],[phq9_score]]="","Answer Not Provided",stdsurvey[[#This Row],[phq9_score]]&lt;=4,"Minimal",stdsurvey[[#This Row],[phq9_score]]&lt;=9,"Mild",stdsurvey[[#This Row],[phq9_score]]&lt;=14,"Moderate",stdsurvey[[#This Row],[phq9_score]]&lt;=19,"Moderately Severe",stdsurvey[[#This Row],[phq9_score]]&lt;=27,"Severe")</f>
        <v>Mild</v>
      </c>
      <c r="L168">
        <v>14</v>
      </c>
      <c r="M168" s="4" t="str" cm="1">
        <f t="array" ref="M168">_xlfn.IFS(stdsurvey[[#This Row],[gad7_score]]="","Answer Not Provided",stdsurvey[[#This Row],[gad7_score]]&lt;=4,"Minimal",stdsurvey[[#This Row],[gad7_score]]&lt;=9,"Mild",stdsurvey[[#This Row],[gad7_score]]&lt;=14,"Moderate",stdsurvey[[#This Row],[gad7_score]]&lt;=21,"Severe")</f>
        <v>Minimal</v>
      </c>
      <c r="N168">
        <v>16</v>
      </c>
      <c r="O168" s="4" t="str" cm="1">
        <f t="array" ref="O168">_xlfn.IFS(stdsurvey[[#This Row],[perceived_stress_scale]]="","Answer Not Provided",stdsurvey[[#This Row],[perceived_stress_scale]]&lt;=13,"Low Stress",stdsurvey[[#This Row],[perceived_stress_scale]]&lt;=26,"Moderate Stress",stdsurvey[[#This Row],[perceived_stress_scale]]&lt;=40,"High Stress")</f>
        <v>Moderate Stress</v>
      </c>
      <c r="P168">
        <v>74.599999999999994</v>
      </c>
      <c r="Q168">
        <v>3</v>
      </c>
      <c r="R168" s="4" t="str" cm="1">
        <f t="array" ref="R168">_xlfn.IFS(stdsurvey[[#This Row],[class_attendance_percent]]&lt;60,"Less than 0%",stdsurvey[[#This Row],[class_attendance_percent]]&lt;70,"60-70 %",stdsurvey[[#This Row],[class_attendance_percent]]&lt;80, "70-80%",stdsurvey[[#This Row],[class_attendance_percent]]&lt;90,"80-90%",TRUE,"More than 90%")</f>
        <v>70-80%</v>
      </c>
      <c r="S168" t="s">
        <v>22</v>
      </c>
      <c r="T168">
        <v>3</v>
      </c>
      <c r="U168" t="s">
        <v>23</v>
      </c>
      <c r="V168">
        <v>3.02</v>
      </c>
      <c r="W168" s="4" t="str" cm="1">
        <f t="array" ref="W16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68" s="4" t="str" cm="1">
        <f t="array" ref="X168">_xlfn.IFS(stdsurvey[[#This Row],[daily_sleep_hours]]&lt;4,"&lt; 4 hrs",stdsurvey[[#This Row],[daily_sleep_hours]]&lt;=6,"4-6 hrs",stdsurvey[[#This Row],[daily_sleep_hours]]&lt;=8,"6-8 hrs",TRUE,"&gt; 8 hrs")</f>
        <v>6-8 hrs</v>
      </c>
      <c r="Y168" t="s">
        <v>27</v>
      </c>
    </row>
    <row r="169" spans="1:25" x14ac:dyDescent="0.3">
      <c r="A169" t="s">
        <v>203</v>
      </c>
      <c r="B169">
        <v>23</v>
      </c>
      <c r="C169" t="s">
        <v>20</v>
      </c>
      <c r="D169">
        <v>4</v>
      </c>
      <c r="E169" t="s">
        <v>49</v>
      </c>
      <c r="F169">
        <v>4.9000000000000004</v>
      </c>
      <c r="G169">
        <v>7.2</v>
      </c>
      <c r="H169">
        <v>4</v>
      </c>
      <c r="I169">
        <v>5</v>
      </c>
      <c r="J169">
        <v>9</v>
      </c>
      <c r="K169" s="4" t="str" cm="1">
        <f t="array" ref="K169">_xlfn.IFS(stdsurvey[[#This Row],[phq9_score]]="","Answer Not Provided",stdsurvey[[#This Row],[phq9_score]]&lt;=4,"Minimal",stdsurvey[[#This Row],[phq9_score]]&lt;=9,"Mild",stdsurvey[[#This Row],[phq9_score]]&lt;=14,"Moderate",stdsurvey[[#This Row],[phq9_score]]&lt;=19,"Moderately Severe",stdsurvey[[#This Row],[phq9_score]]&lt;=27,"Severe")</f>
        <v>Mild</v>
      </c>
      <c r="L169">
        <v>11</v>
      </c>
      <c r="M169" s="4" t="str" cm="1">
        <f t="array" ref="M169">_xlfn.IFS(stdsurvey[[#This Row],[gad7_score]]="","Answer Not Provided",stdsurvey[[#This Row],[gad7_score]]&lt;=4,"Minimal",stdsurvey[[#This Row],[gad7_score]]&lt;=9,"Mild",stdsurvey[[#This Row],[gad7_score]]&lt;=14,"Moderate",stdsurvey[[#This Row],[gad7_score]]&lt;=21,"Severe")</f>
        <v>Mild</v>
      </c>
      <c r="N169">
        <v>11.7</v>
      </c>
      <c r="O169" s="4" t="str" cm="1">
        <f t="array" ref="O169">_xlfn.IFS(stdsurvey[[#This Row],[perceived_stress_scale]]="","Answer Not Provided",stdsurvey[[#This Row],[perceived_stress_scale]]&lt;=13,"Low Stress",stdsurvey[[#This Row],[perceived_stress_scale]]&lt;=26,"Moderate Stress",stdsurvey[[#This Row],[perceived_stress_scale]]&lt;=40,"High Stress")</f>
        <v>Low Stress</v>
      </c>
      <c r="P169">
        <v>64.400000000000006</v>
      </c>
      <c r="Q169">
        <v>3</v>
      </c>
      <c r="R169" s="4" t="str" cm="1">
        <f t="array" ref="R169">_xlfn.IFS(stdsurvey[[#This Row],[class_attendance_percent]]&lt;60,"Less than 0%",stdsurvey[[#This Row],[class_attendance_percent]]&lt;70,"60-70 %",stdsurvey[[#This Row],[class_attendance_percent]]&lt;80, "70-80%",stdsurvey[[#This Row],[class_attendance_percent]]&lt;90,"80-90%",TRUE,"More than 90%")</f>
        <v>60-70 %</v>
      </c>
      <c r="S169" t="s">
        <v>22</v>
      </c>
      <c r="T169">
        <v>3</v>
      </c>
      <c r="U169" t="s">
        <v>26</v>
      </c>
      <c r="V169">
        <v>2.81</v>
      </c>
      <c r="W169" s="4" t="str" cm="1">
        <f t="array" ref="W16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69" s="4" t="str" cm="1">
        <f t="array" ref="X169">_xlfn.IFS(stdsurvey[[#This Row],[daily_sleep_hours]]&lt;4,"&lt; 4 hrs",stdsurvey[[#This Row],[daily_sleep_hours]]&lt;=6,"4-6 hrs",stdsurvey[[#This Row],[daily_sleep_hours]]&lt;=8,"6-8 hrs",TRUE,"&gt; 8 hrs")</f>
        <v>4-6 hrs</v>
      </c>
      <c r="Y169" t="s">
        <v>20</v>
      </c>
    </row>
    <row r="170" spans="1:25" x14ac:dyDescent="0.3">
      <c r="A170" t="s">
        <v>204</v>
      </c>
      <c r="B170">
        <v>20</v>
      </c>
      <c r="C170" t="s">
        <v>39</v>
      </c>
      <c r="D170">
        <v>2</v>
      </c>
      <c r="E170" t="s">
        <v>49</v>
      </c>
      <c r="F170">
        <v>4.5999999999999996</v>
      </c>
      <c r="G170">
        <v>1.4</v>
      </c>
      <c r="H170">
        <v>3</v>
      </c>
      <c r="I170">
        <v>2</v>
      </c>
      <c r="J170">
        <v>2</v>
      </c>
      <c r="K170" s="4" t="str" cm="1">
        <f t="array" ref="K170">_xlfn.IFS(stdsurvey[[#This Row],[phq9_score]]="","Answer Not Provided",stdsurvey[[#This Row],[phq9_score]]&lt;=4,"Minimal",stdsurvey[[#This Row],[phq9_score]]&lt;=9,"Mild",stdsurvey[[#This Row],[phq9_score]]&lt;=14,"Moderate",stdsurvey[[#This Row],[phq9_score]]&lt;=19,"Moderately Severe",stdsurvey[[#This Row],[phq9_score]]&lt;=27,"Severe")</f>
        <v>Minimal</v>
      </c>
      <c r="L170">
        <v>7</v>
      </c>
      <c r="M170" s="4" t="str" cm="1">
        <f t="array" ref="M170">_xlfn.IFS(stdsurvey[[#This Row],[gad7_score]]="","Answer Not Provided",stdsurvey[[#This Row],[gad7_score]]&lt;=4,"Minimal",stdsurvey[[#This Row],[gad7_score]]&lt;=9,"Mild",stdsurvey[[#This Row],[gad7_score]]&lt;=14,"Moderate",stdsurvey[[#This Row],[gad7_score]]&lt;=21,"Severe")</f>
        <v>Minimal</v>
      </c>
      <c r="N170">
        <v>17</v>
      </c>
      <c r="O170" s="4" t="str" cm="1">
        <f t="array" ref="O170">_xlfn.IFS(stdsurvey[[#This Row],[perceived_stress_scale]]="","Answer Not Provided",stdsurvey[[#This Row],[perceived_stress_scale]]&lt;=13,"Low Stress",stdsurvey[[#This Row],[perceived_stress_scale]]&lt;=26,"Moderate Stress",stdsurvey[[#This Row],[perceived_stress_scale]]&lt;=40,"High Stress")</f>
        <v>Low Stress</v>
      </c>
      <c r="P170">
        <v>100</v>
      </c>
      <c r="Q170">
        <v>3</v>
      </c>
      <c r="R170" s="4" t="str" cm="1">
        <f t="array" ref="R170">_xlfn.IFS(stdsurvey[[#This Row],[class_attendance_percent]]&lt;60,"Less than 0%",stdsurvey[[#This Row],[class_attendance_percent]]&lt;70,"60-70 %",stdsurvey[[#This Row],[class_attendance_percent]]&lt;80, "70-80%",stdsurvey[[#This Row],[class_attendance_percent]]&lt;90,"80-90%",TRUE,"More than 90%")</f>
        <v>More than 90%</v>
      </c>
      <c r="S170" t="s">
        <v>33</v>
      </c>
      <c r="T170">
        <v>1</v>
      </c>
      <c r="U170" t="s">
        <v>26</v>
      </c>
      <c r="V170">
        <v>3.06</v>
      </c>
      <c r="W170" s="4" t="str" cm="1">
        <f t="array" ref="W17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70" s="4" t="str" cm="1">
        <f t="array" ref="X170">_xlfn.IFS(stdsurvey[[#This Row],[daily_sleep_hours]]&lt;4,"&lt; 4 hrs",stdsurvey[[#This Row],[daily_sleep_hours]]&lt;=6,"4-6 hrs",stdsurvey[[#This Row],[daily_sleep_hours]]&lt;=8,"6-8 hrs",TRUE,"&gt; 8 hrs")</f>
        <v>4-6 hrs</v>
      </c>
      <c r="Y170" t="s">
        <v>27</v>
      </c>
    </row>
    <row r="171" spans="1:25" x14ac:dyDescent="0.3">
      <c r="A171" t="s">
        <v>205</v>
      </c>
      <c r="B171">
        <v>23</v>
      </c>
      <c r="C171" t="s">
        <v>39</v>
      </c>
      <c r="D171">
        <v>3</v>
      </c>
      <c r="E171" t="s">
        <v>32</v>
      </c>
      <c r="F171">
        <v>6.7</v>
      </c>
      <c r="G171">
        <v>2.9</v>
      </c>
      <c r="H171">
        <v>3</v>
      </c>
      <c r="I171">
        <v>3</v>
      </c>
      <c r="J171">
        <v>7</v>
      </c>
      <c r="K171" s="4" t="str" cm="1">
        <f t="array" ref="K171">_xlfn.IFS(stdsurvey[[#This Row],[phq9_score]]="","Answer Not Provided",stdsurvey[[#This Row],[phq9_score]]&lt;=4,"Minimal",stdsurvey[[#This Row],[phq9_score]]&lt;=9,"Mild",stdsurvey[[#This Row],[phq9_score]]&lt;=14,"Moderate",stdsurvey[[#This Row],[phq9_score]]&lt;=19,"Moderately Severe",stdsurvey[[#This Row],[phq9_score]]&lt;=27,"Severe")</f>
        <v>Minimal</v>
      </c>
      <c r="L171">
        <v>6</v>
      </c>
      <c r="M171" s="4" t="str" cm="1">
        <f t="array" ref="M171">_xlfn.IFS(stdsurvey[[#This Row],[gad7_score]]="","Answer Not Provided",stdsurvey[[#This Row],[gad7_score]]&lt;=4,"Minimal",stdsurvey[[#This Row],[gad7_score]]&lt;=9,"Mild",stdsurvey[[#This Row],[gad7_score]]&lt;=14,"Moderate",stdsurvey[[#This Row],[gad7_score]]&lt;=21,"Severe")</f>
        <v>Mild</v>
      </c>
      <c r="N171">
        <v>6</v>
      </c>
      <c r="O171" s="4" t="str" cm="1">
        <f t="array" ref="O171">_xlfn.IFS(stdsurvey[[#This Row],[perceived_stress_scale]]="","Answer Not Provided",stdsurvey[[#This Row],[perceived_stress_scale]]&lt;=13,"Low Stress",stdsurvey[[#This Row],[perceived_stress_scale]]&lt;=26,"Moderate Stress",stdsurvey[[#This Row],[perceived_stress_scale]]&lt;=40,"High Stress")</f>
        <v>Low Stress</v>
      </c>
      <c r="P171">
        <v>98.5</v>
      </c>
      <c r="Q171">
        <v>2</v>
      </c>
      <c r="R171" s="4" t="str" cm="1">
        <f t="array" ref="R171">_xlfn.IFS(stdsurvey[[#This Row],[class_attendance_percent]]&lt;60,"Less than 0%",stdsurvey[[#This Row],[class_attendance_percent]]&lt;70,"60-70 %",stdsurvey[[#This Row],[class_attendance_percent]]&lt;80, "70-80%",stdsurvey[[#This Row],[class_attendance_percent]]&lt;90,"80-90%",TRUE,"More than 90%")</f>
        <v>More than 90%</v>
      </c>
      <c r="S171" t="s">
        <v>33</v>
      </c>
      <c r="T171">
        <v>3</v>
      </c>
      <c r="U171" t="s">
        <v>23</v>
      </c>
      <c r="V171">
        <v>2.78</v>
      </c>
      <c r="W171" s="4" t="str" cm="1">
        <f t="array" ref="W17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71" s="4" t="str" cm="1">
        <f t="array" ref="X171">_xlfn.IFS(stdsurvey[[#This Row],[daily_sleep_hours]]&lt;4,"&lt; 4 hrs",stdsurvey[[#This Row],[daily_sleep_hours]]&lt;=6,"4-6 hrs",stdsurvey[[#This Row],[daily_sleep_hours]]&lt;=8,"6-8 hrs",TRUE,"&gt; 8 hrs")</f>
        <v>6-8 hrs</v>
      </c>
      <c r="Y171" t="s">
        <v>27</v>
      </c>
    </row>
    <row r="172" spans="1:25" x14ac:dyDescent="0.3">
      <c r="A172" t="s">
        <v>206</v>
      </c>
      <c r="B172">
        <v>22</v>
      </c>
      <c r="C172" t="s">
        <v>20</v>
      </c>
      <c r="D172">
        <v>5</v>
      </c>
      <c r="E172" t="s">
        <v>21</v>
      </c>
      <c r="F172">
        <v>5.3</v>
      </c>
      <c r="G172">
        <v>4.5</v>
      </c>
      <c r="H172">
        <v>2</v>
      </c>
      <c r="I172">
        <v>10</v>
      </c>
      <c r="J172">
        <v>8</v>
      </c>
      <c r="K172" s="4" t="str" cm="1">
        <f t="array" ref="K172">_xlfn.IFS(stdsurvey[[#This Row],[phq9_score]]="","Answer Not Provided",stdsurvey[[#This Row],[phq9_score]]&lt;=4,"Minimal",stdsurvey[[#This Row],[phq9_score]]&lt;=9,"Mild",stdsurvey[[#This Row],[phq9_score]]&lt;=14,"Moderate",stdsurvey[[#This Row],[phq9_score]]&lt;=19,"Moderately Severe",stdsurvey[[#This Row],[phq9_score]]&lt;=27,"Severe")</f>
        <v>Moderate</v>
      </c>
      <c r="L172">
        <v>17</v>
      </c>
      <c r="M172" s="4" t="str" cm="1">
        <f t="array" ref="M172">_xlfn.IFS(stdsurvey[[#This Row],[gad7_score]]="","Answer Not Provided",stdsurvey[[#This Row],[gad7_score]]&lt;=4,"Minimal",stdsurvey[[#This Row],[gad7_score]]&lt;=9,"Mild",stdsurvey[[#This Row],[gad7_score]]&lt;=14,"Moderate",stdsurvey[[#This Row],[gad7_score]]&lt;=21,"Severe")</f>
        <v>Mild</v>
      </c>
      <c r="N172">
        <v>15.6</v>
      </c>
      <c r="O172" s="4" t="str" cm="1">
        <f t="array" ref="O172">_xlfn.IFS(stdsurvey[[#This Row],[perceived_stress_scale]]="","Answer Not Provided",stdsurvey[[#This Row],[perceived_stress_scale]]&lt;=13,"Low Stress",stdsurvey[[#This Row],[perceived_stress_scale]]&lt;=26,"Moderate Stress",stdsurvey[[#This Row],[perceived_stress_scale]]&lt;=40,"High Stress")</f>
        <v>Moderate Stress</v>
      </c>
      <c r="P172">
        <v>77.2</v>
      </c>
      <c r="Q172">
        <v>2</v>
      </c>
      <c r="R172" s="4" t="str" cm="1">
        <f t="array" ref="R172">_xlfn.IFS(stdsurvey[[#This Row],[class_attendance_percent]]&lt;60,"Less than 0%",stdsurvey[[#This Row],[class_attendance_percent]]&lt;70,"60-70 %",stdsurvey[[#This Row],[class_attendance_percent]]&lt;80, "70-80%",stdsurvey[[#This Row],[class_attendance_percent]]&lt;90,"80-90%",TRUE,"More than 90%")</f>
        <v>70-80%</v>
      </c>
      <c r="S172" t="s">
        <v>22</v>
      </c>
      <c r="T172">
        <v>4</v>
      </c>
      <c r="U172" t="s">
        <v>26</v>
      </c>
      <c r="V172">
        <v>2.84</v>
      </c>
      <c r="W172" s="4" t="str" cm="1">
        <f t="array" ref="W17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72" s="4" t="str" cm="1">
        <f t="array" ref="X172">_xlfn.IFS(stdsurvey[[#This Row],[daily_sleep_hours]]&lt;4,"&lt; 4 hrs",stdsurvey[[#This Row],[daily_sleep_hours]]&lt;=6,"4-6 hrs",stdsurvey[[#This Row],[daily_sleep_hours]]&lt;=8,"6-8 hrs",TRUE,"&gt; 8 hrs")</f>
        <v>4-6 hrs</v>
      </c>
      <c r="Y172" t="s">
        <v>20</v>
      </c>
    </row>
    <row r="173" spans="1:25" x14ac:dyDescent="0.3">
      <c r="A173" t="s">
        <v>207</v>
      </c>
      <c r="B173">
        <v>21</v>
      </c>
      <c r="C173" t="s">
        <v>20</v>
      </c>
      <c r="D173">
        <v>1</v>
      </c>
      <c r="E173" t="s">
        <v>21</v>
      </c>
      <c r="F173">
        <v>5.8</v>
      </c>
      <c r="G173">
        <v>4.4000000000000004</v>
      </c>
      <c r="H173">
        <v>2</v>
      </c>
      <c r="I173">
        <v>2</v>
      </c>
      <c r="J173">
        <v>5</v>
      </c>
      <c r="K173" s="4" t="str" cm="1">
        <f t="array" ref="K173">_xlfn.IFS(stdsurvey[[#This Row],[phq9_score]]="","Answer Not Provided",stdsurvey[[#This Row],[phq9_score]]&lt;=4,"Minimal",stdsurvey[[#This Row],[phq9_score]]&lt;=9,"Mild",stdsurvey[[#This Row],[phq9_score]]&lt;=14,"Moderate",stdsurvey[[#This Row],[phq9_score]]&lt;=19,"Moderately Severe",stdsurvey[[#This Row],[phq9_score]]&lt;=27,"Severe")</f>
        <v>Minimal</v>
      </c>
      <c r="L173">
        <v>6</v>
      </c>
      <c r="M173" s="4" t="str" cm="1">
        <f t="array" ref="M173">_xlfn.IFS(stdsurvey[[#This Row],[gad7_score]]="","Answer Not Provided",stdsurvey[[#This Row],[gad7_score]]&lt;=4,"Minimal",stdsurvey[[#This Row],[gad7_score]]&lt;=9,"Mild",stdsurvey[[#This Row],[gad7_score]]&lt;=14,"Moderate",stdsurvey[[#This Row],[gad7_score]]&lt;=21,"Severe")</f>
        <v>Mild</v>
      </c>
      <c r="N173">
        <v>20.399999999999999</v>
      </c>
      <c r="O173" s="4" t="str" cm="1">
        <f t="array" ref="O173">_xlfn.IFS(stdsurvey[[#This Row],[perceived_stress_scale]]="","Answer Not Provided",stdsurvey[[#This Row],[perceived_stress_scale]]&lt;=13,"Low Stress",stdsurvey[[#This Row],[perceived_stress_scale]]&lt;=26,"Moderate Stress",stdsurvey[[#This Row],[perceived_stress_scale]]&lt;=40,"High Stress")</f>
        <v>Low Stress</v>
      </c>
      <c r="P173">
        <v>97.1</v>
      </c>
      <c r="Q173">
        <v>1</v>
      </c>
      <c r="R173" s="4" t="str" cm="1">
        <f t="array" ref="R173">_xlfn.IFS(stdsurvey[[#This Row],[class_attendance_percent]]&lt;60,"Less than 0%",stdsurvey[[#This Row],[class_attendance_percent]]&lt;70,"60-70 %",stdsurvey[[#This Row],[class_attendance_percent]]&lt;80, "70-80%",stdsurvey[[#This Row],[class_attendance_percent]]&lt;90,"80-90%",TRUE,"More than 90%")</f>
        <v>More than 90%</v>
      </c>
      <c r="S173" t="s">
        <v>22</v>
      </c>
      <c r="T173">
        <v>2</v>
      </c>
      <c r="U173" t="s">
        <v>51</v>
      </c>
      <c r="V173">
        <v>3.29</v>
      </c>
      <c r="W173" s="4" t="str" cm="1">
        <f t="array" ref="W17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73" s="4" t="str" cm="1">
        <f t="array" ref="X173">_xlfn.IFS(stdsurvey[[#This Row],[daily_sleep_hours]]&lt;4,"&lt; 4 hrs",stdsurvey[[#This Row],[daily_sleep_hours]]&lt;=6,"4-6 hrs",stdsurvey[[#This Row],[daily_sleep_hours]]&lt;=8,"6-8 hrs",TRUE,"&gt; 8 hrs")</f>
        <v>4-6 hrs</v>
      </c>
      <c r="Y173" t="s">
        <v>20</v>
      </c>
    </row>
    <row r="174" spans="1:25" x14ac:dyDescent="0.3">
      <c r="A174" t="s">
        <v>208</v>
      </c>
      <c r="B174">
        <v>21</v>
      </c>
      <c r="C174" t="s">
        <v>29</v>
      </c>
      <c r="D174">
        <v>1</v>
      </c>
      <c r="E174" t="s">
        <v>49</v>
      </c>
      <c r="F174">
        <v>5.2</v>
      </c>
      <c r="G174">
        <v>6.1</v>
      </c>
      <c r="H174">
        <v>1</v>
      </c>
      <c r="I174">
        <v>8</v>
      </c>
      <c r="J174">
        <v>9</v>
      </c>
      <c r="K174" s="4" t="str" cm="1">
        <f t="array" ref="K174">_xlfn.IFS(stdsurvey[[#This Row],[phq9_score]]="","Answer Not Provided",stdsurvey[[#This Row],[phq9_score]]&lt;=4,"Minimal",stdsurvey[[#This Row],[phq9_score]]&lt;=9,"Mild",stdsurvey[[#This Row],[phq9_score]]&lt;=14,"Moderate",stdsurvey[[#This Row],[phq9_score]]&lt;=19,"Moderately Severe",stdsurvey[[#This Row],[phq9_score]]&lt;=27,"Severe")</f>
        <v>Mild</v>
      </c>
      <c r="L174">
        <v>13</v>
      </c>
      <c r="M174" s="4" t="str" cm="1">
        <f t="array" ref="M174">_xlfn.IFS(stdsurvey[[#This Row],[gad7_score]]="","Answer Not Provided",stdsurvey[[#This Row],[gad7_score]]&lt;=4,"Minimal",stdsurvey[[#This Row],[gad7_score]]&lt;=9,"Mild",stdsurvey[[#This Row],[gad7_score]]&lt;=14,"Moderate",stdsurvey[[#This Row],[gad7_score]]&lt;=21,"Severe")</f>
        <v>Mild</v>
      </c>
      <c r="N174">
        <v>23.4</v>
      </c>
      <c r="O174" s="4" t="str" cm="1">
        <f t="array" ref="O174">_xlfn.IFS(stdsurvey[[#This Row],[perceived_stress_scale]]="","Answer Not Provided",stdsurvey[[#This Row],[perceived_stress_scale]]&lt;=13,"Low Stress",stdsurvey[[#This Row],[perceived_stress_scale]]&lt;=26,"Moderate Stress",stdsurvey[[#This Row],[perceived_stress_scale]]&lt;=40,"High Stress")</f>
        <v>Low Stress</v>
      </c>
      <c r="P174">
        <v>94</v>
      </c>
      <c r="Q174">
        <v>2</v>
      </c>
      <c r="R174" s="4" t="str" cm="1">
        <f t="array" ref="R174">_xlfn.IFS(stdsurvey[[#This Row],[class_attendance_percent]]&lt;60,"Less than 0%",stdsurvey[[#This Row],[class_attendance_percent]]&lt;70,"60-70 %",stdsurvey[[#This Row],[class_attendance_percent]]&lt;80, "70-80%",stdsurvey[[#This Row],[class_attendance_percent]]&lt;90,"80-90%",TRUE,"More than 90%")</f>
        <v>More than 90%</v>
      </c>
      <c r="S174" t="s">
        <v>22</v>
      </c>
      <c r="T174">
        <v>5</v>
      </c>
      <c r="U174" t="s">
        <v>23</v>
      </c>
      <c r="V174">
        <v>3.08</v>
      </c>
      <c r="W174" s="4" t="str" cm="1">
        <f t="array" ref="W17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74" s="4" t="str" cm="1">
        <f t="array" ref="X174">_xlfn.IFS(stdsurvey[[#This Row],[daily_sleep_hours]]&lt;4,"&lt; 4 hrs",stdsurvey[[#This Row],[daily_sleep_hours]]&lt;=6,"4-6 hrs",stdsurvey[[#This Row],[daily_sleep_hours]]&lt;=8,"6-8 hrs",TRUE,"&gt; 8 hrs")</f>
        <v>4-6 hrs</v>
      </c>
      <c r="Y174" t="s">
        <v>29</v>
      </c>
    </row>
    <row r="175" spans="1:25" x14ac:dyDescent="0.3">
      <c r="A175" t="s">
        <v>209</v>
      </c>
      <c r="B175">
        <v>20</v>
      </c>
      <c r="C175" t="s">
        <v>61</v>
      </c>
      <c r="D175">
        <v>3</v>
      </c>
      <c r="E175" t="s">
        <v>30</v>
      </c>
      <c r="F175">
        <v>3.4</v>
      </c>
      <c r="G175">
        <v>12.6</v>
      </c>
      <c r="H175">
        <v>4</v>
      </c>
      <c r="K175" s="4" t="str" cm="1">
        <f t="array" ref="K175">_xlfn.IFS(stdsurvey[[#This Row],[phq9_score]]="","Answer Not Provided",stdsurvey[[#This Row],[phq9_score]]&lt;=4,"Minimal",stdsurvey[[#This Row],[phq9_score]]&lt;=9,"Mild",stdsurvey[[#This Row],[phq9_score]]&lt;=14,"Moderate",stdsurvey[[#This Row],[phq9_score]]&lt;=19,"Moderately Severe",stdsurvey[[#This Row],[phq9_score]]&lt;=27,"Severe")</f>
        <v>Answer Not Provided</v>
      </c>
      <c r="L175">
        <v>11</v>
      </c>
      <c r="M175" s="4" t="str" cm="1">
        <f t="array" ref="M175">_xlfn.IFS(stdsurvey[[#This Row],[gad7_score]]="","Answer Not Provided",stdsurvey[[#This Row],[gad7_score]]&lt;=4,"Minimal",stdsurvey[[#This Row],[gad7_score]]&lt;=9,"Mild",stdsurvey[[#This Row],[gad7_score]]&lt;=14,"Moderate",stdsurvey[[#This Row],[gad7_score]]&lt;=21,"Severe")</f>
        <v>Answer Not Provided</v>
      </c>
      <c r="N175">
        <v>16.2</v>
      </c>
      <c r="O175" s="4" t="str" cm="1">
        <f t="array" ref="O175">_xlfn.IFS(stdsurvey[[#This Row],[perceived_stress_scale]]="","Answer Not Provided",stdsurvey[[#This Row],[perceived_stress_scale]]&lt;=13,"Low Stress",stdsurvey[[#This Row],[perceived_stress_scale]]&lt;=26,"Moderate Stress",stdsurvey[[#This Row],[perceived_stress_scale]]&lt;=40,"High Stress")</f>
        <v>Low Stress</v>
      </c>
      <c r="P175">
        <v>98.6</v>
      </c>
      <c r="Q175">
        <v>5</v>
      </c>
      <c r="R175" s="4" t="str" cm="1">
        <f t="array" ref="R175">_xlfn.IFS(stdsurvey[[#This Row],[class_attendance_percent]]&lt;60,"Less than 0%",stdsurvey[[#This Row],[class_attendance_percent]]&lt;70,"60-70 %",stdsurvey[[#This Row],[class_attendance_percent]]&lt;80, "70-80%",stdsurvey[[#This Row],[class_attendance_percent]]&lt;90,"80-90%",TRUE,"More than 90%")</f>
        <v>More than 90%</v>
      </c>
      <c r="S175" t="s">
        <v>22</v>
      </c>
      <c r="T175">
        <v>3</v>
      </c>
      <c r="U175" t="s">
        <v>26</v>
      </c>
      <c r="V175">
        <v>2.81</v>
      </c>
      <c r="W175" s="4" t="str" cm="1">
        <f t="array" ref="W17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75" s="4" t="str" cm="1">
        <f t="array" ref="X175">_xlfn.IFS(stdsurvey[[#This Row],[daily_sleep_hours]]&lt;4,"&lt; 4 hrs",stdsurvey[[#This Row],[daily_sleep_hours]]&lt;=6,"4-6 hrs",stdsurvey[[#This Row],[daily_sleep_hours]]&lt;=8,"6-8 hrs",TRUE,"&gt; 8 hrs")</f>
        <v>&lt; 4 hrs</v>
      </c>
      <c r="Y175" t="s">
        <v>61</v>
      </c>
    </row>
    <row r="176" spans="1:25" x14ac:dyDescent="0.3">
      <c r="A176" t="s">
        <v>210</v>
      </c>
      <c r="B176">
        <v>22</v>
      </c>
      <c r="C176" t="s">
        <v>25</v>
      </c>
      <c r="D176">
        <v>1</v>
      </c>
      <c r="E176" t="s">
        <v>47</v>
      </c>
      <c r="F176">
        <v>6.7</v>
      </c>
      <c r="G176">
        <v>1</v>
      </c>
      <c r="H176">
        <v>1</v>
      </c>
      <c r="I176">
        <v>3</v>
      </c>
      <c r="J176">
        <v>2</v>
      </c>
      <c r="K176" s="4" t="str" cm="1">
        <f t="array" ref="K176">_xlfn.IFS(stdsurvey[[#This Row],[phq9_score]]="","Answer Not Provided",stdsurvey[[#This Row],[phq9_score]]&lt;=4,"Minimal",stdsurvey[[#This Row],[phq9_score]]&lt;=9,"Mild",stdsurvey[[#This Row],[phq9_score]]&lt;=14,"Moderate",stdsurvey[[#This Row],[phq9_score]]&lt;=19,"Moderately Severe",stdsurvey[[#This Row],[phq9_score]]&lt;=27,"Severe")</f>
        <v>Minimal</v>
      </c>
      <c r="L176">
        <v>8</v>
      </c>
      <c r="M176" s="4" t="str" cm="1">
        <f t="array" ref="M176">_xlfn.IFS(stdsurvey[[#This Row],[gad7_score]]="","Answer Not Provided",stdsurvey[[#This Row],[gad7_score]]&lt;=4,"Minimal",stdsurvey[[#This Row],[gad7_score]]&lt;=9,"Mild",stdsurvey[[#This Row],[gad7_score]]&lt;=14,"Moderate",stdsurvey[[#This Row],[gad7_score]]&lt;=21,"Severe")</f>
        <v>Minimal</v>
      </c>
      <c r="N176">
        <v>25.2</v>
      </c>
      <c r="O176" s="4" t="str" cm="1">
        <f t="array" ref="O176">_xlfn.IFS(stdsurvey[[#This Row],[perceived_stress_scale]]="","Answer Not Provided",stdsurvey[[#This Row],[perceived_stress_scale]]&lt;=13,"Low Stress",stdsurvey[[#This Row],[perceived_stress_scale]]&lt;=26,"Moderate Stress",stdsurvey[[#This Row],[perceived_stress_scale]]&lt;=40,"High Stress")</f>
        <v>Low Stress</v>
      </c>
      <c r="P176">
        <v>91.4</v>
      </c>
      <c r="Q176">
        <v>3</v>
      </c>
      <c r="R176" s="4" t="str" cm="1">
        <f t="array" ref="R176">_xlfn.IFS(stdsurvey[[#This Row],[class_attendance_percent]]&lt;60,"Less than 0%",stdsurvey[[#This Row],[class_attendance_percent]]&lt;70,"60-70 %",stdsurvey[[#This Row],[class_attendance_percent]]&lt;80, "70-80%",stdsurvey[[#This Row],[class_attendance_percent]]&lt;90,"80-90%",TRUE,"More than 90%")</f>
        <v>More than 90%</v>
      </c>
      <c r="S176" t="s">
        <v>22</v>
      </c>
      <c r="T176">
        <v>2</v>
      </c>
      <c r="U176" t="s">
        <v>23</v>
      </c>
      <c r="V176">
        <v>3.26</v>
      </c>
      <c r="W176" s="4" t="str" cm="1">
        <f t="array" ref="W17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76" s="4" t="str" cm="1">
        <f t="array" ref="X176">_xlfn.IFS(stdsurvey[[#This Row],[daily_sleep_hours]]&lt;4,"&lt; 4 hrs",stdsurvey[[#This Row],[daily_sleep_hours]]&lt;=6,"4-6 hrs",stdsurvey[[#This Row],[daily_sleep_hours]]&lt;=8,"6-8 hrs",TRUE,"&gt; 8 hrs")</f>
        <v>6-8 hrs</v>
      </c>
      <c r="Y176" t="s">
        <v>27</v>
      </c>
    </row>
    <row r="177" spans="1:25" x14ac:dyDescent="0.3">
      <c r="A177" t="s">
        <v>211</v>
      </c>
      <c r="B177">
        <v>21</v>
      </c>
      <c r="C177" t="s">
        <v>45</v>
      </c>
      <c r="D177">
        <v>3</v>
      </c>
      <c r="E177" t="s">
        <v>47</v>
      </c>
      <c r="F177">
        <v>5.8</v>
      </c>
      <c r="G177">
        <v>12.9</v>
      </c>
      <c r="H177">
        <v>4</v>
      </c>
      <c r="I177">
        <v>16</v>
      </c>
      <c r="J177">
        <v>15</v>
      </c>
      <c r="K177" s="4" t="str" cm="1">
        <f t="array" ref="K177">_xlfn.IFS(stdsurvey[[#This Row],[phq9_score]]="","Answer Not Provided",stdsurvey[[#This Row],[phq9_score]]&lt;=4,"Minimal",stdsurvey[[#This Row],[phq9_score]]&lt;=9,"Mild",stdsurvey[[#This Row],[phq9_score]]&lt;=14,"Moderate",stdsurvey[[#This Row],[phq9_score]]&lt;=19,"Moderately Severe",stdsurvey[[#This Row],[phq9_score]]&lt;=27,"Severe")</f>
        <v>Moderately Severe</v>
      </c>
      <c r="L177">
        <v>17</v>
      </c>
      <c r="M177" s="4" t="str" cm="1">
        <f t="array" ref="M177">_xlfn.IFS(stdsurvey[[#This Row],[gad7_score]]="","Answer Not Provided",stdsurvey[[#This Row],[gad7_score]]&lt;=4,"Minimal",stdsurvey[[#This Row],[gad7_score]]&lt;=9,"Mild",stdsurvey[[#This Row],[gad7_score]]&lt;=14,"Moderate",stdsurvey[[#This Row],[gad7_score]]&lt;=21,"Severe")</f>
        <v>Severe</v>
      </c>
      <c r="N177">
        <v>19.8</v>
      </c>
      <c r="O177" s="4" t="str" cm="1">
        <f t="array" ref="O177">_xlfn.IFS(stdsurvey[[#This Row],[perceived_stress_scale]]="","Answer Not Provided",stdsurvey[[#This Row],[perceived_stress_scale]]&lt;=13,"Low Stress",stdsurvey[[#This Row],[perceived_stress_scale]]&lt;=26,"Moderate Stress",stdsurvey[[#This Row],[perceived_stress_scale]]&lt;=40,"High Stress")</f>
        <v>Moderate Stress</v>
      </c>
      <c r="P177">
        <v>59.7</v>
      </c>
      <c r="Q177">
        <v>3</v>
      </c>
      <c r="R177" s="4" t="str" cm="1">
        <f t="array" ref="R177">_xlfn.IFS(stdsurvey[[#This Row],[class_attendance_percent]]&lt;60,"Less than 0%",stdsurvey[[#This Row],[class_attendance_percent]]&lt;70,"60-70 %",stdsurvey[[#This Row],[class_attendance_percent]]&lt;80, "70-80%",stdsurvey[[#This Row],[class_attendance_percent]]&lt;90,"80-90%",TRUE,"More than 90%")</f>
        <v>Less than 0%</v>
      </c>
      <c r="S177" t="s">
        <v>22</v>
      </c>
      <c r="T177">
        <v>4</v>
      </c>
      <c r="U177" t="s">
        <v>23</v>
      </c>
      <c r="V177">
        <v>2.4500000000000002</v>
      </c>
      <c r="W177" s="4" t="str" cm="1">
        <f t="array" ref="W17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77" s="4" t="str" cm="1">
        <f t="array" ref="X177">_xlfn.IFS(stdsurvey[[#This Row],[daily_sleep_hours]]&lt;4,"&lt; 4 hrs",stdsurvey[[#This Row],[daily_sleep_hours]]&lt;=6,"4-6 hrs",stdsurvey[[#This Row],[daily_sleep_hours]]&lt;=8,"6-8 hrs",TRUE,"&gt; 8 hrs")</f>
        <v>4-6 hrs</v>
      </c>
      <c r="Y177" t="s">
        <v>20</v>
      </c>
    </row>
    <row r="178" spans="1:25" x14ac:dyDescent="0.3">
      <c r="A178" t="s">
        <v>212</v>
      </c>
      <c r="B178">
        <v>19</v>
      </c>
      <c r="C178" t="s">
        <v>39</v>
      </c>
      <c r="D178">
        <v>1</v>
      </c>
      <c r="E178" t="s">
        <v>21</v>
      </c>
      <c r="F178">
        <v>6.6</v>
      </c>
      <c r="G178">
        <v>12.3</v>
      </c>
      <c r="H178">
        <v>4</v>
      </c>
      <c r="I178">
        <v>3</v>
      </c>
      <c r="J178">
        <v>8</v>
      </c>
      <c r="K178" s="4" t="str" cm="1">
        <f t="array" ref="K178">_xlfn.IFS(stdsurvey[[#This Row],[phq9_score]]="","Answer Not Provided",stdsurvey[[#This Row],[phq9_score]]&lt;=4,"Minimal",stdsurvey[[#This Row],[phq9_score]]&lt;=9,"Mild",stdsurvey[[#This Row],[phq9_score]]&lt;=14,"Moderate",stdsurvey[[#This Row],[phq9_score]]&lt;=19,"Moderately Severe",stdsurvey[[#This Row],[phq9_score]]&lt;=27,"Severe")</f>
        <v>Minimal</v>
      </c>
      <c r="L178">
        <v>10</v>
      </c>
      <c r="M178" s="4" t="str" cm="1">
        <f t="array" ref="M178">_xlfn.IFS(stdsurvey[[#This Row],[gad7_score]]="","Answer Not Provided",stdsurvey[[#This Row],[gad7_score]]&lt;=4,"Minimal",stdsurvey[[#This Row],[gad7_score]]&lt;=9,"Mild",stdsurvey[[#This Row],[gad7_score]]&lt;=14,"Moderate",stdsurvey[[#This Row],[gad7_score]]&lt;=21,"Severe")</f>
        <v>Mild</v>
      </c>
      <c r="N178">
        <v>30.6</v>
      </c>
      <c r="O178" s="4" t="str" cm="1">
        <f t="array" ref="O178">_xlfn.IFS(stdsurvey[[#This Row],[perceived_stress_scale]]="","Answer Not Provided",stdsurvey[[#This Row],[perceived_stress_scale]]&lt;=13,"Low Stress",stdsurvey[[#This Row],[perceived_stress_scale]]&lt;=26,"Moderate Stress",stdsurvey[[#This Row],[perceived_stress_scale]]&lt;=40,"High Stress")</f>
        <v>Low Stress</v>
      </c>
      <c r="P178">
        <v>100</v>
      </c>
      <c r="Q178">
        <v>2</v>
      </c>
      <c r="R178" s="4" t="str" cm="1">
        <f t="array" ref="R178">_xlfn.IFS(stdsurvey[[#This Row],[class_attendance_percent]]&lt;60,"Less than 0%",stdsurvey[[#This Row],[class_attendance_percent]]&lt;70,"60-70 %",stdsurvey[[#This Row],[class_attendance_percent]]&lt;80, "70-80%",stdsurvey[[#This Row],[class_attendance_percent]]&lt;90,"80-90%",TRUE,"More than 90%")</f>
        <v>More than 90%</v>
      </c>
      <c r="S178" t="s">
        <v>22</v>
      </c>
      <c r="T178">
        <v>2</v>
      </c>
      <c r="U178" t="s">
        <v>23</v>
      </c>
      <c r="V178">
        <v>3.24</v>
      </c>
      <c r="W178" s="4" t="str" cm="1">
        <f t="array" ref="W17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178" s="4" t="str" cm="1">
        <f t="array" ref="X178">_xlfn.IFS(stdsurvey[[#This Row],[daily_sleep_hours]]&lt;4,"&lt; 4 hrs",stdsurvey[[#This Row],[daily_sleep_hours]]&lt;=6,"4-6 hrs",stdsurvey[[#This Row],[daily_sleep_hours]]&lt;=8,"6-8 hrs",TRUE,"&gt; 8 hrs")</f>
        <v>6-8 hrs</v>
      </c>
      <c r="Y178" t="s">
        <v>27</v>
      </c>
    </row>
    <row r="179" spans="1:25" x14ac:dyDescent="0.3">
      <c r="A179" t="s">
        <v>213</v>
      </c>
      <c r="B179">
        <v>19</v>
      </c>
      <c r="C179" t="s">
        <v>27</v>
      </c>
      <c r="D179">
        <v>1</v>
      </c>
      <c r="E179" t="s">
        <v>32</v>
      </c>
      <c r="F179">
        <v>8.1</v>
      </c>
      <c r="G179">
        <v>7.6</v>
      </c>
      <c r="H179">
        <v>4</v>
      </c>
      <c r="I179">
        <v>3</v>
      </c>
      <c r="J179">
        <v>3</v>
      </c>
      <c r="K179" s="4" t="str" cm="1">
        <f t="array" ref="K179">_xlfn.IFS(stdsurvey[[#This Row],[phq9_score]]="","Answer Not Provided",stdsurvey[[#This Row],[phq9_score]]&lt;=4,"Minimal",stdsurvey[[#This Row],[phq9_score]]&lt;=9,"Mild",stdsurvey[[#This Row],[phq9_score]]&lt;=14,"Moderate",stdsurvey[[#This Row],[phq9_score]]&lt;=19,"Moderately Severe",stdsurvey[[#This Row],[phq9_score]]&lt;=27,"Severe")</f>
        <v>Minimal</v>
      </c>
      <c r="L179">
        <v>11</v>
      </c>
      <c r="M179" s="4" t="str" cm="1">
        <f t="array" ref="M179">_xlfn.IFS(stdsurvey[[#This Row],[gad7_score]]="","Answer Not Provided",stdsurvey[[#This Row],[gad7_score]]&lt;=4,"Minimal",stdsurvey[[#This Row],[gad7_score]]&lt;=9,"Mild",stdsurvey[[#This Row],[gad7_score]]&lt;=14,"Moderate",stdsurvey[[#This Row],[gad7_score]]&lt;=21,"Severe")</f>
        <v>Minimal</v>
      </c>
      <c r="N179">
        <v>5.5</v>
      </c>
      <c r="O179" s="4" t="str" cm="1">
        <f t="array" ref="O179">_xlfn.IFS(stdsurvey[[#This Row],[perceived_stress_scale]]="","Answer Not Provided",stdsurvey[[#This Row],[perceived_stress_scale]]&lt;=13,"Low Stress",stdsurvey[[#This Row],[perceived_stress_scale]]&lt;=26,"Moderate Stress",stdsurvey[[#This Row],[perceived_stress_scale]]&lt;=40,"High Stress")</f>
        <v>Low Stress</v>
      </c>
      <c r="P179">
        <v>94.1</v>
      </c>
      <c r="Q179">
        <v>4</v>
      </c>
      <c r="R179" s="4" t="str" cm="1">
        <f t="array" ref="R179">_xlfn.IFS(stdsurvey[[#This Row],[class_attendance_percent]]&lt;60,"Less than 0%",stdsurvey[[#This Row],[class_attendance_percent]]&lt;70,"60-70 %",stdsurvey[[#This Row],[class_attendance_percent]]&lt;80, "70-80%",stdsurvey[[#This Row],[class_attendance_percent]]&lt;90,"80-90%",TRUE,"More than 90%")</f>
        <v>More than 90%</v>
      </c>
      <c r="S179" t="s">
        <v>22</v>
      </c>
      <c r="T179">
        <v>1</v>
      </c>
      <c r="U179" t="s">
        <v>23</v>
      </c>
      <c r="V179">
        <v>3.08</v>
      </c>
      <c r="W179" s="4" t="str" cm="1">
        <f t="array" ref="W17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79" s="4" t="str" cm="1">
        <f t="array" ref="X179">_xlfn.IFS(stdsurvey[[#This Row],[daily_sleep_hours]]&lt;4,"&lt; 4 hrs",stdsurvey[[#This Row],[daily_sleep_hours]]&lt;=6,"4-6 hrs",stdsurvey[[#This Row],[daily_sleep_hours]]&lt;=8,"6-8 hrs",TRUE,"&gt; 8 hrs")</f>
        <v>&gt; 8 hrs</v>
      </c>
      <c r="Y179" t="s">
        <v>27</v>
      </c>
    </row>
    <row r="180" spans="1:25" x14ac:dyDescent="0.3">
      <c r="A180" t="s">
        <v>214</v>
      </c>
      <c r="B180">
        <v>22</v>
      </c>
      <c r="C180" t="s">
        <v>20</v>
      </c>
      <c r="D180">
        <v>1</v>
      </c>
      <c r="E180" t="s">
        <v>30</v>
      </c>
      <c r="F180">
        <v>6.4</v>
      </c>
      <c r="G180">
        <v>5</v>
      </c>
      <c r="H180">
        <v>0</v>
      </c>
      <c r="I180">
        <v>4</v>
      </c>
      <c r="J180">
        <v>5</v>
      </c>
      <c r="K180" s="4" t="str" cm="1">
        <f t="array" ref="K180">_xlfn.IFS(stdsurvey[[#This Row],[phq9_score]]="","Answer Not Provided",stdsurvey[[#This Row],[phq9_score]]&lt;=4,"Minimal",stdsurvey[[#This Row],[phq9_score]]&lt;=9,"Mild",stdsurvey[[#This Row],[phq9_score]]&lt;=14,"Moderate",stdsurvey[[#This Row],[phq9_score]]&lt;=19,"Moderately Severe",stdsurvey[[#This Row],[phq9_score]]&lt;=27,"Severe")</f>
        <v>Minimal</v>
      </c>
      <c r="L180">
        <v>9</v>
      </c>
      <c r="M180" s="4" t="str" cm="1">
        <f t="array" ref="M180">_xlfn.IFS(stdsurvey[[#This Row],[gad7_score]]="","Answer Not Provided",stdsurvey[[#This Row],[gad7_score]]&lt;=4,"Minimal",stdsurvey[[#This Row],[gad7_score]]&lt;=9,"Mild",stdsurvey[[#This Row],[gad7_score]]&lt;=14,"Moderate",stdsurvey[[#This Row],[gad7_score]]&lt;=21,"Severe")</f>
        <v>Mild</v>
      </c>
      <c r="N180">
        <v>10.7</v>
      </c>
      <c r="O180" s="4" t="str" cm="1">
        <f t="array" ref="O180">_xlfn.IFS(stdsurvey[[#This Row],[perceived_stress_scale]]="","Answer Not Provided",stdsurvey[[#This Row],[perceived_stress_scale]]&lt;=13,"Low Stress",stdsurvey[[#This Row],[perceived_stress_scale]]&lt;=26,"Moderate Stress",stdsurvey[[#This Row],[perceived_stress_scale]]&lt;=40,"High Stress")</f>
        <v>Low Stress</v>
      </c>
      <c r="P180">
        <v>67.8</v>
      </c>
      <c r="Q180">
        <v>5</v>
      </c>
      <c r="R180" s="4" t="str" cm="1">
        <f t="array" ref="R180">_xlfn.IFS(stdsurvey[[#This Row],[class_attendance_percent]]&lt;60,"Less than 0%",stdsurvey[[#This Row],[class_attendance_percent]]&lt;70,"60-70 %",stdsurvey[[#This Row],[class_attendance_percent]]&lt;80, "70-80%",stdsurvey[[#This Row],[class_attendance_percent]]&lt;90,"80-90%",TRUE,"More than 90%")</f>
        <v>60-70 %</v>
      </c>
      <c r="S180" t="s">
        <v>33</v>
      </c>
      <c r="T180">
        <v>4</v>
      </c>
      <c r="U180" t="s">
        <v>51</v>
      </c>
      <c r="V180">
        <v>2.95</v>
      </c>
      <c r="W180" s="4" t="str" cm="1">
        <f t="array" ref="W18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80" s="4" t="str" cm="1">
        <f t="array" ref="X180">_xlfn.IFS(stdsurvey[[#This Row],[daily_sleep_hours]]&lt;4,"&lt; 4 hrs",stdsurvey[[#This Row],[daily_sleep_hours]]&lt;=6,"4-6 hrs",stdsurvey[[#This Row],[daily_sleep_hours]]&lt;=8,"6-8 hrs",TRUE,"&gt; 8 hrs")</f>
        <v>6-8 hrs</v>
      </c>
      <c r="Y180" t="s">
        <v>20</v>
      </c>
    </row>
    <row r="181" spans="1:25" x14ac:dyDescent="0.3">
      <c r="A181" t="s">
        <v>215</v>
      </c>
      <c r="B181">
        <v>25</v>
      </c>
      <c r="C181" t="s">
        <v>27</v>
      </c>
      <c r="D181">
        <v>2</v>
      </c>
      <c r="E181" t="s">
        <v>63</v>
      </c>
      <c r="F181">
        <v>7.1</v>
      </c>
      <c r="G181">
        <v>2.7</v>
      </c>
      <c r="H181">
        <v>2</v>
      </c>
      <c r="I181">
        <v>5</v>
      </c>
      <c r="J181">
        <v>4</v>
      </c>
      <c r="K181" s="4" t="str" cm="1">
        <f t="array" ref="K181">_xlfn.IFS(stdsurvey[[#This Row],[phq9_score]]="","Answer Not Provided",stdsurvey[[#This Row],[phq9_score]]&lt;=4,"Minimal",stdsurvey[[#This Row],[phq9_score]]&lt;=9,"Mild",stdsurvey[[#This Row],[phq9_score]]&lt;=14,"Moderate",stdsurvey[[#This Row],[phq9_score]]&lt;=19,"Moderately Severe",stdsurvey[[#This Row],[phq9_score]]&lt;=27,"Severe")</f>
        <v>Mild</v>
      </c>
      <c r="L181">
        <v>9</v>
      </c>
      <c r="M181" s="4" t="str" cm="1">
        <f t="array" ref="M181">_xlfn.IFS(stdsurvey[[#This Row],[gad7_score]]="","Answer Not Provided",stdsurvey[[#This Row],[gad7_score]]&lt;=4,"Minimal",stdsurvey[[#This Row],[gad7_score]]&lt;=9,"Mild",stdsurvey[[#This Row],[gad7_score]]&lt;=14,"Moderate",stdsurvey[[#This Row],[gad7_score]]&lt;=21,"Severe")</f>
        <v>Minimal</v>
      </c>
      <c r="N181">
        <v>36.200000000000003</v>
      </c>
      <c r="O181" s="4" t="str" cm="1">
        <f t="array" ref="O181">_xlfn.IFS(stdsurvey[[#This Row],[perceived_stress_scale]]="","Answer Not Provided",stdsurvey[[#This Row],[perceived_stress_scale]]&lt;=13,"Low Stress",stdsurvey[[#This Row],[perceived_stress_scale]]&lt;=26,"Moderate Stress",stdsurvey[[#This Row],[perceived_stress_scale]]&lt;=40,"High Stress")</f>
        <v>Low Stress</v>
      </c>
      <c r="P181">
        <v>69.099999999999994</v>
      </c>
      <c r="Q181">
        <v>4</v>
      </c>
      <c r="R181" s="4" t="str" cm="1">
        <f t="array" ref="R181">_xlfn.IFS(stdsurvey[[#This Row],[class_attendance_percent]]&lt;60,"Less than 0%",stdsurvey[[#This Row],[class_attendance_percent]]&lt;70,"60-70 %",stdsurvey[[#This Row],[class_attendance_percent]]&lt;80, "70-80%",stdsurvey[[#This Row],[class_attendance_percent]]&lt;90,"80-90%",TRUE,"More than 90%")</f>
        <v>60-70 %</v>
      </c>
      <c r="S181" t="s">
        <v>33</v>
      </c>
      <c r="T181">
        <v>1</v>
      </c>
      <c r="U181" t="s">
        <v>23</v>
      </c>
      <c r="V181">
        <v>3.42</v>
      </c>
      <c r="W181" s="4" t="str" cm="1">
        <f t="array" ref="W18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81" s="4" t="str" cm="1">
        <f t="array" ref="X181">_xlfn.IFS(stdsurvey[[#This Row],[daily_sleep_hours]]&lt;4,"&lt; 4 hrs",stdsurvey[[#This Row],[daily_sleep_hours]]&lt;=6,"4-6 hrs",stdsurvey[[#This Row],[daily_sleep_hours]]&lt;=8,"6-8 hrs",TRUE,"&gt; 8 hrs")</f>
        <v>6-8 hrs</v>
      </c>
      <c r="Y181" t="s">
        <v>27</v>
      </c>
    </row>
    <row r="182" spans="1:25" x14ac:dyDescent="0.3">
      <c r="A182" t="s">
        <v>216</v>
      </c>
      <c r="B182">
        <v>22</v>
      </c>
      <c r="C182" t="s">
        <v>20</v>
      </c>
      <c r="D182">
        <v>1</v>
      </c>
      <c r="E182" t="s">
        <v>35</v>
      </c>
      <c r="F182">
        <v>5.0999999999999996</v>
      </c>
      <c r="G182">
        <v>7.6</v>
      </c>
      <c r="H182">
        <v>3</v>
      </c>
      <c r="I182">
        <v>2</v>
      </c>
      <c r="J182">
        <v>3</v>
      </c>
      <c r="K182" s="4" t="str" cm="1">
        <f t="array" ref="K182">_xlfn.IFS(stdsurvey[[#This Row],[phq9_score]]="","Answer Not Provided",stdsurvey[[#This Row],[phq9_score]]&lt;=4,"Minimal",stdsurvey[[#This Row],[phq9_score]]&lt;=9,"Mild",stdsurvey[[#This Row],[phq9_score]]&lt;=14,"Moderate",stdsurvey[[#This Row],[phq9_score]]&lt;=19,"Moderately Severe",stdsurvey[[#This Row],[phq9_score]]&lt;=27,"Severe")</f>
        <v>Minimal</v>
      </c>
      <c r="L182">
        <v>8</v>
      </c>
      <c r="M182" s="4" t="str" cm="1">
        <f t="array" ref="M182">_xlfn.IFS(stdsurvey[[#This Row],[gad7_score]]="","Answer Not Provided",stdsurvey[[#This Row],[gad7_score]]&lt;=4,"Minimal",stdsurvey[[#This Row],[gad7_score]]&lt;=9,"Mild",stdsurvey[[#This Row],[gad7_score]]&lt;=14,"Moderate",stdsurvey[[#This Row],[gad7_score]]&lt;=21,"Severe")</f>
        <v>Minimal</v>
      </c>
      <c r="N182">
        <v>12.6</v>
      </c>
      <c r="O182" s="4" t="str" cm="1">
        <f t="array" ref="O182">_xlfn.IFS(stdsurvey[[#This Row],[perceived_stress_scale]]="","Answer Not Provided",stdsurvey[[#This Row],[perceived_stress_scale]]&lt;=13,"Low Stress",stdsurvey[[#This Row],[perceived_stress_scale]]&lt;=26,"Moderate Stress",stdsurvey[[#This Row],[perceived_stress_scale]]&lt;=40,"High Stress")</f>
        <v>Low Stress</v>
      </c>
      <c r="P182">
        <v>83.5</v>
      </c>
      <c r="Q182">
        <v>4</v>
      </c>
      <c r="R182" s="4" t="str" cm="1">
        <f t="array" ref="R182">_xlfn.IFS(stdsurvey[[#This Row],[class_attendance_percent]]&lt;60,"Less than 0%",stdsurvey[[#This Row],[class_attendance_percent]]&lt;70,"60-70 %",stdsurvey[[#This Row],[class_attendance_percent]]&lt;80, "70-80%",stdsurvey[[#This Row],[class_attendance_percent]]&lt;90,"80-90%",TRUE,"More than 90%")</f>
        <v>80-90%</v>
      </c>
      <c r="S182" t="s">
        <v>33</v>
      </c>
      <c r="T182">
        <v>1</v>
      </c>
      <c r="U182" t="s">
        <v>26</v>
      </c>
      <c r="V182">
        <v>2.61</v>
      </c>
      <c r="W182" s="4" t="str" cm="1">
        <f t="array" ref="W18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82" s="4" t="str" cm="1">
        <f t="array" ref="X182">_xlfn.IFS(stdsurvey[[#This Row],[daily_sleep_hours]]&lt;4,"&lt; 4 hrs",stdsurvey[[#This Row],[daily_sleep_hours]]&lt;=6,"4-6 hrs",stdsurvey[[#This Row],[daily_sleep_hours]]&lt;=8,"6-8 hrs",TRUE,"&gt; 8 hrs")</f>
        <v>4-6 hrs</v>
      </c>
      <c r="Y182" t="s">
        <v>20</v>
      </c>
    </row>
    <row r="183" spans="1:25" x14ac:dyDescent="0.3">
      <c r="A183" t="s">
        <v>217</v>
      </c>
      <c r="B183">
        <v>21</v>
      </c>
      <c r="C183" t="s">
        <v>102</v>
      </c>
      <c r="D183">
        <v>1</v>
      </c>
      <c r="E183" t="s">
        <v>35</v>
      </c>
      <c r="F183">
        <v>4.5</v>
      </c>
      <c r="G183">
        <v>5.2</v>
      </c>
      <c r="H183">
        <v>3</v>
      </c>
      <c r="I183">
        <v>7</v>
      </c>
      <c r="J183">
        <v>10</v>
      </c>
      <c r="K183" s="4" t="str" cm="1">
        <f t="array" ref="K183">_xlfn.IFS(stdsurvey[[#This Row],[phq9_score]]="","Answer Not Provided",stdsurvey[[#This Row],[phq9_score]]&lt;=4,"Minimal",stdsurvey[[#This Row],[phq9_score]]&lt;=9,"Mild",stdsurvey[[#This Row],[phq9_score]]&lt;=14,"Moderate",stdsurvey[[#This Row],[phq9_score]]&lt;=19,"Moderately Severe",stdsurvey[[#This Row],[phq9_score]]&lt;=27,"Severe")</f>
        <v>Mild</v>
      </c>
      <c r="L183">
        <v>14</v>
      </c>
      <c r="M183" s="4" t="str" cm="1">
        <f t="array" ref="M183">_xlfn.IFS(stdsurvey[[#This Row],[gad7_score]]="","Answer Not Provided",stdsurvey[[#This Row],[gad7_score]]&lt;=4,"Minimal",stdsurvey[[#This Row],[gad7_score]]&lt;=9,"Mild",stdsurvey[[#This Row],[gad7_score]]&lt;=14,"Moderate",stdsurvey[[#This Row],[gad7_score]]&lt;=21,"Severe")</f>
        <v>Moderate</v>
      </c>
      <c r="N183">
        <v>3.7</v>
      </c>
      <c r="O183" s="4" t="str" cm="1">
        <f t="array" ref="O183">_xlfn.IFS(stdsurvey[[#This Row],[perceived_stress_scale]]="","Answer Not Provided",stdsurvey[[#This Row],[perceived_stress_scale]]&lt;=13,"Low Stress",stdsurvey[[#This Row],[perceived_stress_scale]]&lt;=26,"Moderate Stress",stdsurvey[[#This Row],[perceived_stress_scale]]&lt;=40,"High Stress")</f>
        <v>Moderate Stress</v>
      </c>
      <c r="P183">
        <v>69.400000000000006</v>
      </c>
      <c r="Q183">
        <v>4</v>
      </c>
      <c r="R183" s="4" t="str" cm="1">
        <f t="array" ref="R183">_xlfn.IFS(stdsurvey[[#This Row],[class_attendance_percent]]&lt;60,"Less than 0%",stdsurvey[[#This Row],[class_attendance_percent]]&lt;70,"60-70 %",stdsurvey[[#This Row],[class_attendance_percent]]&lt;80, "70-80%",stdsurvey[[#This Row],[class_attendance_percent]]&lt;90,"80-90%",TRUE,"More than 90%")</f>
        <v>60-70 %</v>
      </c>
      <c r="S183" t="s">
        <v>22</v>
      </c>
      <c r="T183">
        <v>4</v>
      </c>
      <c r="U183" t="s">
        <v>26</v>
      </c>
      <c r="V183">
        <v>2.23</v>
      </c>
      <c r="W183" s="4" t="str" cm="1">
        <f t="array" ref="W18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83" s="4" t="str" cm="1">
        <f t="array" ref="X183">_xlfn.IFS(stdsurvey[[#This Row],[daily_sleep_hours]]&lt;4,"&lt; 4 hrs",stdsurvey[[#This Row],[daily_sleep_hours]]&lt;=6,"4-6 hrs",stdsurvey[[#This Row],[daily_sleep_hours]]&lt;=8,"6-8 hrs",TRUE,"&gt; 8 hrs")</f>
        <v>4-6 hrs</v>
      </c>
      <c r="Y183" t="s">
        <v>20</v>
      </c>
    </row>
    <row r="184" spans="1:25" x14ac:dyDescent="0.3">
      <c r="A184" t="s">
        <v>218</v>
      </c>
      <c r="B184">
        <v>22</v>
      </c>
      <c r="C184" t="s">
        <v>20</v>
      </c>
      <c r="D184">
        <v>4</v>
      </c>
      <c r="E184" t="s">
        <v>21</v>
      </c>
      <c r="F184">
        <v>8.1</v>
      </c>
      <c r="G184">
        <v>3.5</v>
      </c>
      <c r="H184">
        <v>5</v>
      </c>
      <c r="I184">
        <v>4</v>
      </c>
      <c r="J184">
        <v>3</v>
      </c>
      <c r="K184" s="4" t="str" cm="1">
        <f t="array" ref="K184">_xlfn.IFS(stdsurvey[[#This Row],[phq9_score]]="","Answer Not Provided",stdsurvey[[#This Row],[phq9_score]]&lt;=4,"Minimal",stdsurvey[[#This Row],[phq9_score]]&lt;=9,"Mild",stdsurvey[[#This Row],[phq9_score]]&lt;=14,"Moderate",stdsurvey[[#This Row],[phq9_score]]&lt;=19,"Moderately Severe",stdsurvey[[#This Row],[phq9_score]]&lt;=27,"Severe")</f>
        <v>Minimal</v>
      </c>
      <c r="L184">
        <v>6</v>
      </c>
      <c r="M184" s="4" t="str" cm="1">
        <f t="array" ref="M184">_xlfn.IFS(stdsurvey[[#This Row],[gad7_score]]="","Answer Not Provided",stdsurvey[[#This Row],[gad7_score]]&lt;=4,"Minimal",stdsurvey[[#This Row],[gad7_score]]&lt;=9,"Mild",stdsurvey[[#This Row],[gad7_score]]&lt;=14,"Moderate",stdsurvey[[#This Row],[gad7_score]]&lt;=21,"Severe")</f>
        <v>Minimal</v>
      </c>
      <c r="N184">
        <v>11.8</v>
      </c>
      <c r="O184" s="4" t="str" cm="1">
        <f t="array" ref="O184">_xlfn.IFS(stdsurvey[[#This Row],[perceived_stress_scale]]="","Answer Not Provided",stdsurvey[[#This Row],[perceived_stress_scale]]&lt;=13,"Low Stress",stdsurvey[[#This Row],[perceived_stress_scale]]&lt;=26,"Moderate Stress",stdsurvey[[#This Row],[perceived_stress_scale]]&lt;=40,"High Stress")</f>
        <v>Low Stress</v>
      </c>
      <c r="P184">
        <v>88.7</v>
      </c>
      <c r="Q184">
        <v>3</v>
      </c>
      <c r="R184" s="4" t="str" cm="1">
        <f t="array" ref="R184">_xlfn.IFS(stdsurvey[[#This Row],[class_attendance_percent]]&lt;60,"Less than 0%",stdsurvey[[#This Row],[class_attendance_percent]]&lt;70,"60-70 %",stdsurvey[[#This Row],[class_attendance_percent]]&lt;80, "70-80%",stdsurvey[[#This Row],[class_attendance_percent]]&lt;90,"80-90%",TRUE,"More than 90%")</f>
        <v>80-90%</v>
      </c>
      <c r="S184" t="s">
        <v>22</v>
      </c>
      <c r="T184">
        <v>1</v>
      </c>
      <c r="U184" t="s">
        <v>26</v>
      </c>
      <c r="V184">
        <v>3.52</v>
      </c>
      <c r="W184" s="4" t="str" cm="1">
        <f t="array" ref="W18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84" s="4" t="str" cm="1">
        <f t="array" ref="X184">_xlfn.IFS(stdsurvey[[#This Row],[daily_sleep_hours]]&lt;4,"&lt; 4 hrs",stdsurvey[[#This Row],[daily_sleep_hours]]&lt;=6,"4-6 hrs",stdsurvey[[#This Row],[daily_sleep_hours]]&lt;=8,"6-8 hrs",TRUE,"&gt; 8 hrs")</f>
        <v>&gt; 8 hrs</v>
      </c>
      <c r="Y184" t="s">
        <v>20</v>
      </c>
    </row>
    <row r="185" spans="1:25" x14ac:dyDescent="0.3">
      <c r="A185" t="s">
        <v>219</v>
      </c>
      <c r="B185">
        <v>24</v>
      </c>
      <c r="C185" t="s">
        <v>20</v>
      </c>
      <c r="D185">
        <v>2</v>
      </c>
      <c r="E185" t="s">
        <v>30</v>
      </c>
      <c r="F185">
        <v>5.3</v>
      </c>
      <c r="G185">
        <v>7.4</v>
      </c>
      <c r="H185">
        <v>2</v>
      </c>
      <c r="I185">
        <v>5</v>
      </c>
      <c r="J185">
        <v>3</v>
      </c>
      <c r="K185" s="4" t="str" cm="1">
        <f t="array" ref="K185">_xlfn.IFS(stdsurvey[[#This Row],[phq9_score]]="","Answer Not Provided",stdsurvey[[#This Row],[phq9_score]]&lt;=4,"Minimal",stdsurvey[[#This Row],[phq9_score]]&lt;=9,"Mild",stdsurvey[[#This Row],[phq9_score]]&lt;=14,"Moderate",stdsurvey[[#This Row],[phq9_score]]&lt;=19,"Moderately Severe",stdsurvey[[#This Row],[phq9_score]]&lt;=27,"Severe")</f>
        <v>Mild</v>
      </c>
      <c r="L185">
        <v>10</v>
      </c>
      <c r="M185" s="4" t="str" cm="1">
        <f t="array" ref="M185">_xlfn.IFS(stdsurvey[[#This Row],[gad7_score]]="","Answer Not Provided",stdsurvey[[#This Row],[gad7_score]]&lt;=4,"Minimal",stdsurvey[[#This Row],[gad7_score]]&lt;=9,"Mild",stdsurvey[[#This Row],[gad7_score]]&lt;=14,"Moderate",stdsurvey[[#This Row],[gad7_score]]&lt;=21,"Severe")</f>
        <v>Minimal</v>
      </c>
      <c r="N185">
        <v>1</v>
      </c>
      <c r="O185" s="4" t="str" cm="1">
        <f t="array" ref="O185">_xlfn.IFS(stdsurvey[[#This Row],[perceived_stress_scale]]="","Answer Not Provided",stdsurvey[[#This Row],[perceived_stress_scale]]&lt;=13,"Low Stress",stdsurvey[[#This Row],[perceived_stress_scale]]&lt;=26,"Moderate Stress",stdsurvey[[#This Row],[perceived_stress_scale]]&lt;=40,"High Stress")</f>
        <v>Low Stress</v>
      </c>
      <c r="P185">
        <v>87.3</v>
      </c>
      <c r="Q185">
        <v>5</v>
      </c>
      <c r="R185" s="4" t="str" cm="1">
        <f t="array" ref="R185">_xlfn.IFS(stdsurvey[[#This Row],[class_attendance_percent]]&lt;60,"Less than 0%",stdsurvey[[#This Row],[class_attendance_percent]]&lt;70,"60-70 %",stdsurvey[[#This Row],[class_attendance_percent]]&lt;80, "70-80%",stdsurvey[[#This Row],[class_attendance_percent]]&lt;90,"80-90%",TRUE,"More than 90%")</f>
        <v>80-90%</v>
      </c>
      <c r="S185" t="s">
        <v>33</v>
      </c>
      <c r="T185">
        <v>4</v>
      </c>
      <c r="U185" t="s">
        <v>23</v>
      </c>
      <c r="V185">
        <v>2.2400000000000002</v>
      </c>
      <c r="W185" s="4" t="str" cm="1">
        <f t="array" ref="W18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85" s="4" t="str" cm="1">
        <f t="array" ref="X185">_xlfn.IFS(stdsurvey[[#This Row],[daily_sleep_hours]]&lt;4,"&lt; 4 hrs",stdsurvey[[#This Row],[daily_sleep_hours]]&lt;=6,"4-6 hrs",stdsurvey[[#This Row],[daily_sleep_hours]]&lt;=8,"6-8 hrs",TRUE,"&gt; 8 hrs")</f>
        <v>4-6 hrs</v>
      </c>
      <c r="Y185" t="s">
        <v>20</v>
      </c>
    </row>
    <row r="186" spans="1:25" x14ac:dyDescent="0.3">
      <c r="A186" t="s">
        <v>220</v>
      </c>
      <c r="B186">
        <v>22</v>
      </c>
      <c r="C186" t="s">
        <v>27</v>
      </c>
      <c r="D186">
        <v>2</v>
      </c>
      <c r="E186" t="s">
        <v>30</v>
      </c>
      <c r="F186">
        <v>4.5</v>
      </c>
      <c r="G186">
        <v>8.1999999999999993</v>
      </c>
      <c r="H186">
        <v>5</v>
      </c>
      <c r="I186">
        <v>15</v>
      </c>
      <c r="J186">
        <v>15</v>
      </c>
      <c r="K186" s="4" t="str" cm="1">
        <f t="array" ref="K186">_xlfn.IFS(stdsurvey[[#This Row],[phq9_score]]="","Answer Not Provided",stdsurvey[[#This Row],[phq9_score]]&lt;=4,"Minimal",stdsurvey[[#This Row],[phq9_score]]&lt;=9,"Mild",stdsurvey[[#This Row],[phq9_score]]&lt;=14,"Moderate",stdsurvey[[#This Row],[phq9_score]]&lt;=19,"Moderately Severe",stdsurvey[[#This Row],[phq9_score]]&lt;=27,"Severe")</f>
        <v>Moderately Severe</v>
      </c>
      <c r="L186">
        <v>24</v>
      </c>
      <c r="M186" s="4" t="str" cm="1">
        <f t="array" ref="M186">_xlfn.IFS(stdsurvey[[#This Row],[gad7_score]]="","Answer Not Provided",stdsurvey[[#This Row],[gad7_score]]&lt;=4,"Minimal",stdsurvey[[#This Row],[gad7_score]]&lt;=9,"Mild",stdsurvey[[#This Row],[gad7_score]]&lt;=14,"Moderate",stdsurvey[[#This Row],[gad7_score]]&lt;=21,"Severe")</f>
        <v>Severe</v>
      </c>
      <c r="N186">
        <v>23.9</v>
      </c>
      <c r="O186" s="4" t="str" cm="1">
        <f t="array" ref="O186">_xlfn.IFS(stdsurvey[[#This Row],[perceived_stress_scale]]="","Answer Not Provided",stdsurvey[[#This Row],[perceived_stress_scale]]&lt;=13,"Low Stress",stdsurvey[[#This Row],[perceived_stress_scale]]&lt;=26,"Moderate Stress",stdsurvey[[#This Row],[perceived_stress_scale]]&lt;=40,"High Stress")</f>
        <v>Moderate Stress</v>
      </c>
      <c r="P186">
        <v>71</v>
      </c>
      <c r="Q186">
        <v>4</v>
      </c>
      <c r="R186" s="4" t="str" cm="1">
        <f t="array" ref="R186">_xlfn.IFS(stdsurvey[[#This Row],[class_attendance_percent]]&lt;60,"Less than 0%",stdsurvey[[#This Row],[class_attendance_percent]]&lt;70,"60-70 %",stdsurvey[[#This Row],[class_attendance_percent]]&lt;80, "70-80%",stdsurvey[[#This Row],[class_attendance_percent]]&lt;90,"80-90%",TRUE,"More than 90%")</f>
        <v>70-80%</v>
      </c>
      <c r="S186" t="s">
        <v>33</v>
      </c>
      <c r="T186">
        <v>4</v>
      </c>
      <c r="U186" t="s">
        <v>26</v>
      </c>
      <c r="V186">
        <v>2.65</v>
      </c>
      <c r="W186" s="4" t="str" cm="1">
        <f t="array" ref="W18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86" s="4" t="str" cm="1">
        <f t="array" ref="X186">_xlfn.IFS(stdsurvey[[#This Row],[daily_sleep_hours]]&lt;4,"&lt; 4 hrs",stdsurvey[[#This Row],[daily_sleep_hours]]&lt;=6,"4-6 hrs",stdsurvey[[#This Row],[daily_sleep_hours]]&lt;=8,"6-8 hrs",TRUE,"&gt; 8 hrs")</f>
        <v>4-6 hrs</v>
      </c>
      <c r="Y186" t="s">
        <v>27</v>
      </c>
    </row>
    <row r="187" spans="1:25" x14ac:dyDescent="0.3">
      <c r="A187" t="s">
        <v>221</v>
      </c>
      <c r="B187">
        <v>21</v>
      </c>
      <c r="C187" t="s">
        <v>102</v>
      </c>
      <c r="D187">
        <v>1</v>
      </c>
      <c r="E187" t="s">
        <v>30</v>
      </c>
      <c r="F187">
        <v>5.8</v>
      </c>
      <c r="G187">
        <v>10</v>
      </c>
      <c r="H187">
        <v>1</v>
      </c>
      <c r="I187">
        <v>26</v>
      </c>
      <c r="J187">
        <v>20</v>
      </c>
      <c r="K187" s="4" t="str" cm="1">
        <f t="array" ref="K187">_xlfn.IFS(stdsurvey[[#This Row],[phq9_score]]="","Answer Not Provided",stdsurvey[[#This Row],[phq9_score]]&lt;=4,"Minimal",stdsurvey[[#This Row],[phq9_score]]&lt;=9,"Mild",stdsurvey[[#This Row],[phq9_score]]&lt;=14,"Moderate",stdsurvey[[#This Row],[phq9_score]]&lt;=19,"Moderately Severe",stdsurvey[[#This Row],[phq9_score]]&lt;=27,"Severe")</f>
        <v>Severe</v>
      </c>
      <c r="L187">
        <v>28</v>
      </c>
      <c r="M187" s="4" t="str" cm="1">
        <f t="array" ref="M187">_xlfn.IFS(stdsurvey[[#This Row],[gad7_score]]="","Answer Not Provided",stdsurvey[[#This Row],[gad7_score]]&lt;=4,"Minimal",stdsurvey[[#This Row],[gad7_score]]&lt;=9,"Mild",stdsurvey[[#This Row],[gad7_score]]&lt;=14,"Moderate",stdsurvey[[#This Row],[gad7_score]]&lt;=21,"Severe")</f>
        <v>Severe</v>
      </c>
      <c r="N187">
        <v>21.7</v>
      </c>
      <c r="O187" s="4" t="str" cm="1">
        <f t="array" ref="O187">_xlfn.IFS(stdsurvey[[#This Row],[perceived_stress_scale]]="","Answer Not Provided",stdsurvey[[#This Row],[perceived_stress_scale]]&lt;=13,"Low Stress",stdsurvey[[#This Row],[perceived_stress_scale]]&lt;=26,"Moderate Stress",stdsurvey[[#This Row],[perceived_stress_scale]]&lt;=40,"High Stress")</f>
        <v>High Stress</v>
      </c>
      <c r="P187">
        <v>52.9</v>
      </c>
      <c r="Q187">
        <v>1</v>
      </c>
      <c r="R187" s="4" t="str" cm="1">
        <f t="array" ref="R187">_xlfn.IFS(stdsurvey[[#This Row],[class_attendance_percent]]&lt;60,"Less than 0%",stdsurvey[[#This Row],[class_attendance_percent]]&lt;70,"60-70 %",stdsurvey[[#This Row],[class_attendance_percent]]&lt;80, "70-80%",stdsurvey[[#This Row],[class_attendance_percent]]&lt;90,"80-90%",TRUE,"More than 90%")</f>
        <v>Less than 0%</v>
      </c>
      <c r="S187" t="s">
        <v>22</v>
      </c>
      <c r="T187">
        <v>2</v>
      </c>
      <c r="U187" t="s">
        <v>23</v>
      </c>
      <c r="V187">
        <v>2.33</v>
      </c>
      <c r="W187" s="4" t="str" cm="1">
        <f t="array" ref="W18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87" s="4" t="str" cm="1">
        <f t="array" ref="X187">_xlfn.IFS(stdsurvey[[#This Row],[daily_sleep_hours]]&lt;4,"&lt; 4 hrs",stdsurvey[[#This Row],[daily_sleep_hours]]&lt;=6,"4-6 hrs",stdsurvey[[#This Row],[daily_sleep_hours]]&lt;=8,"6-8 hrs",TRUE,"&gt; 8 hrs")</f>
        <v>4-6 hrs</v>
      </c>
      <c r="Y187" t="s">
        <v>20</v>
      </c>
    </row>
    <row r="188" spans="1:25" x14ac:dyDescent="0.3">
      <c r="A188" t="s">
        <v>222</v>
      </c>
      <c r="B188">
        <v>24</v>
      </c>
      <c r="C188" t="s">
        <v>27</v>
      </c>
      <c r="D188">
        <v>2</v>
      </c>
      <c r="E188" t="s">
        <v>30</v>
      </c>
      <c r="F188">
        <v>5.9</v>
      </c>
      <c r="G188">
        <v>2.5</v>
      </c>
      <c r="H188">
        <v>2</v>
      </c>
      <c r="I188">
        <v>3</v>
      </c>
      <c r="J188">
        <v>8</v>
      </c>
      <c r="K188" s="4" t="str" cm="1">
        <f t="array" ref="K188">_xlfn.IFS(stdsurvey[[#This Row],[phq9_score]]="","Answer Not Provided",stdsurvey[[#This Row],[phq9_score]]&lt;=4,"Minimal",stdsurvey[[#This Row],[phq9_score]]&lt;=9,"Mild",stdsurvey[[#This Row],[phq9_score]]&lt;=14,"Moderate",stdsurvey[[#This Row],[phq9_score]]&lt;=19,"Moderately Severe",stdsurvey[[#This Row],[phq9_score]]&lt;=27,"Severe")</f>
        <v>Minimal</v>
      </c>
      <c r="L188">
        <v>9</v>
      </c>
      <c r="M188" s="4" t="str" cm="1">
        <f t="array" ref="M188">_xlfn.IFS(stdsurvey[[#This Row],[gad7_score]]="","Answer Not Provided",stdsurvey[[#This Row],[gad7_score]]&lt;=4,"Minimal",stdsurvey[[#This Row],[gad7_score]]&lt;=9,"Mild",stdsurvey[[#This Row],[gad7_score]]&lt;=14,"Moderate",stdsurvey[[#This Row],[gad7_score]]&lt;=21,"Severe")</f>
        <v>Mild</v>
      </c>
      <c r="N188">
        <v>10.9</v>
      </c>
      <c r="O188" s="4" t="str" cm="1">
        <f t="array" ref="O188">_xlfn.IFS(stdsurvey[[#This Row],[perceived_stress_scale]]="","Answer Not Provided",stdsurvey[[#This Row],[perceived_stress_scale]]&lt;=13,"Low Stress",stdsurvey[[#This Row],[perceived_stress_scale]]&lt;=26,"Moderate Stress",stdsurvey[[#This Row],[perceived_stress_scale]]&lt;=40,"High Stress")</f>
        <v>Low Stress</v>
      </c>
      <c r="P188">
        <v>82.9</v>
      </c>
      <c r="Q188">
        <v>3</v>
      </c>
      <c r="R188" s="4" t="str" cm="1">
        <f t="array" ref="R188">_xlfn.IFS(stdsurvey[[#This Row],[class_attendance_percent]]&lt;60,"Less than 0%",stdsurvey[[#This Row],[class_attendance_percent]]&lt;70,"60-70 %",stdsurvey[[#This Row],[class_attendance_percent]]&lt;80, "70-80%",stdsurvey[[#This Row],[class_attendance_percent]]&lt;90,"80-90%",TRUE,"More than 90%")</f>
        <v>80-90%</v>
      </c>
      <c r="S188" t="s">
        <v>33</v>
      </c>
      <c r="T188">
        <v>3</v>
      </c>
      <c r="U188" t="s">
        <v>23</v>
      </c>
      <c r="V188">
        <v>3.01</v>
      </c>
      <c r="W188" s="4" t="str" cm="1">
        <f t="array" ref="W18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88" s="4" t="str" cm="1">
        <f t="array" ref="X188">_xlfn.IFS(stdsurvey[[#This Row],[daily_sleep_hours]]&lt;4,"&lt; 4 hrs",stdsurvey[[#This Row],[daily_sleep_hours]]&lt;=6,"4-6 hrs",stdsurvey[[#This Row],[daily_sleep_hours]]&lt;=8,"6-8 hrs",TRUE,"&gt; 8 hrs")</f>
        <v>4-6 hrs</v>
      </c>
      <c r="Y188" t="s">
        <v>27</v>
      </c>
    </row>
    <row r="189" spans="1:25" x14ac:dyDescent="0.3">
      <c r="A189" t="s">
        <v>223</v>
      </c>
      <c r="B189">
        <v>22</v>
      </c>
      <c r="C189" t="s">
        <v>27</v>
      </c>
      <c r="D189">
        <v>2</v>
      </c>
      <c r="E189" t="s">
        <v>30</v>
      </c>
      <c r="F189">
        <v>4.5999999999999996</v>
      </c>
      <c r="G189">
        <v>9.1999999999999993</v>
      </c>
      <c r="H189">
        <v>0</v>
      </c>
      <c r="I189">
        <v>12</v>
      </c>
      <c r="J189">
        <v>9</v>
      </c>
      <c r="K189" s="4" t="str" cm="1">
        <f t="array" ref="K189">_xlfn.IFS(stdsurvey[[#This Row],[phq9_score]]="","Answer Not Provided",stdsurvey[[#This Row],[phq9_score]]&lt;=4,"Minimal",stdsurvey[[#This Row],[phq9_score]]&lt;=9,"Mild",stdsurvey[[#This Row],[phq9_score]]&lt;=14,"Moderate",stdsurvey[[#This Row],[phq9_score]]&lt;=19,"Moderately Severe",stdsurvey[[#This Row],[phq9_score]]&lt;=27,"Severe")</f>
        <v>Moderate</v>
      </c>
      <c r="L189">
        <v>13</v>
      </c>
      <c r="M189" s="4" t="str" cm="1">
        <f t="array" ref="M189">_xlfn.IFS(stdsurvey[[#This Row],[gad7_score]]="","Answer Not Provided",stdsurvey[[#This Row],[gad7_score]]&lt;=4,"Minimal",stdsurvey[[#This Row],[gad7_score]]&lt;=9,"Mild",stdsurvey[[#This Row],[gad7_score]]&lt;=14,"Moderate",stdsurvey[[#This Row],[gad7_score]]&lt;=21,"Severe")</f>
        <v>Mild</v>
      </c>
      <c r="N189">
        <v>17.7</v>
      </c>
      <c r="O189" s="4" t="str" cm="1">
        <f t="array" ref="O189">_xlfn.IFS(stdsurvey[[#This Row],[perceived_stress_scale]]="","Answer Not Provided",stdsurvey[[#This Row],[perceived_stress_scale]]&lt;=13,"Low Stress",stdsurvey[[#This Row],[perceived_stress_scale]]&lt;=26,"Moderate Stress",stdsurvey[[#This Row],[perceived_stress_scale]]&lt;=40,"High Stress")</f>
        <v>Low Stress</v>
      </c>
      <c r="P189">
        <v>71.900000000000006</v>
      </c>
      <c r="Q189">
        <v>3</v>
      </c>
      <c r="R189" s="4" t="str" cm="1">
        <f t="array" ref="R189">_xlfn.IFS(stdsurvey[[#This Row],[class_attendance_percent]]&lt;60,"Less than 0%",stdsurvey[[#This Row],[class_attendance_percent]]&lt;70,"60-70 %",stdsurvey[[#This Row],[class_attendance_percent]]&lt;80, "70-80%",stdsurvey[[#This Row],[class_attendance_percent]]&lt;90,"80-90%",TRUE,"More than 90%")</f>
        <v>70-80%</v>
      </c>
      <c r="S189" t="s">
        <v>22</v>
      </c>
      <c r="T189">
        <v>1</v>
      </c>
      <c r="U189" t="s">
        <v>51</v>
      </c>
      <c r="V189">
        <v>3.02</v>
      </c>
      <c r="W189" s="4" t="str" cm="1">
        <f t="array" ref="W18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89" s="4" t="str" cm="1">
        <f t="array" ref="X189">_xlfn.IFS(stdsurvey[[#This Row],[daily_sleep_hours]]&lt;4,"&lt; 4 hrs",stdsurvey[[#This Row],[daily_sleep_hours]]&lt;=6,"4-6 hrs",stdsurvey[[#This Row],[daily_sleep_hours]]&lt;=8,"6-8 hrs",TRUE,"&gt; 8 hrs")</f>
        <v>4-6 hrs</v>
      </c>
      <c r="Y189" t="s">
        <v>27</v>
      </c>
    </row>
    <row r="190" spans="1:25" x14ac:dyDescent="0.3">
      <c r="A190" t="s">
        <v>224</v>
      </c>
      <c r="B190">
        <v>25</v>
      </c>
      <c r="C190" t="s">
        <v>27</v>
      </c>
      <c r="D190">
        <v>3</v>
      </c>
      <c r="E190" t="s">
        <v>63</v>
      </c>
      <c r="F190">
        <v>5.5</v>
      </c>
      <c r="G190">
        <v>3.5</v>
      </c>
      <c r="H190">
        <v>4</v>
      </c>
      <c r="I190">
        <v>0</v>
      </c>
      <c r="J190">
        <v>2</v>
      </c>
      <c r="K190" s="4" t="str" cm="1">
        <f t="array" ref="K190">_xlfn.IFS(stdsurvey[[#This Row],[phq9_score]]="","Answer Not Provided",stdsurvey[[#This Row],[phq9_score]]&lt;=4,"Minimal",stdsurvey[[#This Row],[phq9_score]]&lt;=9,"Mild",stdsurvey[[#This Row],[phq9_score]]&lt;=14,"Moderate",stdsurvey[[#This Row],[phq9_score]]&lt;=19,"Moderately Severe",stdsurvey[[#This Row],[phq9_score]]&lt;=27,"Severe")</f>
        <v>Minimal</v>
      </c>
      <c r="L190">
        <v>9</v>
      </c>
      <c r="M190" s="4" t="str" cm="1">
        <f t="array" ref="M190">_xlfn.IFS(stdsurvey[[#This Row],[gad7_score]]="","Answer Not Provided",stdsurvey[[#This Row],[gad7_score]]&lt;=4,"Minimal",stdsurvey[[#This Row],[gad7_score]]&lt;=9,"Mild",stdsurvey[[#This Row],[gad7_score]]&lt;=14,"Moderate",stdsurvey[[#This Row],[gad7_score]]&lt;=21,"Severe")</f>
        <v>Minimal</v>
      </c>
      <c r="N190">
        <v>23</v>
      </c>
      <c r="O190" s="4" t="str" cm="1">
        <f t="array" ref="O190">_xlfn.IFS(stdsurvey[[#This Row],[perceived_stress_scale]]="","Answer Not Provided",stdsurvey[[#This Row],[perceived_stress_scale]]&lt;=13,"Low Stress",stdsurvey[[#This Row],[perceived_stress_scale]]&lt;=26,"Moderate Stress",stdsurvey[[#This Row],[perceived_stress_scale]]&lt;=40,"High Stress")</f>
        <v>Low Stress</v>
      </c>
      <c r="P190">
        <v>85.2</v>
      </c>
      <c r="Q190">
        <v>2</v>
      </c>
      <c r="R190" s="4" t="str" cm="1">
        <f t="array" ref="R190">_xlfn.IFS(stdsurvey[[#This Row],[class_attendance_percent]]&lt;60,"Less than 0%",stdsurvey[[#This Row],[class_attendance_percent]]&lt;70,"60-70 %",stdsurvey[[#This Row],[class_attendance_percent]]&lt;80, "70-80%",stdsurvey[[#This Row],[class_attendance_percent]]&lt;90,"80-90%",TRUE,"More than 90%")</f>
        <v>80-90%</v>
      </c>
      <c r="S190" t="s">
        <v>33</v>
      </c>
      <c r="T190">
        <v>4</v>
      </c>
      <c r="U190" t="s">
        <v>23</v>
      </c>
      <c r="V190">
        <v>3.3</v>
      </c>
      <c r="W190" s="4" t="str" cm="1">
        <f t="array" ref="W19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90" s="4" t="str" cm="1">
        <f t="array" ref="X190">_xlfn.IFS(stdsurvey[[#This Row],[daily_sleep_hours]]&lt;4,"&lt; 4 hrs",stdsurvey[[#This Row],[daily_sleep_hours]]&lt;=6,"4-6 hrs",stdsurvey[[#This Row],[daily_sleep_hours]]&lt;=8,"6-8 hrs",TRUE,"&gt; 8 hrs")</f>
        <v>4-6 hrs</v>
      </c>
      <c r="Y190" t="s">
        <v>27</v>
      </c>
    </row>
    <row r="191" spans="1:25" x14ac:dyDescent="0.3">
      <c r="A191" t="s">
        <v>225</v>
      </c>
      <c r="B191">
        <v>22</v>
      </c>
      <c r="C191" t="s">
        <v>27</v>
      </c>
      <c r="D191">
        <v>1</v>
      </c>
      <c r="E191" t="s">
        <v>30</v>
      </c>
      <c r="F191">
        <v>7.4</v>
      </c>
      <c r="G191">
        <v>5</v>
      </c>
      <c r="H191">
        <v>1</v>
      </c>
      <c r="I191">
        <v>4</v>
      </c>
      <c r="J191">
        <v>3</v>
      </c>
      <c r="K191" s="4" t="str" cm="1">
        <f t="array" ref="K191">_xlfn.IFS(stdsurvey[[#This Row],[phq9_score]]="","Answer Not Provided",stdsurvey[[#This Row],[phq9_score]]&lt;=4,"Minimal",stdsurvey[[#This Row],[phq9_score]]&lt;=9,"Mild",stdsurvey[[#This Row],[phq9_score]]&lt;=14,"Moderate",stdsurvey[[#This Row],[phq9_score]]&lt;=19,"Moderately Severe",stdsurvey[[#This Row],[phq9_score]]&lt;=27,"Severe")</f>
        <v>Minimal</v>
      </c>
      <c r="L191">
        <v>9</v>
      </c>
      <c r="M191" s="4" t="str" cm="1">
        <f t="array" ref="M191">_xlfn.IFS(stdsurvey[[#This Row],[gad7_score]]="","Answer Not Provided",stdsurvey[[#This Row],[gad7_score]]&lt;=4,"Minimal",stdsurvey[[#This Row],[gad7_score]]&lt;=9,"Mild",stdsurvey[[#This Row],[gad7_score]]&lt;=14,"Moderate",stdsurvey[[#This Row],[gad7_score]]&lt;=21,"Severe")</f>
        <v>Minimal</v>
      </c>
      <c r="N191">
        <v>10.3</v>
      </c>
      <c r="O191" s="4" t="str" cm="1">
        <f t="array" ref="O191">_xlfn.IFS(stdsurvey[[#This Row],[perceived_stress_scale]]="","Answer Not Provided",stdsurvey[[#This Row],[perceived_stress_scale]]&lt;=13,"Low Stress",stdsurvey[[#This Row],[perceived_stress_scale]]&lt;=26,"Moderate Stress",stdsurvey[[#This Row],[perceived_stress_scale]]&lt;=40,"High Stress")</f>
        <v>Low Stress</v>
      </c>
      <c r="P191">
        <v>53.6</v>
      </c>
      <c r="Q191">
        <v>4</v>
      </c>
      <c r="R191" s="4" t="str" cm="1">
        <f t="array" ref="R191">_xlfn.IFS(stdsurvey[[#This Row],[class_attendance_percent]]&lt;60,"Less than 0%",stdsurvey[[#This Row],[class_attendance_percent]]&lt;70,"60-70 %",stdsurvey[[#This Row],[class_attendance_percent]]&lt;80, "70-80%",stdsurvey[[#This Row],[class_attendance_percent]]&lt;90,"80-90%",TRUE,"More than 90%")</f>
        <v>Less than 0%</v>
      </c>
      <c r="S191" t="s">
        <v>33</v>
      </c>
      <c r="T191">
        <v>1</v>
      </c>
      <c r="U191" t="s">
        <v>51</v>
      </c>
      <c r="W191" s="4" t="str" cm="1">
        <f t="array" ref="W19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91" s="4" t="str" cm="1">
        <f t="array" ref="X191">_xlfn.IFS(stdsurvey[[#This Row],[daily_sleep_hours]]&lt;4,"&lt; 4 hrs",stdsurvey[[#This Row],[daily_sleep_hours]]&lt;=6,"4-6 hrs",stdsurvey[[#This Row],[daily_sleep_hours]]&lt;=8,"6-8 hrs",TRUE,"&gt; 8 hrs")</f>
        <v>6-8 hrs</v>
      </c>
      <c r="Y191" t="s">
        <v>27</v>
      </c>
    </row>
    <row r="192" spans="1:25" x14ac:dyDescent="0.3">
      <c r="A192" t="s">
        <v>226</v>
      </c>
      <c r="B192">
        <v>19</v>
      </c>
      <c r="C192" t="s">
        <v>20</v>
      </c>
      <c r="D192">
        <v>4</v>
      </c>
      <c r="E192" t="s">
        <v>30</v>
      </c>
      <c r="F192">
        <v>5.4</v>
      </c>
      <c r="G192">
        <v>5.7</v>
      </c>
      <c r="H192">
        <v>1</v>
      </c>
      <c r="I192">
        <v>19</v>
      </c>
      <c r="J192">
        <v>15</v>
      </c>
      <c r="K192" s="4" t="str" cm="1">
        <f t="array" ref="K192">_xlfn.IFS(stdsurvey[[#This Row],[phq9_score]]="","Answer Not Provided",stdsurvey[[#This Row],[phq9_score]]&lt;=4,"Minimal",stdsurvey[[#This Row],[phq9_score]]&lt;=9,"Mild",stdsurvey[[#This Row],[phq9_score]]&lt;=14,"Moderate",stdsurvey[[#This Row],[phq9_score]]&lt;=19,"Moderately Severe",stdsurvey[[#This Row],[phq9_score]]&lt;=27,"Severe")</f>
        <v>Moderately Severe</v>
      </c>
      <c r="L192">
        <v>22</v>
      </c>
      <c r="M192" s="4" t="str" cm="1">
        <f t="array" ref="M192">_xlfn.IFS(stdsurvey[[#This Row],[gad7_score]]="","Answer Not Provided",stdsurvey[[#This Row],[gad7_score]]&lt;=4,"Minimal",stdsurvey[[#This Row],[gad7_score]]&lt;=9,"Mild",stdsurvey[[#This Row],[gad7_score]]&lt;=14,"Moderate",stdsurvey[[#This Row],[gad7_score]]&lt;=21,"Severe")</f>
        <v>Severe</v>
      </c>
      <c r="N192">
        <v>7.4</v>
      </c>
      <c r="O192" s="4" t="str" cm="1">
        <f t="array" ref="O192">_xlfn.IFS(stdsurvey[[#This Row],[perceived_stress_scale]]="","Answer Not Provided",stdsurvey[[#This Row],[perceived_stress_scale]]&lt;=13,"Low Stress",stdsurvey[[#This Row],[perceived_stress_scale]]&lt;=26,"Moderate Stress",stdsurvey[[#This Row],[perceived_stress_scale]]&lt;=40,"High Stress")</f>
        <v>Moderate Stress</v>
      </c>
      <c r="P192">
        <v>70.900000000000006</v>
      </c>
      <c r="Q192">
        <v>1</v>
      </c>
      <c r="R192" s="4" t="str" cm="1">
        <f t="array" ref="R192">_xlfn.IFS(stdsurvey[[#This Row],[class_attendance_percent]]&lt;60,"Less than 0%",stdsurvey[[#This Row],[class_attendance_percent]]&lt;70,"60-70 %",stdsurvey[[#This Row],[class_attendance_percent]]&lt;80, "70-80%",stdsurvey[[#This Row],[class_attendance_percent]]&lt;90,"80-90%",TRUE,"More than 90%")</f>
        <v>70-80%</v>
      </c>
      <c r="S192" t="s">
        <v>22</v>
      </c>
      <c r="T192">
        <v>5</v>
      </c>
      <c r="U192" t="s">
        <v>51</v>
      </c>
      <c r="V192">
        <v>2.15</v>
      </c>
      <c r="W192" s="4" t="str" cm="1">
        <f t="array" ref="W19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92" s="4" t="str" cm="1">
        <f t="array" ref="X192">_xlfn.IFS(stdsurvey[[#This Row],[daily_sleep_hours]]&lt;4,"&lt; 4 hrs",stdsurvey[[#This Row],[daily_sleep_hours]]&lt;=6,"4-6 hrs",stdsurvey[[#This Row],[daily_sleep_hours]]&lt;=8,"6-8 hrs",TRUE,"&gt; 8 hrs")</f>
        <v>4-6 hrs</v>
      </c>
      <c r="Y192" t="s">
        <v>20</v>
      </c>
    </row>
    <row r="193" spans="1:25" x14ac:dyDescent="0.3">
      <c r="A193" t="s">
        <v>227</v>
      </c>
      <c r="B193">
        <v>19</v>
      </c>
      <c r="C193" t="s">
        <v>20</v>
      </c>
      <c r="D193">
        <v>4</v>
      </c>
      <c r="E193" t="s">
        <v>47</v>
      </c>
      <c r="F193">
        <v>4.0999999999999996</v>
      </c>
      <c r="G193">
        <v>8.8000000000000007</v>
      </c>
      <c r="H193">
        <v>4</v>
      </c>
      <c r="I193">
        <v>6</v>
      </c>
      <c r="J193">
        <v>2</v>
      </c>
      <c r="K193" s="4" t="str" cm="1">
        <f t="array" ref="K193">_xlfn.IFS(stdsurvey[[#This Row],[phq9_score]]="","Answer Not Provided",stdsurvey[[#This Row],[phq9_score]]&lt;=4,"Minimal",stdsurvey[[#This Row],[phq9_score]]&lt;=9,"Mild",stdsurvey[[#This Row],[phq9_score]]&lt;=14,"Moderate",stdsurvey[[#This Row],[phq9_score]]&lt;=19,"Moderately Severe",stdsurvey[[#This Row],[phq9_score]]&lt;=27,"Severe")</f>
        <v>Mild</v>
      </c>
      <c r="L193">
        <v>10</v>
      </c>
      <c r="M193" s="4" t="str" cm="1">
        <f t="array" ref="M193">_xlfn.IFS(stdsurvey[[#This Row],[gad7_score]]="","Answer Not Provided",stdsurvey[[#This Row],[gad7_score]]&lt;=4,"Minimal",stdsurvey[[#This Row],[gad7_score]]&lt;=9,"Mild",stdsurvey[[#This Row],[gad7_score]]&lt;=14,"Moderate",stdsurvey[[#This Row],[gad7_score]]&lt;=21,"Severe")</f>
        <v>Minimal</v>
      </c>
      <c r="N193">
        <v>17.399999999999999</v>
      </c>
      <c r="O193" s="4" t="str" cm="1">
        <f t="array" ref="O193">_xlfn.IFS(stdsurvey[[#This Row],[perceived_stress_scale]]="","Answer Not Provided",stdsurvey[[#This Row],[perceived_stress_scale]]&lt;=13,"Low Stress",stdsurvey[[#This Row],[perceived_stress_scale]]&lt;=26,"Moderate Stress",stdsurvey[[#This Row],[perceived_stress_scale]]&lt;=40,"High Stress")</f>
        <v>Low Stress</v>
      </c>
      <c r="P193">
        <v>90.8</v>
      </c>
      <c r="Q193">
        <v>4</v>
      </c>
      <c r="R193" s="4" t="str" cm="1">
        <f t="array" ref="R193">_xlfn.IFS(stdsurvey[[#This Row],[class_attendance_percent]]&lt;60,"Less than 0%",stdsurvey[[#This Row],[class_attendance_percent]]&lt;70,"60-70 %",stdsurvey[[#This Row],[class_attendance_percent]]&lt;80, "70-80%",stdsurvey[[#This Row],[class_attendance_percent]]&lt;90,"80-90%",TRUE,"More than 90%")</f>
        <v>More than 90%</v>
      </c>
      <c r="S193" t="s">
        <v>33</v>
      </c>
      <c r="T193">
        <v>2</v>
      </c>
      <c r="U193" t="s">
        <v>26</v>
      </c>
      <c r="V193">
        <v>3.41</v>
      </c>
      <c r="W193" s="4" t="str" cm="1">
        <f t="array" ref="W19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193" s="4" t="str" cm="1">
        <f t="array" ref="X193">_xlfn.IFS(stdsurvey[[#This Row],[daily_sleep_hours]]&lt;4,"&lt; 4 hrs",stdsurvey[[#This Row],[daily_sleep_hours]]&lt;=6,"4-6 hrs",stdsurvey[[#This Row],[daily_sleep_hours]]&lt;=8,"6-8 hrs",TRUE,"&gt; 8 hrs")</f>
        <v>4-6 hrs</v>
      </c>
      <c r="Y193" t="s">
        <v>20</v>
      </c>
    </row>
    <row r="194" spans="1:25" x14ac:dyDescent="0.3">
      <c r="A194" t="s">
        <v>228</v>
      </c>
      <c r="B194">
        <v>25</v>
      </c>
      <c r="C194" t="s">
        <v>27</v>
      </c>
      <c r="D194">
        <v>1</v>
      </c>
      <c r="E194" t="s">
        <v>32</v>
      </c>
      <c r="F194">
        <v>7</v>
      </c>
      <c r="G194">
        <v>7</v>
      </c>
      <c r="H194">
        <v>3</v>
      </c>
      <c r="I194">
        <v>16</v>
      </c>
      <c r="J194">
        <v>14</v>
      </c>
      <c r="K194" s="4" t="str" cm="1">
        <f t="array" ref="K194">_xlfn.IFS(stdsurvey[[#This Row],[phq9_score]]="","Answer Not Provided",stdsurvey[[#This Row],[phq9_score]]&lt;=4,"Minimal",stdsurvey[[#This Row],[phq9_score]]&lt;=9,"Mild",stdsurvey[[#This Row],[phq9_score]]&lt;=14,"Moderate",stdsurvey[[#This Row],[phq9_score]]&lt;=19,"Moderately Severe",stdsurvey[[#This Row],[phq9_score]]&lt;=27,"Severe")</f>
        <v>Moderately Severe</v>
      </c>
      <c r="L194">
        <v>18</v>
      </c>
      <c r="M194" s="4" t="str" cm="1">
        <f t="array" ref="M194">_xlfn.IFS(stdsurvey[[#This Row],[gad7_score]]="","Answer Not Provided",stdsurvey[[#This Row],[gad7_score]]&lt;=4,"Minimal",stdsurvey[[#This Row],[gad7_score]]&lt;=9,"Mild",stdsurvey[[#This Row],[gad7_score]]&lt;=14,"Moderate",stdsurvey[[#This Row],[gad7_score]]&lt;=21,"Severe")</f>
        <v>Moderate</v>
      </c>
      <c r="N194">
        <v>11</v>
      </c>
      <c r="O194" s="4" t="str" cm="1">
        <f t="array" ref="O194">_xlfn.IFS(stdsurvey[[#This Row],[perceived_stress_scale]]="","Answer Not Provided",stdsurvey[[#This Row],[perceived_stress_scale]]&lt;=13,"Low Stress",stdsurvey[[#This Row],[perceived_stress_scale]]&lt;=26,"Moderate Stress",stdsurvey[[#This Row],[perceived_stress_scale]]&lt;=40,"High Stress")</f>
        <v>Moderate Stress</v>
      </c>
      <c r="P194">
        <v>87.7</v>
      </c>
      <c r="Q194">
        <v>5</v>
      </c>
      <c r="R194" s="4" t="str" cm="1">
        <f t="array" ref="R194">_xlfn.IFS(stdsurvey[[#This Row],[class_attendance_percent]]&lt;60,"Less than 0%",stdsurvey[[#This Row],[class_attendance_percent]]&lt;70,"60-70 %",stdsurvey[[#This Row],[class_attendance_percent]]&lt;80, "70-80%",stdsurvey[[#This Row],[class_attendance_percent]]&lt;90,"80-90%",TRUE,"More than 90%")</f>
        <v>80-90%</v>
      </c>
      <c r="S194" t="s">
        <v>33</v>
      </c>
      <c r="T194">
        <v>4</v>
      </c>
      <c r="U194" t="s">
        <v>23</v>
      </c>
      <c r="V194">
        <v>3.01</v>
      </c>
      <c r="W194" s="4" t="str" cm="1">
        <f t="array" ref="W19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94" s="4" t="str" cm="1">
        <f t="array" ref="X194">_xlfn.IFS(stdsurvey[[#This Row],[daily_sleep_hours]]&lt;4,"&lt; 4 hrs",stdsurvey[[#This Row],[daily_sleep_hours]]&lt;=6,"4-6 hrs",stdsurvey[[#This Row],[daily_sleep_hours]]&lt;=8,"6-8 hrs",TRUE,"&gt; 8 hrs")</f>
        <v>6-8 hrs</v>
      </c>
      <c r="Y194" t="s">
        <v>27</v>
      </c>
    </row>
    <row r="195" spans="1:25" x14ac:dyDescent="0.3">
      <c r="A195" t="s">
        <v>229</v>
      </c>
      <c r="B195">
        <v>25</v>
      </c>
      <c r="C195" t="s">
        <v>27</v>
      </c>
      <c r="D195">
        <v>1</v>
      </c>
      <c r="E195" t="s">
        <v>49</v>
      </c>
      <c r="F195">
        <v>6.8</v>
      </c>
      <c r="G195">
        <v>3.4</v>
      </c>
      <c r="H195">
        <v>0</v>
      </c>
      <c r="I195">
        <v>9</v>
      </c>
      <c r="J195">
        <v>8</v>
      </c>
      <c r="K195" s="4" t="str" cm="1">
        <f t="array" ref="K195">_xlfn.IFS(stdsurvey[[#This Row],[phq9_score]]="","Answer Not Provided",stdsurvey[[#This Row],[phq9_score]]&lt;=4,"Minimal",stdsurvey[[#This Row],[phq9_score]]&lt;=9,"Mild",stdsurvey[[#This Row],[phq9_score]]&lt;=14,"Moderate",stdsurvey[[#This Row],[phq9_score]]&lt;=19,"Moderately Severe",stdsurvey[[#This Row],[phq9_score]]&lt;=27,"Severe")</f>
        <v>Mild</v>
      </c>
      <c r="L195">
        <v>11</v>
      </c>
      <c r="M195" s="4" t="str" cm="1">
        <f t="array" ref="M195">_xlfn.IFS(stdsurvey[[#This Row],[gad7_score]]="","Answer Not Provided",stdsurvey[[#This Row],[gad7_score]]&lt;=4,"Minimal",stdsurvey[[#This Row],[gad7_score]]&lt;=9,"Mild",stdsurvey[[#This Row],[gad7_score]]&lt;=14,"Moderate",stdsurvey[[#This Row],[gad7_score]]&lt;=21,"Severe")</f>
        <v>Mild</v>
      </c>
      <c r="N195">
        <v>15.8</v>
      </c>
      <c r="O195" s="4" t="str" cm="1">
        <f t="array" ref="O195">_xlfn.IFS(stdsurvey[[#This Row],[perceived_stress_scale]]="","Answer Not Provided",stdsurvey[[#This Row],[perceived_stress_scale]]&lt;=13,"Low Stress",stdsurvey[[#This Row],[perceived_stress_scale]]&lt;=26,"Moderate Stress",stdsurvey[[#This Row],[perceived_stress_scale]]&lt;=40,"High Stress")</f>
        <v>Low Stress</v>
      </c>
      <c r="P195">
        <v>65.5</v>
      </c>
      <c r="Q195">
        <v>3</v>
      </c>
      <c r="R195" s="4" t="str" cm="1">
        <f t="array" ref="R195">_xlfn.IFS(stdsurvey[[#This Row],[class_attendance_percent]]&lt;60,"Less than 0%",stdsurvey[[#This Row],[class_attendance_percent]]&lt;70,"60-70 %",stdsurvey[[#This Row],[class_attendance_percent]]&lt;80, "70-80%",stdsurvey[[#This Row],[class_attendance_percent]]&lt;90,"80-90%",TRUE,"More than 90%")</f>
        <v>60-70 %</v>
      </c>
      <c r="S195" t="s">
        <v>33</v>
      </c>
      <c r="T195">
        <v>2</v>
      </c>
      <c r="U195" t="s">
        <v>26</v>
      </c>
      <c r="W195" s="4" t="str" cm="1">
        <f t="array" ref="W19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95" s="4" t="str" cm="1">
        <f t="array" ref="X195">_xlfn.IFS(stdsurvey[[#This Row],[daily_sleep_hours]]&lt;4,"&lt; 4 hrs",stdsurvey[[#This Row],[daily_sleep_hours]]&lt;=6,"4-6 hrs",stdsurvey[[#This Row],[daily_sleep_hours]]&lt;=8,"6-8 hrs",TRUE,"&gt; 8 hrs")</f>
        <v>6-8 hrs</v>
      </c>
      <c r="Y195" t="s">
        <v>27</v>
      </c>
    </row>
    <row r="196" spans="1:25" x14ac:dyDescent="0.3">
      <c r="A196" t="s">
        <v>230</v>
      </c>
      <c r="B196">
        <v>21</v>
      </c>
      <c r="C196" t="s">
        <v>27</v>
      </c>
      <c r="D196">
        <v>1</v>
      </c>
      <c r="E196" t="s">
        <v>49</v>
      </c>
      <c r="F196">
        <v>5.9</v>
      </c>
      <c r="G196">
        <v>1</v>
      </c>
      <c r="H196">
        <v>0</v>
      </c>
      <c r="I196">
        <v>6</v>
      </c>
      <c r="J196">
        <v>6</v>
      </c>
      <c r="K196" s="4" t="str" cm="1">
        <f t="array" ref="K196">_xlfn.IFS(stdsurvey[[#This Row],[phq9_score]]="","Answer Not Provided",stdsurvey[[#This Row],[phq9_score]]&lt;=4,"Minimal",stdsurvey[[#This Row],[phq9_score]]&lt;=9,"Mild",stdsurvey[[#This Row],[phq9_score]]&lt;=14,"Moderate",stdsurvey[[#This Row],[phq9_score]]&lt;=19,"Moderately Severe",stdsurvey[[#This Row],[phq9_score]]&lt;=27,"Severe")</f>
        <v>Mild</v>
      </c>
      <c r="L196">
        <v>7</v>
      </c>
      <c r="M196" s="4" t="str" cm="1">
        <f t="array" ref="M196">_xlfn.IFS(stdsurvey[[#This Row],[gad7_score]]="","Answer Not Provided",stdsurvey[[#This Row],[gad7_score]]&lt;=4,"Minimal",stdsurvey[[#This Row],[gad7_score]]&lt;=9,"Mild",stdsurvey[[#This Row],[gad7_score]]&lt;=14,"Moderate",stdsurvey[[#This Row],[gad7_score]]&lt;=21,"Severe")</f>
        <v>Mild</v>
      </c>
      <c r="N196">
        <v>9.8000000000000007</v>
      </c>
      <c r="O196" s="4" t="str" cm="1">
        <f t="array" ref="O196">_xlfn.IFS(stdsurvey[[#This Row],[perceived_stress_scale]]="","Answer Not Provided",stdsurvey[[#This Row],[perceived_stress_scale]]&lt;=13,"Low Stress",stdsurvey[[#This Row],[perceived_stress_scale]]&lt;=26,"Moderate Stress",stdsurvey[[#This Row],[perceived_stress_scale]]&lt;=40,"High Stress")</f>
        <v>Low Stress</v>
      </c>
      <c r="P196">
        <v>55.1</v>
      </c>
      <c r="Q196">
        <v>3</v>
      </c>
      <c r="R196" s="4" t="str" cm="1">
        <f t="array" ref="R196">_xlfn.IFS(stdsurvey[[#This Row],[class_attendance_percent]]&lt;60,"Less than 0%",stdsurvey[[#This Row],[class_attendance_percent]]&lt;70,"60-70 %",stdsurvey[[#This Row],[class_attendance_percent]]&lt;80, "70-80%",stdsurvey[[#This Row],[class_attendance_percent]]&lt;90,"80-90%",TRUE,"More than 90%")</f>
        <v>Less than 0%</v>
      </c>
      <c r="S196" t="s">
        <v>33</v>
      </c>
      <c r="T196">
        <v>2</v>
      </c>
      <c r="U196" t="s">
        <v>23</v>
      </c>
      <c r="V196">
        <v>2.81</v>
      </c>
      <c r="W196" s="4" t="str" cm="1">
        <f t="array" ref="W19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96" s="4" t="str" cm="1">
        <f t="array" ref="X196">_xlfn.IFS(stdsurvey[[#This Row],[daily_sleep_hours]]&lt;4,"&lt; 4 hrs",stdsurvey[[#This Row],[daily_sleep_hours]]&lt;=6,"4-6 hrs",stdsurvey[[#This Row],[daily_sleep_hours]]&lt;=8,"6-8 hrs",TRUE,"&gt; 8 hrs")</f>
        <v>4-6 hrs</v>
      </c>
      <c r="Y196" t="s">
        <v>27</v>
      </c>
    </row>
    <row r="197" spans="1:25" x14ac:dyDescent="0.3">
      <c r="A197" t="s">
        <v>231</v>
      </c>
      <c r="B197">
        <v>21</v>
      </c>
      <c r="C197" t="s">
        <v>20</v>
      </c>
      <c r="D197">
        <v>3</v>
      </c>
      <c r="E197" t="s">
        <v>47</v>
      </c>
      <c r="F197">
        <v>4.3</v>
      </c>
      <c r="G197">
        <v>6.1</v>
      </c>
      <c r="H197">
        <v>3</v>
      </c>
      <c r="I197">
        <v>7</v>
      </c>
      <c r="J197">
        <v>6</v>
      </c>
      <c r="K197" s="4" t="str" cm="1">
        <f t="array" ref="K197">_xlfn.IFS(stdsurvey[[#This Row],[phq9_score]]="","Answer Not Provided",stdsurvey[[#This Row],[phq9_score]]&lt;=4,"Minimal",stdsurvey[[#This Row],[phq9_score]]&lt;=9,"Mild",stdsurvey[[#This Row],[phq9_score]]&lt;=14,"Moderate",stdsurvey[[#This Row],[phq9_score]]&lt;=19,"Moderately Severe",stdsurvey[[#This Row],[phq9_score]]&lt;=27,"Severe")</f>
        <v>Mild</v>
      </c>
      <c r="L197">
        <v>9</v>
      </c>
      <c r="M197" s="4" t="str" cm="1">
        <f t="array" ref="M197">_xlfn.IFS(stdsurvey[[#This Row],[gad7_score]]="","Answer Not Provided",stdsurvey[[#This Row],[gad7_score]]&lt;=4,"Minimal",stdsurvey[[#This Row],[gad7_score]]&lt;=9,"Mild",stdsurvey[[#This Row],[gad7_score]]&lt;=14,"Moderate",stdsurvey[[#This Row],[gad7_score]]&lt;=21,"Severe")</f>
        <v>Mild</v>
      </c>
      <c r="N197">
        <v>21.3</v>
      </c>
      <c r="O197" s="4" t="str" cm="1">
        <f t="array" ref="O197">_xlfn.IFS(stdsurvey[[#This Row],[perceived_stress_scale]]="","Answer Not Provided",stdsurvey[[#This Row],[perceived_stress_scale]]&lt;=13,"Low Stress",stdsurvey[[#This Row],[perceived_stress_scale]]&lt;=26,"Moderate Stress",stdsurvey[[#This Row],[perceived_stress_scale]]&lt;=40,"High Stress")</f>
        <v>Low Stress</v>
      </c>
      <c r="P197">
        <v>77.400000000000006</v>
      </c>
      <c r="Q197">
        <v>4</v>
      </c>
      <c r="R197" s="4" t="str" cm="1">
        <f t="array" ref="R197">_xlfn.IFS(stdsurvey[[#This Row],[class_attendance_percent]]&lt;60,"Less than 0%",stdsurvey[[#This Row],[class_attendance_percent]]&lt;70,"60-70 %",stdsurvey[[#This Row],[class_attendance_percent]]&lt;80, "70-80%",stdsurvey[[#This Row],[class_attendance_percent]]&lt;90,"80-90%",TRUE,"More than 90%")</f>
        <v>70-80%</v>
      </c>
      <c r="S197" t="s">
        <v>33</v>
      </c>
      <c r="T197">
        <v>3</v>
      </c>
      <c r="U197" t="s">
        <v>23</v>
      </c>
      <c r="V197">
        <v>2.69</v>
      </c>
      <c r="W197" s="4" t="str" cm="1">
        <f t="array" ref="W19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97" s="4" t="str" cm="1">
        <f t="array" ref="X197">_xlfn.IFS(stdsurvey[[#This Row],[daily_sleep_hours]]&lt;4,"&lt; 4 hrs",stdsurvey[[#This Row],[daily_sleep_hours]]&lt;=6,"4-6 hrs",stdsurvey[[#This Row],[daily_sleep_hours]]&lt;=8,"6-8 hrs",TRUE,"&gt; 8 hrs")</f>
        <v>4-6 hrs</v>
      </c>
      <c r="Y197" t="s">
        <v>20</v>
      </c>
    </row>
    <row r="198" spans="1:25" x14ac:dyDescent="0.3">
      <c r="A198" t="s">
        <v>232</v>
      </c>
      <c r="B198">
        <v>25</v>
      </c>
      <c r="C198" t="s">
        <v>27</v>
      </c>
      <c r="D198">
        <v>1</v>
      </c>
      <c r="E198" t="s">
        <v>49</v>
      </c>
      <c r="F198">
        <v>5.6</v>
      </c>
      <c r="G198">
        <v>4.9000000000000004</v>
      </c>
      <c r="H198">
        <v>2</v>
      </c>
      <c r="I198">
        <v>7</v>
      </c>
      <c r="J198">
        <v>5</v>
      </c>
      <c r="K198" s="4" t="str" cm="1">
        <f t="array" ref="K198">_xlfn.IFS(stdsurvey[[#This Row],[phq9_score]]="","Answer Not Provided",stdsurvey[[#This Row],[phq9_score]]&lt;=4,"Minimal",stdsurvey[[#This Row],[phq9_score]]&lt;=9,"Mild",stdsurvey[[#This Row],[phq9_score]]&lt;=14,"Moderate",stdsurvey[[#This Row],[phq9_score]]&lt;=19,"Moderately Severe",stdsurvey[[#This Row],[phq9_score]]&lt;=27,"Severe")</f>
        <v>Mild</v>
      </c>
      <c r="L198">
        <v>16</v>
      </c>
      <c r="M198" s="4" t="str" cm="1">
        <f t="array" ref="M198">_xlfn.IFS(stdsurvey[[#This Row],[gad7_score]]="","Answer Not Provided",stdsurvey[[#This Row],[gad7_score]]&lt;=4,"Minimal",stdsurvey[[#This Row],[gad7_score]]&lt;=9,"Mild",stdsurvey[[#This Row],[gad7_score]]&lt;=14,"Moderate",stdsurvey[[#This Row],[gad7_score]]&lt;=21,"Severe")</f>
        <v>Mild</v>
      </c>
      <c r="N198">
        <v>17</v>
      </c>
      <c r="O198" s="4" t="str" cm="1">
        <f t="array" ref="O198">_xlfn.IFS(stdsurvey[[#This Row],[perceived_stress_scale]]="","Answer Not Provided",stdsurvey[[#This Row],[perceived_stress_scale]]&lt;=13,"Low Stress",stdsurvey[[#This Row],[perceived_stress_scale]]&lt;=26,"Moderate Stress",stdsurvey[[#This Row],[perceived_stress_scale]]&lt;=40,"High Stress")</f>
        <v>Moderate Stress</v>
      </c>
      <c r="P198">
        <v>83.9</v>
      </c>
      <c r="Q198">
        <v>4</v>
      </c>
      <c r="R198" s="4" t="str" cm="1">
        <f t="array" ref="R198">_xlfn.IFS(stdsurvey[[#This Row],[class_attendance_percent]]&lt;60,"Less than 0%",stdsurvey[[#This Row],[class_attendance_percent]]&lt;70,"60-70 %",stdsurvey[[#This Row],[class_attendance_percent]]&lt;80, "70-80%",stdsurvey[[#This Row],[class_attendance_percent]]&lt;90,"80-90%",TRUE,"More than 90%")</f>
        <v>80-90%</v>
      </c>
      <c r="S198" t="s">
        <v>22</v>
      </c>
      <c r="T198">
        <v>3</v>
      </c>
      <c r="U198" t="s">
        <v>26</v>
      </c>
      <c r="V198">
        <v>3.26</v>
      </c>
      <c r="W198" s="4" t="str" cm="1">
        <f t="array" ref="W19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198" s="4" t="str" cm="1">
        <f t="array" ref="X198">_xlfn.IFS(stdsurvey[[#This Row],[daily_sleep_hours]]&lt;4,"&lt; 4 hrs",stdsurvey[[#This Row],[daily_sleep_hours]]&lt;=6,"4-6 hrs",stdsurvey[[#This Row],[daily_sleep_hours]]&lt;=8,"6-8 hrs",TRUE,"&gt; 8 hrs")</f>
        <v>4-6 hrs</v>
      </c>
      <c r="Y198" t="s">
        <v>27</v>
      </c>
    </row>
    <row r="199" spans="1:25" x14ac:dyDescent="0.3">
      <c r="A199" t="s">
        <v>233</v>
      </c>
      <c r="B199">
        <v>19</v>
      </c>
      <c r="C199" t="s">
        <v>61</v>
      </c>
      <c r="D199">
        <v>4</v>
      </c>
      <c r="E199" t="s">
        <v>32</v>
      </c>
      <c r="F199">
        <v>5.8</v>
      </c>
      <c r="G199">
        <v>1.6</v>
      </c>
      <c r="H199">
        <v>1</v>
      </c>
      <c r="I199">
        <v>8</v>
      </c>
      <c r="J199">
        <v>9</v>
      </c>
      <c r="K199" s="4" t="str" cm="1">
        <f t="array" ref="K199">_xlfn.IFS(stdsurvey[[#This Row],[phq9_score]]="","Answer Not Provided",stdsurvey[[#This Row],[phq9_score]]&lt;=4,"Minimal",stdsurvey[[#This Row],[phq9_score]]&lt;=9,"Mild",stdsurvey[[#This Row],[phq9_score]]&lt;=14,"Moderate",stdsurvey[[#This Row],[phq9_score]]&lt;=19,"Moderately Severe",stdsurvey[[#This Row],[phq9_score]]&lt;=27,"Severe")</f>
        <v>Mild</v>
      </c>
      <c r="L199">
        <v>12</v>
      </c>
      <c r="M199" s="4" t="str" cm="1">
        <f t="array" ref="M199">_xlfn.IFS(stdsurvey[[#This Row],[gad7_score]]="","Answer Not Provided",stdsurvey[[#This Row],[gad7_score]]&lt;=4,"Minimal",stdsurvey[[#This Row],[gad7_score]]&lt;=9,"Mild",stdsurvey[[#This Row],[gad7_score]]&lt;=14,"Moderate",stdsurvey[[#This Row],[gad7_score]]&lt;=21,"Severe")</f>
        <v>Mild</v>
      </c>
      <c r="N199">
        <v>22.1</v>
      </c>
      <c r="O199" s="4" t="str" cm="1">
        <f t="array" ref="O199">_xlfn.IFS(stdsurvey[[#This Row],[perceived_stress_scale]]="","Answer Not Provided",stdsurvey[[#This Row],[perceived_stress_scale]]&lt;=13,"Low Stress",stdsurvey[[#This Row],[perceived_stress_scale]]&lt;=26,"Moderate Stress",stdsurvey[[#This Row],[perceived_stress_scale]]&lt;=40,"High Stress")</f>
        <v>Low Stress</v>
      </c>
      <c r="P199">
        <v>87.9</v>
      </c>
      <c r="R199" s="4" t="str" cm="1">
        <f t="array" ref="R199">_xlfn.IFS(stdsurvey[[#This Row],[class_attendance_percent]]&lt;60,"Less than 0%",stdsurvey[[#This Row],[class_attendance_percent]]&lt;70,"60-70 %",stdsurvey[[#This Row],[class_attendance_percent]]&lt;80, "70-80%",stdsurvey[[#This Row],[class_attendance_percent]]&lt;90,"80-90%",TRUE,"More than 90%")</f>
        <v>80-90%</v>
      </c>
      <c r="S199" t="s">
        <v>33</v>
      </c>
      <c r="T199">
        <v>5</v>
      </c>
      <c r="U199" t="s">
        <v>26</v>
      </c>
      <c r="V199">
        <v>3.25</v>
      </c>
      <c r="W199" s="4" t="str" cm="1">
        <f t="array" ref="W19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199" s="4" t="str" cm="1">
        <f t="array" ref="X199">_xlfn.IFS(stdsurvey[[#This Row],[daily_sleep_hours]]&lt;4,"&lt; 4 hrs",stdsurvey[[#This Row],[daily_sleep_hours]]&lt;=6,"4-6 hrs",stdsurvey[[#This Row],[daily_sleep_hours]]&lt;=8,"6-8 hrs",TRUE,"&gt; 8 hrs")</f>
        <v>4-6 hrs</v>
      </c>
      <c r="Y199" t="s">
        <v>61</v>
      </c>
    </row>
    <row r="200" spans="1:25" x14ac:dyDescent="0.3">
      <c r="A200" t="s">
        <v>234</v>
      </c>
      <c r="B200">
        <v>20</v>
      </c>
      <c r="C200" t="s">
        <v>27</v>
      </c>
      <c r="D200">
        <v>4</v>
      </c>
      <c r="E200" t="s">
        <v>49</v>
      </c>
      <c r="F200">
        <v>7.3</v>
      </c>
      <c r="G200">
        <v>5.3</v>
      </c>
      <c r="H200">
        <v>3</v>
      </c>
      <c r="I200">
        <v>4</v>
      </c>
      <c r="J200">
        <v>2</v>
      </c>
      <c r="K200" s="4" t="str" cm="1">
        <f t="array" ref="K200">_xlfn.IFS(stdsurvey[[#This Row],[phq9_score]]="","Answer Not Provided",stdsurvey[[#This Row],[phq9_score]]&lt;=4,"Minimal",stdsurvey[[#This Row],[phq9_score]]&lt;=9,"Mild",stdsurvey[[#This Row],[phq9_score]]&lt;=14,"Moderate",stdsurvey[[#This Row],[phq9_score]]&lt;=19,"Moderately Severe",stdsurvey[[#This Row],[phq9_score]]&lt;=27,"Severe")</f>
        <v>Minimal</v>
      </c>
      <c r="L200">
        <v>10</v>
      </c>
      <c r="M200" s="4" t="str" cm="1">
        <f t="array" ref="M200">_xlfn.IFS(stdsurvey[[#This Row],[gad7_score]]="","Answer Not Provided",stdsurvey[[#This Row],[gad7_score]]&lt;=4,"Minimal",stdsurvey[[#This Row],[gad7_score]]&lt;=9,"Mild",stdsurvey[[#This Row],[gad7_score]]&lt;=14,"Moderate",stdsurvey[[#This Row],[gad7_score]]&lt;=21,"Severe")</f>
        <v>Minimal</v>
      </c>
      <c r="N200">
        <v>19.2</v>
      </c>
      <c r="O200" s="4" t="str" cm="1">
        <f t="array" ref="O200">_xlfn.IFS(stdsurvey[[#This Row],[perceived_stress_scale]]="","Answer Not Provided",stdsurvey[[#This Row],[perceived_stress_scale]]&lt;=13,"Low Stress",stdsurvey[[#This Row],[perceived_stress_scale]]&lt;=26,"Moderate Stress",stdsurvey[[#This Row],[perceived_stress_scale]]&lt;=40,"High Stress")</f>
        <v>Low Stress</v>
      </c>
      <c r="P200">
        <v>65.3</v>
      </c>
      <c r="Q200">
        <v>3</v>
      </c>
      <c r="R200" s="4" t="str" cm="1">
        <f t="array" ref="R200">_xlfn.IFS(stdsurvey[[#This Row],[class_attendance_percent]]&lt;60,"Less than 0%",stdsurvey[[#This Row],[class_attendance_percent]]&lt;70,"60-70 %",stdsurvey[[#This Row],[class_attendance_percent]]&lt;80, "70-80%",stdsurvey[[#This Row],[class_attendance_percent]]&lt;90,"80-90%",TRUE,"More than 90%")</f>
        <v>60-70 %</v>
      </c>
      <c r="S200" t="s">
        <v>22</v>
      </c>
      <c r="T200">
        <v>1</v>
      </c>
      <c r="U200" t="s">
        <v>23</v>
      </c>
      <c r="V200">
        <v>2.85</v>
      </c>
      <c r="W200" s="4" t="str" cm="1">
        <f t="array" ref="W20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00" s="4" t="str" cm="1">
        <f t="array" ref="X200">_xlfn.IFS(stdsurvey[[#This Row],[daily_sleep_hours]]&lt;4,"&lt; 4 hrs",stdsurvey[[#This Row],[daily_sleep_hours]]&lt;=6,"4-6 hrs",stdsurvey[[#This Row],[daily_sleep_hours]]&lt;=8,"6-8 hrs",TRUE,"&gt; 8 hrs")</f>
        <v>6-8 hrs</v>
      </c>
      <c r="Y200" t="s">
        <v>27</v>
      </c>
    </row>
    <row r="201" spans="1:25" x14ac:dyDescent="0.3">
      <c r="A201" t="s">
        <v>235</v>
      </c>
      <c r="B201">
        <v>23</v>
      </c>
      <c r="C201" t="s">
        <v>27</v>
      </c>
      <c r="D201">
        <v>4</v>
      </c>
      <c r="E201" t="s">
        <v>21</v>
      </c>
      <c r="F201">
        <v>5.0999999999999996</v>
      </c>
      <c r="G201">
        <v>4.4000000000000004</v>
      </c>
      <c r="H201">
        <v>1</v>
      </c>
      <c r="I201">
        <v>3</v>
      </c>
      <c r="J201">
        <v>5</v>
      </c>
      <c r="K201" s="4" t="str" cm="1">
        <f t="array" ref="K201">_xlfn.IFS(stdsurvey[[#This Row],[phq9_score]]="","Answer Not Provided",stdsurvey[[#This Row],[phq9_score]]&lt;=4,"Minimal",stdsurvey[[#This Row],[phq9_score]]&lt;=9,"Mild",stdsurvey[[#This Row],[phq9_score]]&lt;=14,"Moderate",stdsurvey[[#This Row],[phq9_score]]&lt;=19,"Moderately Severe",stdsurvey[[#This Row],[phq9_score]]&lt;=27,"Severe")</f>
        <v>Minimal</v>
      </c>
      <c r="L201">
        <v>7</v>
      </c>
      <c r="M201" s="4" t="str" cm="1">
        <f t="array" ref="M201">_xlfn.IFS(stdsurvey[[#This Row],[gad7_score]]="","Answer Not Provided",stdsurvey[[#This Row],[gad7_score]]&lt;=4,"Minimal",stdsurvey[[#This Row],[gad7_score]]&lt;=9,"Mild",stdsurvey[[#This Row],[gad7_score]]&lt;=14,"Moderate",stdsurvey[[#This Row],[gad7_score]]&lt;=21,"Severe")</f>
        <v>Mild</v>
      </c>
      <c r="N201">
        <v>18.7</v>
      </c>
      <c r="O201" s="4" t="str" cm="1">
        <f t="array" ref="O201">_xlfn.IFS(stdsurvey[[#This Row],[perceived_stress_scale]]="","Answer Not Provided",stdsurvey[[#This Row],[perceived_stress_scale]]&lt;=13,"Low Stress",stdsurvey[[#This Row],[perceived_stress_scale]]&lt;=26,"Moderate Stress",stdsurvey[[#This Row],[perceived_stress_scale]]&lt;=40,"High Stress")</f>
        <v>Low Stress</v>
      </c>
      <c r="P201">
        <v>83.7</v>
      </c>
      <c r="Q201">
        <v>4</v>
      </c>
      <c r="R201" s="4" t="str" cm="1">
        <f t="array" ref="R201">_xlfn.IFS(stdsurvey[[#This Row],[class_attendance_percent]]&lt;60,"Less than 0%",stdsurvey[[#This Row],[class_attendance_percent]]&lt;70,"60-70 %",stdsurvey[[#This Row],[class_attendance_percent]]&lt;80, "70-80%",stdsurvey[[#This Row],[class_attendance_percent]]&lt;90,"80-90%",TRUE,"More than 90%")</f>
        <v>80-90%</v>
      </c>
      <c r="S201" t="s">
        <v>33</v>
      </c>
      <c r="T201">
        <v>1</v>
      </c>
      <c r="U201" t="s">
        <v>23</v>
      </c>
      <c r="V201">
        <v>3.04</v>
      </c>
      <c r="W201" s="4" t="str" cm="1">
        <f t="array" ref="W20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01" s="4" t="str" cm="1">
        <f t="array" ref="X201">_xlfn.IFS(stdsurvey[[#This Row],[daily_sleep_hours]]&lt;4,"&lt; 4 hrs",stdsurvey[[#This Row],[daily_sleep_hours]]&lt;=6,"4-6 hrs",stdsurvey[[#This Row],[daily_sleep_hours]]&lt;=8,"6-8 hrs",TRUE,"&gt; 8 hrs")</f>
        <v>4-6 hrs</v>
      </c>
      <c r="Y201" t="s">
        <v>27</v>
      </c>
    </row>
    <row r="202" spans="1:25" x14ac:dyDescent="0.3">
      <c r="A202" t="s">
        <v>236</v>
      </c>
      <c r="B202">
        <v>21</v>
      </c>
      <c r="C202" t="s">
        <v>20</v>
      </c>
      <c r="D202">
        <v>3</v>
      </c>
      <c r="E202" t="s">
        <v>21</v>
      </c>
      <c r="F202">
        <v>5.5</v>
      </c>
      <c r="G202">
        <v>10</v>
      </c>
      <c r="H202">
        <v>3</v>
      </c>
      <c r="I202">
        <v>22</v>
      </c>
      <c r="J202">
        <v>20</v>
      </c>
      <c r="K202" s="4" t="str" cm="1">
        <f t="array" ref="K202">_xlfn.IFS(stdsurvey[[#This Row],[phq9_score]]="","Answer Not Provided",stdsurvey[[#This Row],[phq9_score]]&lt;=4,"Minimal",stdsurvey[[#This Row],[phq9_score]]&lt;=9,"Mild",stdsurvey[[#This Row],[phq9_score]]&lt;=14,"Moderate",stdsurvey[[#This Row],[phq9_score]]&lt;=19,"Moderately Severe",stdsurvey[[#This Row],[phq9_score]]&lt;=27,"Severe")</f>
        <v>Severe</v>
      </c>
      <c r="L202">
        <v>31</v>
      </c>
      <c r="M202" s="4" t="str" cm="1">
        <f t="array" ref="M202">_xlfn.IFS(stdsurvey[[#This Row],[gad7_score]]="","Answer Not Provided",stdsurvey[[#This Row],[gad7_score]]&lt;=4,"Minimal",stdsurvey[[#This Row],[gad7_score]]&lt;=9,"Mild",stdsurvey[[#This Row],[gad7_score]]&lt;=14,"Moderate",stdsurvey[[#This Row],[gad7_score]]&lt;=21,"Severe")</f>
        <v>Severe</v>
      </c>
      <c r="N202">
        <v>1.7</v>
      </c>
      <c r="O202" s="4" t="str" cm="1">
        <f t="array" ref="O202">_xlfn.IFS(stdsurvey[[#This Row],[perceived_stress_scale]]="","Answer Not Provided",stdsurvey[[#This Row],[perceived_stress_scale]]&lt;=13,"Low Stress",stdsurvey[[#This Row],[perceived_stress_scale]]&lt;=26,"Moderate Stress",stdsurvey[[#This Row],[perceived_stress_scale]]&lt;=40,"High Stress")</f>
        <v>High Stress</v>
      </c>
      <c r="P202">
        <v>97.1</v>
      </c>
      <c r="Q202">
        <v>5</v>
      </c>
      <c r="R202" s="4" t="str" cm="1">
        <f t="array" ref="R202">_xlfn.IFS(stdsurvey[[#This Row],[class_attendance_percent]]&lt;60,"Less than 0%",stdsurvey[[#This Row],[class_attendance_percent]]&lt;70,"60-70 %",stdsurvey[[#This Row],[class_attendance_percent]]&lt;80, "70-80%",stdsurvey[[#This Row],[class_attendance_percent]]&lt;90,"80-90%",TRUE,"More than 90%")</f>
        <v>More than 90%</v>
      </c>
      <c r="S202" t="s">
        <v>22</v>
      </c>
      <c r="T202">
        <v>3</v>
      </c>
      <c r="U202" t="s">
        <v>23</v>
      </c>
      <c r="V202">
        <v>2.38</v>
      </c>
      <c r="W202" s="4" t="str" cm="1">
        <f t="array" ref="W20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02" s="4" t="str" cm="1">
        <f t="array" ref="X202">_xlfn.IFS(stdsurvey[[#This Row],[daily_sleep_hours]]&lt;4,"&lt; 4 hrs",stdsurvey[[#This Row],[daily_sleep_hours]]&lt;=6,"4-6 hrs",stdsurvey[[#This Row],[daily_sleep_hours]]&lt;=8,"6-8 hrs",TRUE,"&gt; 8 hrs")</f>
        <v>4-6 hrs</v>
      </c>
      <c r="Y202" t="s">
        <v>20</v>
      </c>
    </row>
    <row r="203" spans="1:25" x14ac:dyDescent="0.3">
      <c r="A203" t="s">
        <v>237</v>
      </c>
      <c r="B203">
        <v>21</v>
      </c>
      <c r="C203" t="s">
        <v>20</v>
      </c>
      <c r="D203">
        <v>5</v>
      </c>
      <c r="E203" t="s">
        <v>21</v>
      </c>
      <c r="F203">
        <v>6.1</v>
      </c>
      <c r="G203">
        <v>13.5</v>
      </c>
      <c r="H203">
        <v>2</v>
      </c>
      <c r="I203">
        <v>3</v>
      </c>
      <c r="J203">
        <v>7</v>
      </c>
      <c r="K203" s="4" t="str" cm="1">
        <f t="array" ref="K203">_xlfn.IFS(stdsurvey[[#This Row],[phq9_score]]="","Answer Not Provided",stdsurvey[[#This Row],[phq9_score]]&lt;=4,"Minimal",stdsurvey[[#This Row],[phq9_score]]&lt;=9,"Mild",stdsurvey[[#This Row],[phq9_score]]&lt;=14,"Moderate",stdsurvey[[#This Row],[phq9_score]]&lt;=19,"Moderately Severe",stdsurvey[[#This Row],[phq9_score]]&lt;=27,"Severe")</f>
        <v>Minimal</v>
      </c>
      <c r="L203">
        <v>7</v>
      </c>
      <c r="M203" s="4" t="str" cm="1">
        <f t="array" ref="M203">_xlfn.IFS(stdsurvey[[#This Row],[gad7_score]]="","Answer Not Provided",stdsurvey[[#This Row],[gad7_score]]&lt;=4,"Minimal",stdsurvey[[#This Row],[gad7_score]]&lt;=9,"Mild",stdsurvey[[#This Row],[gad7_score]]&lt;=14,"Moderate",stdsurvey[[#This Row],[gad7_score]]&lt;=21,"Severe")</f>
        <v>Mild</v>
      </c>
      <c r="N203">
        <v>22.2</v>
      </c>
      <c r="O203" s="4" t="str" cm="1">
        <f t="array" ref="O203">_xlfn.IFS(stdsurvey[[#This Row],[perceived_stress_scale]]="","Answer Not Provided",stdsurvey[[#This Row],[perceived_stress_scale]]&lt;=13,"Low Stress",stdsurvey[[#This Row],[perceived_stress_scale]]&lt;=26,"Moderate Stress",stdsurvey[[#This Row],[perceived_stress_scale]]&lt;=40,"High Stress")</f>
        <v>Low Stress</v>
      </c>
      <c r="P203">
        <v>84.4</v>
      </c>
      <c r="Q203">
        <v>3</v>
      </c>
      <c r="R203" s="4" t="str" cm="1">
        <f t="array" ref="R203">_xlfn.IFS(stdsurvey[[#This Row],[class_attendance_percent]]&lt;60,"Less than 0%",stdsurvey[[#This Row],[class_attendance_percent]]&lt;70,"60-70 %",stdsurvey[[#This Row],[class_attendance_percent]]&lt;80, "70-80%",stdsurvey[[#This Row],[class_attendance_percent]]&lt;90,"80-90%",TRUE,"More than 90%")</f>
        <v>80-90%</v>
      </c>
      <c r="S203" t="s">
        <v>22</v>
      </c>
      <c r="T203">
        <v>3</v>
      </c>
      <c r="U203" t="s">
        <v>26</v>
      </c>
      <c r="V203">
        <v>3.9</v>
      </c>
      <c r="W203" s="4" t="str" cm="1">
        <f t="array" ref="W20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203" s="4" t="str" cm="1">
        <f t="array" ref="X203">_xlfn.IFS(stdsurvey[[#This Row],[daily_sleep_hours]]&lt;4,"&lt; 4 hrs",stdsurvey[[#This Row],[daily_sleep_hours]]&lt;=6,"4-6 hrs",stdsurvey[[#This Row],[daily_sleep_hours]]&lt;=8,"6-8 hrs",TRUE,"&gt; 8 hrs")</f>
        <v>6-8 hrs</v>
      </c>
      <c r="Y203" t="s">
        <v>20</v>
      </c>
    </row>
    <row r="204" spans="1:25" x14ac:dyDescent="0.3">
      <c r="A204" t="s">
        <v>238</v>
      </c>
      <c r="B204">
        <v>21</v>
      </c>
      <c r="C204" t="s">
        <v>27</v>
      </c>
      <c r="D204">
        <v>1</v>
      </c>
      <c r="E204" t="s">
        <v>30</v>
      </c>
      <c r="F204">
        <v>3.1</v>
      </c>
      <c r="G204">
        <v>8.1</v>
      </c>
      <c r="H204">
        <v>1</v>
      </c>
      <c r="I204">
        <v>5</v>
      </c>
      <c r="J204">
        <v>2</v>
      </c>
      <c r="K204" s="4" t="str" cm="1">
        <f t="array" ref="K204">_xlfn.IFS(stdsurvey[[#This Row],[phq9_score]]="","Answer Not Provided",stdsurvey[[#This Row],[phq9_score]]&lt;=4,"Minimal",stdsurvey[[#This Row],[phq9_score]]&lt;=9,"Mild",stdsurvey[[#This Row],[phq9_score]]&lt;=14,"Moderate",stdsurvey[[#This Row],[phq9_score]]&lt;=19,"Moderately Severe",stdsurvey[[#This Row],[phq9_score]]&lt;=27,"Severe")</f>
        <v>Mild</v>
      </c>
      <c r="L204">
        <v>9</v>
      </c>
      <c r="M204" s="4" t="str" cm="1">
        <f t="array" ref="M204">_xlfn.IFS(stdsurvey[[#This Row],[gad7_score]]="","Answer Not Provided",stdsurvey[[#This Row],[gad7_score]]&lt;=4,"Minimal",stdsurvey[[#This Row],[gad7_score]]&lt;=9,"Mild",stdsurvey[[#This Row],[gad7_score]]&lt;=14,"Moderate",stdsurvey[[#This Row],[gad7_score]]&lt;=21,"Severe")</f>
        <v>Minimal</v>
      </c>
      <c r="N204">
        <v>18</v>
      </c>
      <c r="O204" s="4" t="str" cm="1">
        <f t="array" ref="O204">_xlfn.IFS(stdsurvey[[#This Row],[perceived_stress_scale]]="","Answer Not Provided",stdsurvey[[#This Row],[perceived_stress_scale]]&lt;=13,"Low Stress",stdsurvey[[#This Row],[perceived_stress_scale]]&lt;=26,"Moderate Stress",stdsurvey[[#This Row],[perceived_stress_scale]]&lt;=40,"High Stress")</f>
        <v>Low Stress</v>
      </c>
      <c r="P204">
        <v>59.9</v>
      </c>
      <c r="Q204">
        <v>3</v>
      </c>
      <c r="R204" s="4" t="str" cm="1">
        <f t="array" ref="R204">_xlfn.IFS(stdsurvey[[#This Row],[class_attendance_percent]]&lt;60,"Less than 0%",stdsurvey[[#This Row],[class_attendance_percent]]&lt;70,"60-70 %",stdsurvey[[#This Row],[class_attendance_percent]]&lt;80, "70-80%",stdsurvey[[#This Row],[class_attendance_percent]]&lt;90,"80-90%",TRUE,"More than 90%")</f>
        <v>Less than 0%</v>
      </c>
      <c r="S204" t="s">
        <v>22</v>
      </c>
      <c r="T204">
        <v>5</v>
      </c>
      <c r="U204" t="s">
        <v>26</v>
      </c>
      <c r="W204" s="4" t="str" cm="1">
        <f t="array" ref="W20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04" s="4" t="str" cm="1">
        <f t="array" ref="X204">_xlfn.IFS(stdsurvey[[#This Row],[daily_sleep_hours]]&lt;4,"&lt; 4 hrs",stdsurvey[[#This Row],[daily_sleep_hours]]&lt;=6,"4-6 hrs",stdsurvey[[#This Row],[daily_sleep_hours]]&lt;=8,"6-8 hrs",TRUE,"&gt; 8 hrs")</f>
        <v>&lt; 4 hrs</v>
      </c>
      <c r="Y204" t="s">
        <v>27</v>
      </c>
    </row>
    <row r="205" spans="1:25" x14ac:dyDescent="0.3">
      <c r="A205" t="s">
        <v>239</v>
      </c>
      <c r="B205">
        <v>22</v>
      </c>
      <c r="C205" t="s">
        <v>27</v>
      </c>
      <c r="D205">
        <v>2</v>
      </c>
      <c r="E205" t="s">
        <v>47</v>
      </c>
      <c r="F205">
        <v>7.4</v>
      </c>
      <c r="G205">
        <v>4.2</v>
      </c>
      <c r="H205">
        <v>1</v>
      </c>
      <c r="I205">
        <v>5</v>
      </c>
      <c r="J205">
        <v>4</v>
      </c>
      <c r="K205" s="4" t="str" cm="1">
        <f t="array" ref="K205">_xlfn.IFS(stdsurvey[[#This Row],[phq9_score]]="","Answer Not Provided",stdsurvey[[#This Row],[phq9_score]]&lt;=4,"Minimal",stdsurvey[[#This Row],[phq9_score]]&lt;=9,"Mild",stdsurvey[[#This Row],[phq9_score]]&lt;=14,"Moderate",stdsurvey[[#This Row],[phq9_score]]&lt;=19,"Moderately Severe",stdsurvey[[#This Row],[phq9_score]]&lt;=27,"Severe")</f>
        <v>Mild</v>
      </c>
      <c r="L205">
        <v>10</v>
      </c>
      <c r="M205" s="4" t="str" cm="1">
        <f t="array" ref="M205">_xlfn.IFS(stdsurvey[[#This Row],[gad7_score]]="","Answer Not Provided",stdsurvey[[#This Row],[gad7_score]]&lt;=4,"Minimal",stdsurvey[[#This Row],[gad7_score]]&lt;=9,"Mild",stdsurvey[[#This Row],[gad7_score]]&lt;=14,"Moderate",stdsurvey[[#This Row],[gad7_score]]&lt;=21,"Severe")</f>
        <v>Minimal</v>
      </c>
      <c r="N205">
        <v>18.3</v>
      </c>
      <c r="O205" s="4" t="str" cm="1">
        <f t="array" ref="O205">_xlfn.IFS(stdsurvey[[#This Row],[perceived_stress_scale]]="","Answer Not Provided",stdsurvey[[#This Row],[perceived_stress_scale]]&lt;=13,"Low Stress",stdsurvey[[#This Row],[perceived_stress_scale]]&lt;=26,"Moderate Stress",stdsurvey[[#This Row],[perceived_stress_scale]]&lt;=40,"High Stress")</f>
        <v>Low Stress</v>
      </c>
      <c r="P205">
        <v>78.099999999999994</v>
      </c>
      <c r="Q205">
        <v>5</v>
      </c>
      <c r="R205" s="4" t="str" cm="1">
        <f t="array" ref="R205">_xlfn.IFS(stdsurvey[[#This Row],[class_attendance_percent]]&lt;60,"Less than 0%",stdsurvey[[#This Row],[class_attendance_percent]]&lt;70,"60-70 %",stdsurvey[[#This Row],[class_attendance_percent]]&lt;80, "70-80%",stdsurvey[[#This Row],[class_attendance_percent]]&lt;90,"80-90%",TRUE,"More than 90%")</f>
        <v>70-80%</v>
      </c>
      <c r="S205" t="s">
        <v>22</v>
      </c>
      <c r="T205">
        <v>5</v>
      </c>
      <c r="U205" t="s">
        <v>23</v>
      </c>
      <c r="V205">
        <v>3.5</v>
      </c>
      <c r="W205" s="4" t="str" cm="1">
        <f t="array" ref="W20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05" s="4" t="str" cm="1">
        <f t="array" ref="X205">_xlfn.IFS(stdsurvey[[#This Row],[daily_sleep_hours]]&lt;4,"&lt; 4 hrs",stdsurvey[[#This Row],[daily_sleep_hours]]&lt;=6,"4-6 hrs",stdsurvey[[#This Row],[daily_sleep_hours]]&lt;=8,"6-8 hrs",TRUE,"&gt; 8 hrs")</f>
        <v>6-8 hrs</v>
      </c>
      <c r="Y205" t="s">
        <v>27</v>
      </c>
    </row>
    <row r="206" spans="1:25" x14ac:dyDescent="0.3">
      <c r="A206" t="s">
        <v>240</v>
      </c>
      <c r="B206">
        <v>24</v>
      </c>
      <c r="C206" t="s">
        <v>45</v>
      </c>
      <c r="D206">
        <v>2</v>
      </c>
      <c r="E206" t="s">
        <v>30</v>
      </c>
      <c r="F206">
        <v>4.7</v>
      </c>
      <c r="G206">
        <v>4.7</v>
      </c>
      <c r="H206">
        <v>1</v>
      </c>
      <c r="I206">
        <v>7</v>
      </c>
      <c r="J206">
        <v>7</v>
      </c>
      <c r="K206" s="4" t="str" cm="1">
        <f t="array" ref="K206">_xlfn.IFS(stdsurvey[[#This Row],[phq9_score]]="","Answer Not Provided",stdsurvey[[#This Row],[phq9_score]]&lt;=4,"Minimal",stdsurvey[[#This Row],[phq9_score]]&lt;=9,"Mild",stdsurvey[[#This Row],[phq9_score]]&lt;=14,"Moderate",stdsurvey[[#This Row],[phq9_score]]&lt;=19,"Moderately Severe",stdsurvey[[#This Row],[phq9_score]]&lt;=27,"Severe")</f>
        <v>Mild</v>
      </c>
      <c r="L206">
        <v>20</v>
      </c>
      <c r="M206" s="4" t="str" cm="1">
        <f t="array" ref="M206">_xlfn.IFS(stdsurvey[[#This Row],[gad7_score]]="","Answer Not Provided",stdsurvey[[#This Row],[gad7_score]]&lt;=4,"Minimal",stdsurvey[[#This Row],[gad7_score]]&lt;=9,"Mild",stdsurvey[[#This Row],[gad7_score]]&lt;=14,"Moderate",stdsurvey[[#This Row],[gad7_score]]&lt;=21,"Severe")</f>
        <v>Mild</v>
      </c>
      <c r="N206">
        <v>29.8</v>
      </c>
      <c r="O206" s="4" t="str" cm="1">
        <f t="array" ref="O206">_xlfn.IFS(stdsurvey[[#This Row],[perceived_stress_scale]]="","Answer Not Provided",stdsurvey[[#This Row],[perceived_stress_scale]]&lt;=13,"Low Stress",stdsurvey[[#This Row],[perceived_stress_scale]]&lt;=26,"Moderate Stress",stdsurvey[[#This Row],[perceived_stress_scale]]&lt;=40,"High Stress")</f>
        <v>Moderate Stress</v>
      </c>
      <c r="P206">
        <v>100</v>
      </c>
      <c r="Q206">
        <v>2</v>
      </c>
      <c r="R206" s="4" t="str" cm="1">
        <f t="array" ref="R206">_xlfn.IFS(stdsurvey[[#This Row],[class_attendance_percent]]&lt;60,"Less than 0%",stdsurvey[[#This Row],[class_attendance_percent]]&lt;70,"60-70 %",stdsurvey[[#This Row],[class_attendance_percent]]&lt;80, "70-80%",stdsurvey[[#This Row],[class_attendance_percent]]&lt;90,"80-90%",TRUE,"More than 90%")</f>
        <v>More than 90%</v>
      </c>
      <c r="S206" t="s">
        <v>33</v>
      </c>
      <c r="T206">
        <v>5</v>
      </c>
      <c r="U206" t="s">
        <v>23</v>
      </c>
      <c r="V206">
        <v>3.09</v>
      </c>
      <c r="W206" s="4" t="str" cm="1">
        <f t="array" ref="W20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06" s="4" t="str" cm="1">
        <f t="array" ref="X206">_xlfn.IFS(stdsurvey[[#This Row],[daily_sleep_hours]]&lt;4,"&lt; 4 hrs",stdsurvey[[#This Row],[daily_sleep_hours]]&lt;=6,"4-6 hrs",stdsurvey[[#This Row],[daily_sleep_hours]]&lt;=8,"6-8 hrs",TRUE,"&gt; 8 hrs")</f>
        <v>4-6 hrs</v>
      </c>
      <c r="Y206" t="s">
        <v>20</v>
      </c>
    </row>
    <row r="207" spans="1:25" x14ac:dyDescent="0.3">
      <c r="A207" t="s">
        <v>241</v>
      </c>
      <c r="B207">
        <v>22</v>
      </c>
      <c r="C207" t="s">
        <v>27</v>
      </c>
      <c r="D207">
        <v>5</v>
      </c>
      <c r="E207" t="s">
        <v>30</v>
      </c>
      <c r="F207">
        <v>6.8</v>
      </c>
      <c r="G207">
        <v>2.4</v>
      </c>
      <c r="H207">
        <v>0</v>
      </c>
      <c r="I207">
        <v>2</v>
      </c>
      <c r="J207">
        <v>3</v>
      </c>
      <c r="K207" s="4" t="str" cm="1">
        <f t="array" ref="K207">_xlfn.IFS(stdsurvey[[#This Row],[phq9_score]]="","Answer Not Provided",stdsurvey[[#This Row],[phq9_score]]&lt;=4,"Minimal",stdsurvey[[#This Row],[phq9_score]]&lt;=9,"Mild",stdsurvey[[#This Row],[phq9_score]]&lt;=14,"Moderate",stdsurvey[[#This Row],[phq9_score]]&lt;=19,"Moderately Severe",stdsurvey[[#This Row],[phq9_score]]&lt;=27,"Severe")</f>
        <v>Minimal</v>
      </c>
      <c r="L207">
        <v>9</v>
      </c>
      <c r="M207" s="4" t="str" cm="1">
        <f t="array" ref="M207">_xlfn.IFS(stdsurvey[[#This Row],[gad7_score]]="","Answer Not Provided",stdsurvey[[#This Row],[gad7_score]]&lt;=4,"Minimal",stdsurvey[[#This Row],[gad7_score]]&lt;=9,"Mild",stdsurvey[[#This Row],[gad7_score]]&lt;=14,"Moderate",stdsurvey[[#This Row],[gad7_score]]&lt;=21,"Severe")</f>
        <v>Minimal</v>
      </c>
      <c r="N207">
        <v>12.8</v>
      </c>
      <c r="O207" s="4" t="str" cm="1">
        <f t="array" ref="O207">_xlfn.IFS(stdsurvey[[#This Row],[perceived_stress_scale]]="","Answer Not Provided",stdsurvey[[#This Row],[perceived_stress_scale]]&lt;=13,"Low Stress",stdsurvey[[#This Row],[perceived_stress_scale]]&lt;=26,"Moderate Stress",stdsurvey[[#This Row],[perceived_stress_scale]]&lt;=40,"High Stress")</f>
        <v>Low Stress</v>
      </c>
      <c r="P207">
        <v>66.2</v>
      </c>
      <c r="Q207">
        <v>1</v>
      </c>
      <c r="R207" s="4" t="str" cm="1">
        <f t="array" ref="R207">_xlfn.IFS(stdsurvey[[#This Row],[class_attendance_percent]]&lt;60,"Less than 0%",stdsurvey[[#This Row],[class_attendance_percent]]&lt;70,"60-70 %",stdsurvey[[#This Row],[class_attendance_percent]]&lt;80, "70-80%",stdsurvey[[#This Row],[class_attendance_percent]]&lt;90,"80-90%",TRUE,"More than 90%")</f>
        <v>60-70 %</v>
      </c>
      <c r="S207" t="s">
        <v>22</v>
      </c>
      <c r="T207">
        <v>2</v>
      </c>
      <c r="U207" t="s">
        <v>26</v>
      </c>
      <c r="V207">
        <v>2.69</v>
      </c>
      <c r="W207" s="4" t="str" cm="1">
        <f t="array" ref="W20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07" s="4" t="str" cm="1">
        <f t="array" ref="X207">_xlfn.IFS(stdsurvey[[#This Row],[daily_sleep_hours]]&lt;4,"&lt; 4 hrs",stdsurvey[[#This Row],[daily_sleep_hours]]&lt;=6,"4-6 hrs",stdsurvey[[#This Row],[daily_sleep_hours]]&lt;=8,"6-8 hrs",TRUE,"&gt; 8 hrs")</f>
        <v>6-8 hrs</v>
      </c>
      <c r="Y207" t="s">
        <v>27</v>
      </c>
    </row>
    <row r="208" spans="1:25" x14ac:dyDescent="0.3">
      <c r="A208" t="s">
        <v>242</v>
      </c>
      <c r="B208">
        <v>23</v>
      </c>
      <c r="C208" t="s">
        <v>20</v>
      </c>
      <c r="D208">
        <v>3</v>
      </c>
      <c r="E208" t="s">
        <v>30</v>
      </c>
      <c r="F208">
        <v>7.1</v>
      </c>
      <c r="G208">
        <v>2.8</v>
      </c>
      <c r="H208">
        <v>2</v>
      </c>
      <c r="K208" s="4" t="str" cm="1">
        <f t="array" ref="K208">_xlfn.IFS(stdsurvey[[#This Row],[phq9_score]]="","Answer Not Provided",stdsurvey[[#This Row],[phq9_score]]&lt;=4,"Minimal",stdsurvey[[#This Row],[phq9_score]]&lt;=9,"Mild",stdsurvey[[#This Row],[phq9_score]]&lt;=14,"Moderate",stdsurvey[[#This Row],[phq9_score]]&lt;=19,"Moderately Severe",stdsurvey[[#This Row],[phq9_score]]&lt;=27,"Severe")</f>
        <v>Answer Not Provided</v>
      </c>
      <c r="L208">
        <v>8</v>
      </c>
      <c r="M208" s="4" t="str" cm="1">
        <f t="array" ref="M208">_xlfn.IFS(stdsurvey[[#This Row],[gad7_score]]="","Answer Not Provided",stdsurvey[[#This Row],[gad7_score]]&lt;=4,"Minimal",stdsurvey[[#This Row],[gad7_score]]&lt;=9,"Mild",stdsurvey[[#This Row],[gad7_score]]&lt;=14,"Moderate",stdsurvey[[#This Row],[gad7_score]]&lt;=21,"Severe")</f>
        <v>Answer Not Provided</v>
      </c>
      <c r="N208">
        <v>33</v>
      </c>
      <c r="O208" s="4" t="str" cm="1">
        <f t="array" ref="O208">_xlfn.IFS(stdsurvey[[#This Row],[perceived_stress_scale]]="","Answer Not Provided",stdsurvey[[#This Row],[perceived_stress_scale]]&lt;=13,"Low Stress",stdsurvey[[#This Row],[perceived_stress_scale]]&lt;=26,"Moderate Stress",stdsurvey[[#This Row],[perceived_stress_scale]]&lt;=40,"High Stress")</f>
        <v>Low Stress</v>
      </c>
      <c r="P208">
        <v>83.8</v>
      </c>
      <c r="Q208">
        <v>4</v>
      </c>
      <c r="R208" s="4" t="str" cm="1">
        <f t="array" ref="R208">_xlfn.IFS(stdsurvey[[#This Row],[class_attendance_percent]]&lt;60,"Less than 0%",stdsurvey[[#This Row],[class_attendance_percent]]&lt;70,"60-70 %",stdsurvey[[#This Row],[class_attendance_percent]]&lt;80, "70-80%",stdsurvey[[#This Row],[class_attendance_percent]]&lt;90,"80-90%",TRUE,"More than 90%")</f>
        <v>80-90%</v>
      </c>
      <c r="S208" t="s">
        <v>33</v>
      </c>
      <c r="T208">
        <v>3</v>
      </c>
      <c r="U208" t="s">
        <v>26</v>
      </c>
      <c r="V208">
        <v>3.25</v>
      </c>
      <c r="W208" s="4" t="str" cm="1">
        <f t="array" ref="W20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08" s="4" t="str" cm="1">
        <f t="array" ref="X208">_xlfn.IFS(stdsurvey[[#This Row],[daily_sleep_hours]]&lt;4,"&lt; 4 hrs",stdsurvey[[#This Row],[daily_sleep_hours]]&lt;=6,"4-6 hrs",stdsurvey[[#This Row],[daily_sleep_hours]]&lt;=8,"6-8 hrs",TRUE,"&gt; 8 hrs")</f>
        <v>6-8 hrs</v>
      </c>
      <c r="Y208" t="s">
        <v>20</v>
      </c>
    </row>
    <row r="209" spans="1:25" x14ac:dyDescent="0.3">
      <c r="A209" t="s">
        <v>243</v>
      </c>
      <c r="B209">
        <v>17</v>
      </c>
      <c r="C209" t="s">
        <v>20</v>
      </c>
      <c r="D209">
        <v>4</v>
      </c>
      <c r="E209" t="s">
        <v>47</v>
      </c>
      <c r="F209">
        <v>7.4</v>
      </c>
      <c r="G209">
        <v>4.0999999999999996</v>
      </c>
      <c r="H209">
        <v>5</v>
      </c>
      <c r="I209">
        <v>2</v>
      </c>
      <c r="J209">
        <v>4</v>
      </c>
      <c r="K209" s="4" t="str" cm="1">
        <f t="array" ref="K209">_xlfn.IFS(stdsurvey[[#This Row],[phq9_score]]="","Answer Not Provided",stdsurvey[[#This Row],[phq9_score]]&lt;=4,"Minimal",stdsurvey[[#This Row],[phq9_score]]&lt;=9,"Mild",stdsurvey[[#This Row],[phq9_score]]&lt;=14,"Moderate",stdsurvey[[#This Row],[phq9_score]]&lt;=19,"Moderately Severe",stdsurvey[[#This Row],[phq9_score]]&lt;=27,"Severe")</f>
        <v>Minimal</v>
      </c>
      <c r="L209">
        <v>10</v>
      </c>
      <c r="M209" s="4" t="str" cm="1">
        <f t="array" ref="M209">_xlfn.IFS(stdsurvey[[#This Row],[gad7_score]]="","Answer Not Provided",stdsurvey[[#This Row],[gad7_score]]&lt;=4,"Minimal",stdsurvey[[#This Row],[gad7_score]]&lt;=9,"Mild",stdsurvey[[#This Row],[gad7_score]]&lt;=14,"Moderate",stdsurvey[[#This Row],[gad7_score]]&lt;=21,"Severe")</f>
        <v>Minimal</v>
      </c>
      <c r="N209">
        <v>30.8</v>
      </c>
      <c r="O209" s="4" t="str" cm="1">
        <f t="array" ref="O209">_xlfn.IFS(stdsurvey[[#This Row],[perceived_stress_scale]]="","Answer Not Provided",stdsurvey[[#This Row],[perceived_stress_scale]]&lt;=13,"Low Stress",stdsurvey[[#This Row],[perceived_stress_scale]]&lt;=26,"Moderate Stress",stdsurvey[[#This Row],[perceived_stress_scale]]&lt;=40,"High Stress")</f>
        <v>Low Stress</v>
      </c>
      <c r="P209">
        <v>80.7</v>
      </c>
      <c r="Q209">
        <v>1</v>
      </c>
      <c r="R209" s="4" t="str" cm="1">
        <f t="array" ref="R209">_xlfn.IFS(stdsurvey[[#This Row],[class_attendance_percent]]&lt;60,"Less than 0%",stdsurvey[[#This Row],[class_attendance_percent]]&lt;70,"60-70 %",stdsurvey[[#This Row],[class_attendance_percent]]&lt;80, "70-80%",stdsurvey[[#This Row],[class_attendance_percent]]&lt;90,"80-90%",TRUE,"More than 90%")</f>
        <v>80-90%</v>
      </c>
      <c r="S209" t="s">
        <v>22</v>
      </c>
      <c r="T209">
        <v>4</v>
      </c>
      <c r="U209" t="s">
        <v>51</v>
      </c>
      <c r="V209">
        <v>3.34</v>
      </c>
      <c r="W209" s="4" t="str" cm="1">
        <f t="array" ref="W20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09" s="4" t="str" cm="1">
        <f t="array" ref="X209">_xlfn.IFS(stdsurvey[[#This Row],[daily_sleep_hours]]&lt;4,"&lt; 4 hrs",stdsurvey[[#This Row],[daily_sleep_hours]]&lt;=6,"4-6 hrs",stdsurvey[[#This Row],[daily_sleep_hours]]&lt;=8,"6-8 hrs",TRUE,"&gt; 8 hrs")</f>
        <v>6-8 hrs</v>
      </c>
      <c r="Y209" t="s">
        <v>20</v>
      </c>
    </row>
    <row r="210" spans="1:25" x14ac:dyDescent="0.3">
      <c r="A210" t="s">
        <v>244</v>
      </c>
      <c r="B210">
        <v>21</v>
      </c>
      <c r="C210" t="s">
        <v>20</v>
      </c>
      <c r="D210">
        <v>1</v>
      </c>
      <c r="E210" t="s">
        <v>21</v>
      </c>
      <c r="F210">
        <v>7</v>
      </c>
      <c r="G210">
        <v>3.8</v>
      </c>
      <c r="H210">
        <v>4</v>
      </c>
      <c r="I210">
        <v>2</v>
      </c>
      <c r="J210">
        <v>3</v>
      </c>
      <c r="K210" s="4" t="str" cm="1">
        <f t="array" ref="K210">_xlfn.IFS(stdsurvey[[#This Row],[phq9_score]]="","Answer Not Provided",stdsurvey[[#This Row],[phq9_score]]&lt;=4,"Minimal",stdsurvey[[#This Row],[phq9_score]]&lt;=9,"Mild",stdsurvey[[#This Row],[phq9_score]]&lt;=14,"Moderate",stdsurvey[[#This Row],[phq9_score]]&lt;=19,"Moderately Severe",stdsurvey[[#This Row],[phq9_score]]&lt;=27,"Severe")</f>
        <v>Minimal</v>
      </c>
      <c r="L210">
        <v>14</v>
      </c>
      <c r="M210" s="4" t="str" cm="1">
        <f t="array" ref="M210">_xlfn.IFS(stdsurvey[[#This Row],[gad7_score]]="","Answer Not Provided",stdsurvey[[#This Row],[gad7_score]]&lt;=4,"Minimal",stdsurvey[[#This Row],[gad7_score]]&lt;=9,"Mild",stdsurvey[[#This Row],[gad7_score]]&lt;=14,"Moderate",stdsurvey[[#This Row],[gad7_score]]&lt;=21,"Severe")</f>
        <v>Minimal</v>
      </c>
      <c r="N210">
        <v>23.6</v>
      </c>
      <c r="O210" s="4" t="str" cm="1">
        <f t="array" ref="O210">_xlfn.IFS(stdsurvey[[#This Row],[perceived_stress_scale]]="","Answer Not Provided",stdsurvey[[#This Row],[perceived_stress_scale]]&lt;=13,"Low Stress",stdsurvey[[#This Row],[perceived_stress_scale]]&lt;=26,"Moderate Stress",stdsurvey[[#This Row],[perceived_stress_scale]]&lt;=40,"High Stress")</f>
        <v>Moderate Stress</v>
      </c>
      <c r="P210">
        <v>80.099999999999994</v>
      </c>
      <c r="Q210">
        <v>2</v>
      </c>
      <c r="R210" s="4" t="str" cm="1">
        <f t="array" ref="R210">_xlfn.IFS(stdsurvey[[#This Row],[class_attendance_percent]]&lt;60,"Less than 0%",stdsurvey[[#This Row],[class_attendance_percent]]&lt;70,"60-70 %",stdsurvey[[#This Row],[class_attendance_percent]]&lt;80, "70-80%",stdsurvey[[#This Row],[class_attendance_percent]]&lt;90,"80-90%",TRUE,"More than 90%")</f>
        <v>80-90%</v>
      </c>
      <c r="S210" t="s">
        <v>22</v>
      </c>
      <c r="T210">
        <v>2</v>
      </c>
      <c r="U210" t="s">
        <v>23</v>
      </c>
      <c r="V210">
        <v>3</v>
      </c>
      <c r="W210" s="4" t="str" cm="1">
        <f t="array" ref="W21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10" s="4" t="str" cm="1">
        <f t="array" ref="X210">_xlfn.IFS(stdsurvey[[#This Row],[daily_sleep_hours]]&lt;4,"&lt; 4 hrs",stdsurvey[[#This Row],[daily_sleep_hours]]&lt;=6,"4-6 hrs",stdsurvey[[#This Row],[daily_sleep_hours]]&lt;=8,"6-8 hrs",TRUE,"&gt; 8 hrs")</f>
        <v>6-8 hrs</v>
      </c>
      <c r="Y210" t="s">
        <v>20</v>
      </c>
    </row>
    <row r="211" spans="1:25" x14ac:dyDescent="0.3">
      <c r="A211" t="s">
        <v>245</v>
      </c>
      <c r="B211">
        <v>20</v>
      </c>
      <c r="C211" t="s">
        <v>20</v>
      </c>
      <c r="D211">
        <v>5</v>
      </c>
      <c r="E211" t="s">
        <v>49</v>
      </c>
      <c r="F211">
        <v>3.8</v>
      </c>
      <c r="G211">
        <v>1.5</v>
      </c>
      <c r="H211">
        <v>2</v>
      </c>
      <c r="I211">
        <v>6</v>
      </c>
      <c r="J211">
        <v>10</v>
      </c>
      <c r="K211" s="4" t="str" cm="1">
        <f t="array" ref="K211">_xlfn.IFS(stdsurvey[[#This Row],[phq9_score]]="","Answer Not Provided",stdsurvey[[#This Row],[phq9_score]]&lt;=4,"Minimal",stdsurvey[[#This Row],[phq9_score]]&lt;=9,"Mild",stdsurvey[[#This Row],[phq9_score]]&lt;=14,"Moderate",stdsurvey[[#This Row],[phq9_score]]&lt;=19,"Moderately Severe",stdsurvey[[#This Row],[phq9_score]]&lt;=27,"Severe")</f>
        <v>Mild</v>
      </c>
      <c r="L211">
        <v>8</v>
      </c>
      <c r="M211" s="4" t="str" cm="1">
        <f t="array" ref="M211">_xlfn.IFS(stdsurvey[[#This Row],[gad7_score]]="","Answer Not Provided",stdsurvey[[#This Row],[gad7_score]]&lt;=4,"Minimal",stdsurvey[[#This Row],[gad7_score]]&lt;=9,"Mild",stdsurvey[[#This Row],[gad7_score]]&lt;=14,"Moderate",stdsurvey[[#This Row],[gad7_score]]&lt;=21,"Severe")</f>
        <v>Moderate</v>
      </c>
      <c r="N211">
        <v>9.4</v>
      </c>
      <c r="O211" s="4" t="str" cm="1">
        <f t="array" ref="O211">_xlfn.IFS(stdsurvey[[#This Row],[perceived_stress_scale]]="","Answer Not Provided",stdsurvey[[#This Row],[perceived_stress_scale]]&lt;=13,"Low Stress",stdsurvey[[#This Row],[perceived_stress_scale]]&lt;=26,"Moderate Stress",stdsurvey[[#This Row],[perceived_stress_scale]]&lt;=40,"High Stress")</f>
        <v>Low Stress</v>
      </c>
      <c r="P211">
        <v>81.099999999999994</v>
      </c>
      <c r="Q211">
        <v>4</v>
      </c>
      <c r="R211" s="4" t="str" cm="1">
        <f t="array" ref="R211">_xlfn.IFS(stdsurvey[[#This Row],[class_attendance_percent]]&lt;60,"Less than 0%",stdsurvey[[#This Row],[class_attendance_percent]]&lt;70,"60-70 %",stdsurvey[[#This Row],[class_attendance_percent]]&lt;80, "70-80%",stdsurvey[[#This Row],[class_attendance_percent]]&lt;90,"80-90%",TRUE,"More than 90%")</f>
        <v>80-90%</v>
      </c>
      <c r="S211" t="s">
        <v>33</v>
      </c>
      <c r="T211">
        <v>4</v>
      </c>
      <c r="U211" t="s">
        <v>23</v>
      </c>
      <c r="V211">
        <v>2.7</v>
      </c>
      <c r="W211" s="4" t="str" cm="1">
        <f t="array" ref="W21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11" s="4" t="str" cm="1">
        <f t="array" ref="X211">_xlfn.IFS(stdsurvey[[#This Row],[daily_sleep_hours]]&lt;4,"&lt; 4 hrs",stdsurvey[[#This Row],[daily_sleep_hours]]&lt;=6,"4-6 hrs",stdsurvey[[#This Row],[daily_sleep_hours]]&lt;=8,"6-8 hrs",TRUE,"&gt; 8 hrs")</f>
        <v>&lt; 4 hrs</v>
      </c>
      <c r="Y211" t="s">
        <v>20</v>
      </c>
    </row>
    <row r="212" spans="1:25" x14ac:dyDescent="0.3">
      <c r="A212" t="s">
        <v>246</v>
      </c>
      <c r="B212">
        <v>19</v>
      </c>
      <c r="C212" t="s">
        <v>39</v>
      </c>
      <c r="D212">
        <v>3</v>
      </c>
      <c r="E212" t="s">
        <v>47</v>
      </c>
      <c r="F212">
        <v>5.0999999999999996</v>
      </c>
      <c r="G212">
        <v>10</v>
      </c>
      <c r="H212">
        <v>3</v>
      </c>
      <c r="I212">
        <v>5</v>
      </c>
      <c r="J212">
        <v>5</v>
      </c>
      <c r="K212" s="4" t="str" cm="1">
        <f t="array" ref="K212">_xlfn.IFS(stdsurvey[[#This Row],[phq9_score]]="","Answer Not Provided",stdsurvey[[#This Row],[phq9_score]]&lt;=4,"Minimal",stdsurvey[[#This Row],[phq9_score]]&lt;=9,"Mild",stdsurvey[[#This Row],[phq9_score]]&lt;=14,"Moderate",stdsurvey[[#This Row],[phq9_score]]&lt;=19,"Moderately Severe",stdsurvey[[#This Row],[phq9_score]]&lt;=27,"Severe")</f>
        <v>Mild</v>
      </c>
      <c r="L212">
        <v>8</v>
      </c>
      <c r="M212" s="4" t="str" cm="1">
        <f t="array" ref="M212">_xlfn.IFS(stdsurvey[[#This Row],[gad7_score]]="","Answer Not Provided",stdsurvey[[#This Row],[gad7_score]]&lt;=4,"Minimal",stdsurvey[[#This Row],[gad7_score]]&lt;=9,"Mild",stdsurvey[[#This Row],[gad7_score]]&lt;=14,"Moderate",stdsurvey[[#This Row],[gad7_score]]&lt;=21,"Severe")</f>
        <v>Mild</v>
      </c>
      <c r="N212">
        <v>1.6</v>
      </c>
      <c r="O212" s="4" t="str" cm="1">
        <f t="array" ref="O212">_xlfn.IFS(stdsurvey[[#This Row],[perceived_stress_scale]]="","Answer Not Provided",stdsurvey[[#This Row],[perceived_stress_scale]]&lt;=13,"Low Stress",stdsurvey[[#This Row],[perceived_stress_scale]]&lt;=26,"Moderate Stress",stdsurvey[[#This Row],[perceived_stress_scale]]&lt;=40,"High Stress")</f>
        <v>Low Stress</v>
      </c>
      <c r="P212">
        <v>89.3</v>
      </c>
      <c r="Q212">
        <v>4</v>
      </c>
      <c r="R212" s="4" t="str" cm="1">
        <f t="array" ref="R212">_xlfn.IFS(stdsurvey[[#This Row],[class_attendance_percent]]&lt;60,"Less than 0%",stdsurvey[[#This Row],[class_attendance_percent]]&lt;70,"60-70 %",stdsurvey[[#This Row],[class_attendance_percent]]&lt;80, "70-80%",stdsurvey[[#This Row],[class_attendance_percent]]&lt;90,"80-90%",TRUE,"More than 90%")</f>
        <v>80-90%</v>
      </c>
      <c r="S212" t="s">
        <v>22</v>
      </c>
      <c r="T212">
        <v>2</v>
      </c>
      <c r="U212" t="s">
        <v>23</v>
      </c>
      <c r="V212">
        <v>2.67</v>
      </c>
      <c r="W212" s="4" t="str" cm="1">
        <f t="array" ref="W21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12" s="4" t="str" cm="1">
        <f t="array" ref="X212">_xlfn.IFS(stdsurvey[[#This Row],[daily_sleep_hours]]&lt;4,"&lt; 4 hrs",stdsurvey[[#This Row],[daily_sleep_hours]]&lt;=6,"4-6 hrs",stdsurvey[[#This Row],[daily_sleep_hours]]&lt;=8,"6-8 hrs",TRUE,"&gt; 8 hrs")</f>
        <v>4-6 hrs</v>
      </c>
      <c r="Y212" t="s">
        <v>27</v>
      </c>
    </row>
    <row r="213" spans="1:25" x14ac:dyDescent="0.3">
      <c r="A213" t="s">
        <v>247</v>
      </c>
      <c r="B213">
        <v>20</v>
      </c>
      <c r="C213" t="s">
        <v>25</v>
      </c>
      <c r="D213">
        <v>3</v>
      </c>
      <c r="E213" t="s">
        <v>30</v>
      </c>
      <c r="F213">
        <v>5.6</v>
      </c>
      <c r="G213">
        <v>10.9</v>
      </c>
      <c r="H213">
        <v>3</v>
      </c>
      <c r="I213">
        <v>2</v>
      </c>
      <c r="J213">
        <v>6</v>
      </c>
      <c r="K213" s="4" t="str" cm="1">
        <f t="array" ref="K213">_xlfn.IFS(stdsurvey[[#This Row],[phq9_score]]="","Answer Not Provided",stdsurvey[[#This Row],[phq9_score]]&lt;=4,"Minimal",stdsurvey[[#This Row],[phq9_score]]&lt;=9,"Mild",stdsurvey[[#This Row],[phq9_score]]&lt;=14,"Moderate",stdsurvey[[#This Row],[phq9_score]]&lt;=19,"Moderately Severe",stdsurvey[[#This Row],[phq9_score]]&lt;=27,"Severe")</f>
        <v>Minimal</v>
      </c>
      <c r="L213">
        <v>8</v>
      </c>
      <c r="M213" s="4" t="str" cm="1">
        <f t="array" ref="M213">_xlfn.IFS(stdsurvey[[#This Row],[gad7_score]]="","Answer Not Provided",stdsurvey[[#This Row],[gad7_score]]&lt;=4,"Minimal",stdsurvey[[#This Row],[gad7_score]]&lt;=9,"Mild",stdsurvey[[#This Row],[gad7_score]]&lt;=14,"Moderate",stdsurvey[[#This Row],[gad7_score]]&lt;=21,"Severe")</f>
        <v>Mild</v>
      </c>
      <c r="N213">
        <v>28</v>
      </c>
      <c r="O213" s="4" t="str" cm="1">
        <f t="array" ref="O213">_xlfn.IFS(stdsurvey[[#This Row],[perceived_stress_scale]]="","Answer Not Provided",stdsurvey[[#This Row],[perceived_stress_scale]]&lt;=13,"Low Stress",stdsurvey[[#This Row],[perceived_stress_scale]]&lt;=26,"Moderate Stress",stdsurvey[[#This Row],[perceived_stress_scale]]&lt;=40,"High Stress")</f>
        <v>Low Stress</v>
      </c>
      <c r="P213">
        <v>87.7</v>
      </c>
      <c r="Q213">
        <v>3</v>
      </c>
      <c r="R213" s="4" t="str" cm="1">
        <f t="array" ref="R213">_xlfn.IFS(stdsurvey[[#This Row],[class_attendance_percent]]&lt;60,"Less than 0%",stdsurvey[[#This Row],[class_attendance_percent]]&lt;70,"60-70 %",stdsurvey[[#This Row],[class_attendance_percent]]&lt;80, "70-80%",stdsurvey[[#This Row],[class_attendance_percent]]&lt;90,"80-90%",TRUE,"More than 90%")</f>
        <v>80-90%</v>
      </c>
      <c r="S213" t="s">
        <v>22</v>
      </c>
      <c r="T213">
        <v>3</v>
      </c>
      <c r="U213" t="s">
        <v>23</v>
      </c>
      <c r="V213">
        <v>3.18</v>
      </c>
      <c r="W213" s="4" t="str" cm="1">
        <f t="array" ref="W21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13" s="4" t="str" cm="1">
        <f t="array" ref="X213">_xlfn.IFS(stdsurvey[[#This Row],[daily_sleep_hours]]&lt;4,"&lt; 4 hrs",stdsurvey[[#This Row],[daily_sleep_hours]]&lt;=6,"4-6 hrs",stdsurvey[[#This Row],[daily_sleep_hours]]&lt;=8,"6-8 hrs",TRUE,"&gt; 8 hrs")</f>
        <v>4-6 hrs</v>
      </c>
      <c r="Y213" t="s">
        <v>27</v>
      </c>
    </row>
    <row r="214" spans="1:25" x14ac:dyDescent="0.3">
      <c r="A214" t="s">
        <v>248</v>
      </c>
      <c r="B214">
        <v>21</v>
      </c>
      <c r="C214" t="s">
        <v>27</v>
      </c>
      <c r="D214">
        <v>5</v>
      </c>
      <c r="E214" t="s">
        <v>49</v>
      </c>
      <c r="F214">
        <v>5.7</v>
      </c>
      <c r="G214">
        <v>9.8000000000000007</v>
      </c>
      <c r="H214">
        <v>4</v>
      </c>
      <c r="I214">
        <v>1</v>
      </c>
      <c r="J214">
        <v>0</v>
      </c>
      <c r="K214" s="4" t="str" cm="1">
        <f t="array" ref="K214">_xlfn.IFS(stdsurvey[[#This Row],[phq9_score]]="","Answer Not Provided",stdsurvey[[#This Row],[phq9_score]]&lt;=4,"Minimal",stdsurvey[[#This Row],[phq9_score]]&lt;=9,"Mild",stdsurvey[[#This Row],[phq9_score]]&lt;=14,"Moderate",stdsurvey[[#This Row],[phq9_score]]&lt;=19,"Moderately Severe",stdsurvey[[#This Row],[phq9_score]]&lt;=27,"Severe")</f>
        <v>Minimal</v>
      </c>
      <c r="L214">
        <v>4</v>
      </c>
      <c r="M214" s="4" t="str" cm="1">
        <f t="array" ref="M214">_xlfn.IFS(stdsurvey[[#This Row],[gad7_score]]="","Answer Not Provided",stdsurvey[[#This Row],[gad7_score]]&lt;=4,"Minimal",stdsurvey[[#This Row],[gad7_score]]&lt;=9,"Mild",stdsurvey[[#This Row],[gad7_score]]&lt;=14,"Moderate",stdsurvey[[#This Row],[gad7_score]]&lt;=21,"Severe")</f>
        <v>Minimal</v>
      </c>
      <c r="N214">
        <v>19.3</v>
      </c>
      <c r="O214" s="4" t="str" cm="1">
        <f t="array" ref="O214">_xlfn.IFS(stdsurvey[[#This Row],[perceived_stress_scale]]="","Answer Not Provided",stdsurvey[[#This Row],[perceived_stress_scale]]&lt;=13,"Low Stress",stdsurvey[[#This Row],[perceived_stress_scale]]&lt;=26,"Moderate Stress",stdsurvey[[#This Row],[perceived_stress_scale]]&lt;=40,"High Stress")</f>
        <v>Low Stress</v>
      </c>
      <c r="P214">
        <v>100</v>
      </c>
      <c r="Q214">
        <v>3</v>
      </c>
      <c r="R214" s="4" t="str" cm="1">
        <f t="array" ref="R214">_xlfn.IFS(stdsurvey[[#This Row],[class_attendance_percent]]&lt;60,"Less than 0%",stdsurvey[[#This Row],[class_attendance_percent]]&lt;70,"60-70 %",stdsurvey[[#This Row],[class_attendance_percent]]&lt;80, "70-80%",stdsurvey[[#This Row],[class_attendance_percent]]&lt;90,"80-90%",TRUE,"More than 90%")</f>
        <v>More than 90%</v>
      </c>
      <c r="S214" t="s">
        <v>22</v>
      </c>
      <c r="T214">
        <v>5</v>
      </c>
      <c r="U214" t="s">
        <v>23</v>
      </c>
      <c r="V214">
        <v>3.05</v>
      </c>
      <c r="W214" s="4" t="str" cm="1">
        <f t="array" ref="W21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14" s="4" t="str" cm="1">
        <f t="array" ref="X214">_xlfn.IFS(stdsurvey[[#This Row],[daily_sleep_hours]]&lt;4,"&lt; 4 hrs",stdsurvey[[#This Row],[daily_sleep_hours]]&lt;=6,"4-6 hrs",stdsurvey[[#This Row],[daily_sleep_hours]]&lt;=8,"6-8 hrs",TRUE,"&gt; 8 hrs")</f>
        <v>4-6 hrs</v>
      </c>
      <c r="Y214" t="s">
        <v>27</v>
      </c>
    </row>
    <row r="215" spans="1:25" x14ac:dyDescent="0.3">
      <c r="A215" t="s">
        <v>249</v>
      </c>
      <c r="B215">
        <v>23</v>
      </c>
      <c r="C215" t="s">
        <v>20</v>
      </c>
      <c r="D215">
        <v>2</v>
      </c>
      <c r="E215" t="s">
        <v>30</v>
      </c>
      <c r="F215">
        <v>6.4</v>
      </c>
      <c r="G215">
        <v>11.1</v>
      </c>
      <c r="H215">
        <v>1</v>
      </c>
      <c r="I215">
        <v>4</v>
      </c>
      <c r="J215">
        <v>3</v>
      </c>
      <c r="K215" s="4" t="str" cm="1">
        <f t="array" ref="K215">_xlfn.IFS(stdsurvey[[#This Row],[phq9_score]]="","Answer Not Provided",stdsurvey[[#This Row],[phq9_score]]&lt;=4,"Minimal",stdsurvey[[#This Row],[phq9_score]]&lt;=9,"Mild",stdsurvey[[#This Row],[phq9_score]]&lt;=14,"Moderate",stdsurvey[[#This Row],[phq9_score]]&lt;=19,"Moderately Severe",stdsurvey[[#This Row],[phq9_score]]&lt;=27,"Severe")</f>
        <v>Minimal</v>
      </c>
      <c r="L215">
        <v>8</v>
      </c>
      <c r="M215" s="4" t="str" cm="1">
        <f t="array" ref="M215">_xlfn.IFS(stdsurvey[[#This Row],[gad7_score]]="","Answer Not Provided",stdsurvey[[#This Row],[gad7_score]]&lt;=4,"Minimal",stdsurvey[[#This Row],[gad7_score]]&lt;=9,"Mild",stdsurvey[[#This Row],[gad7_score]]&lt;=14,"Moderate",stdsurvey[[#This Row],[gad7_score]]&lt;=21,"Severe")</f>
        <v>Minimal</v>
      </c>
      <c r="N215">
        <v>16.5</v>
      </c>
      <c r="O215" s="4" t="str" cm="1">
        <f t="array" ref="O215">_xlfn.IFS(stdsurvey[[#This Row],[perceived_stress_scale]]="","Answer Not Provided",stdsurvey[[#This Row],[perceived_stress_scale]]&lt;=13,"Low Stress",stdsurvey[[#This Row],[perceived_stress_scale]]&lt;=26,"Moderate Stress",stdsurvey[[#This Row],[perceived_stress_scale]]&lt;=40,"High Stress")</f>
        <v>Low Stress</v>
      </c>
      <c r="P215">
        <v>79.900000000000006</v>
      </c>
      <c r="Q215">
        <v>4</v>
      </c>
      <c r="R215" s="4" t="str" cm="1">
        <f t="array" ref="R215">_xlfn.IFS(stdsurvey[[#This Row],[class_attendance_percent]]&lt;60,"Less than 0%",stdsurvey[[#This Row],[class_attendance_percent]]&lt;70,"60-70 %",stdsurvey[[#This Row],[class_attendance_percent]]&lt;80, "70-80%",stdsurvey[[#This Row],[class_attendance_percent]]&lt;90,"80-90%",TRUE,"More than 90%")</f>
        <v>70-80%</v>
      </c>
      <c r="S215" t="s">
        <v>33</v>
      </c>
      <c r="T215">
        <v>2</v>
      </c>
      <c r="U215" t="s">
        <v>26</v>
      </c>
      <c r="V215">
        <v>3.03</v>
      </c>
      <c r="W215" s="4" t="str" cm="1">
        <f t="array" ref="W21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15" s="4" t="str" cm="1">
        <f t="array" ref="X215">_xlfn.IFS(stdsurvey[[#This Row],[daily_sleep_hours]]&lt;4,"&lt; 4 hrs",stdsurvey[[#This Row],[daily_sleep_hours]]&lt;=6,"4-6 hrs",stdsurvey[[#This Row],[daily_sleep_hours]]&lt;=8,"6-8 hrs",TRUE,"&gt; 8 hrs")</f>
        <v>6-8 hrs</v>
      </c>
      <c r="Y215" t="s">
        <v>20</v>
      </c>
    </row>
    <row r="216" spans="1:25" x14ac:dyDescent="0.3">
      <c r="A216" t="s">
        <v>250</v>
      </c>
      <c r="B216">
        <v>19</v>
      </c>
      <c r="C216" t="s">
        <v>27</v>
      </c>
      <c r="D216">
        <v>2</v>
      </c>
      <c r="E216" t="s">
        <v>30</v>
      </c>
      <c r="F216">
        <v>5.8</v>
      </c>
      <c r="G216">
        <v>15.9</v>
      </c>
      <c r="H216">
        <v>2</v>
      </c>
      <c r="I216">
        <v>4</v>
      </c>
      <c r="J216">
        <v>6</v>
      </c>
      <c r="K216" s="4" t="str" cm="1">
        <f t="array" ref="K216">_xlfn.IFS(stdsurvey[[#This Row],[phq9_score]]="","Answer Not Provided",stdsurvey[[#This Row],[phq9_score]]&lt;=4,"Minimal",stdsurvey[[#This Row],[phq9_score]]&lt;=9,"Mild",stdsurvey[[#This Row],[phq9_score]]&lt;=14,"Moderate",stdsurvey[[#This Row],[phq9_score]]&lt;=19,"Moderately Severe",stdsurvey[[#This Row],[phq9_score]]&lt;=27,"Severe")</f>
        <v>Minimal</v>
      </c>
      <c r="L216">
        <v>6</v>
      </c>
      <c r="M216" s="4" t="str" cm="1">
        <f t="array" ref="M216">_xlfn.IFS(stdsurvey[[#This Row],[gad7_score]]="","Answer Not Provided",stdsurvey[[#This Row],[gad7_score]]&lt;=4,"Minimal",stdsurvey[[#This Row],[gad7_score]]&lt;=9,"Mild",stdsurvey[[#This Row],[gad7_score]]&lt;=14,"Moderate",stdsurvey[[#This Row],[gad7_score]]&lt;=21,"Severe")</f>
        <v>Mild</v>
      </c>
      <c r="N216">
        <v>28.2</v>
      </c>
      <c r="O216" s="4" t="str" cm="1">
        <f t="array" ref="O216">_xlfn.IFS(stdsurvey[[#This Row],[perceived_stress_scale]]="","Answer Not Provided",stdsurvey[[#This Row],[perceived_stress_scale]]&lt;=13,"Low Stress",stdsurvey[[#This Row],[perceived_stress_scale]]&lt;=26,"Moderate Stress",stdsurvey[[#This Row],[perceived_stress_scale]]&lt;=40,"High Stress")</f>
        <v>Low Stress</v>
      </c>
      <c r="P216">
        <v>75.599999999999994</v>
      </c>
      <c r="Q216">
        <v>4</v>
      </c>
      <c r="R216" s="4" t="str" cm="1">
        <f t="array" ref="R216">_xlfn.IFS(stdsurvey[[#This Row],[class_attendance_percent]]&lt;60,"Less than 0%",stdsurvey[[#This Row],[class_attendance_percent]]&lt;70,"60-70 %",stdsurvey[[#This Row],[class_attendance_percent]]&lt;80, "70-80%",stdsurvey[[#This Row],[class_attendance_percent]]&lt;90,"80-90%",TRUE,"More than 90%")</f>
        <v>70-80%</v>
      </c>
      <c r="S216" t="s">
        <v>33</v>
      </c>
      <c r="T216">
        <v>5</v>
      </c>
      <c r="U216" t="s">
        <v>26</v>
      </c>
      <c r="V216">
        <v>2.92</v>
      </c>
      <c r="W216" s="4" t="str" cm="1">
        <f t="array" ref="W21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216" s="4" t="str" cm="1">
        <f t="array" ref="X216">_xlfn.IFS(stdsurvey[[#This Row],[daily_sleep_hours]]&lt;4,"&lt; 4 hrs",stdsurvey[[#This Row],[daily_sleep_hours]]&lt;=6,"4-6 hrs",stdsurvey[[#This Row],[daily_sleep_hours]]&lt;=8,"6-8 hrs",TRUE,"&gt; 8 hrs")</f>
        <v>4-6 hrs</v>
      </c>
      <c r="Y216" t="s">
        <v>27</v>
      </c>
    </row>
    <row r="217" spans="1:25" x14ac:dyDescent="0.3">
      <c r="A217" t="s">
        <v>251</v>
      </c>
      <c r="B217">
        <v>22</v>
      </c>
      <c r="C217" t="s">
        <v>20</v>
      </c>
      <c r="D217">
        <v>3</v>
      </c>
      <c r="E217" t="s">
        <v>49</v>
      </c>
      <c r="F217">
        <v>7.2</v>
      </c>
      <c r="G217">
        <v>2.4</v>
      </c>
      <c r="H217">
        <v>2</v>
      </c>
      <c r="I217">
        <v>2</v>
      </c>
      <c r="J217">
        <v>5</v>
      </c>
      <c r="K217" s="4" t="str" cm="1">
        <f t="array" ref="K217">_xlfn.IFS(stdsurvey[[#This Row],[phq9_score]]="","Answer Not Provided",stdsurvey[[#This Row],[phq9_score]]&lt;=4,"Minimal",stdsurvey[[#This Row],[phq9_score]]&lt;=9,"Mild",stdsurvey[[#This Row],[phq9_score]]&lt;=14,"Moderate",stdsurvey[[#This Row],[phq9_score]]&lt;=19,"Moderately Severe",stdsurvey[[#This Row],[phq9_score]]&lt;=27,"Severe")</f>
        <v>Minimal</v>
      </c>
      <c r="L217">
        <v>13</v>
      </c>
      <c r="M217" s="4" t="str" cm="1">
        <f t="array" ref="M217">_xlfn.IFS(stdsurvey[[#This Row],[gad7_score]]="","Answer Not Provided",stdsurvey[[#This Row],[gad7_score]]&lt;=4,"Minimal",stdsurvey[[#This Row],[gad7_score]]&lt;=9,"Mild",stdsurvey[[#This Row],[gad7_score]]&lt;=14,"Moderate",stdsurvey[[#This Row],[gad7_score]]&lt;=21,"Severe")</f>
        <v>Mild</v>
      </c>
      <c r="N217">
        <v>7.3</v>
      </c>
      <c r="O217" s="4" t="str" cm="1">
        <f t="array" ref="O217">_xlfn.IFS(stdsurvey[[#This Row],[perceived_stress_scale]]="","Answer Not Provided",stdsurvey[[#This Row],[perceived_stress_scale]]&lt;=13,"Low Stress",stdsurvey[[#This Row],[perceived_stress_scale]]&lt;=26,"Moderate Stress",stdsurvey[[#This Row],[perceived_stress_scale]]&lt;=40,"High Stress")</f>
        <v>Low Stress</v>
      </c>
      <c r="P217">
        <v>61.9</v>
      </c>
      <c r="Q217">
        <v>4</v>
      </c>
      <c r="R217" s="4" t="str" cm="1">
        <f t="array" ref="R217">_xlfn.IFS(stdsurvey[[#This Row],[class_attendance_percent]]&lt;60,"Less than 0%",stdsurvey[[#This Row],[class_attendance_percent]]&lt;70,"60-70 %",stdsurvey[[#This Row],[class_attendance_percent]]&lt;80, "70-80%",stdsurvey[[#This Row],[class_attendance_percent]]&lt;90,"80-90%",TRUE,"More than 90%")</f>
        <v>60-70 %</v>
      </c>
      <c r="S217" t="s">
        <v>33</v>
      </c>
      <c r="T217">
        <v>2</v>
      </c>
      <c r="U217" t="s">
        <v>51</v>
      </c>
      <c r="V217">
        <v>2.78</v>
      </c>
      <c r="W217" s="4" t="str" cm="1">
        <f t="array" ref="W21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17" s="4" t="str" cm="1">
        <f t="array" ref="X217">_xlfn.IFS(stdsurvey[[#This Row],[daily_sleep_hours]]&lt;4,"&lt; 4 hrs",stdsurvey[[#This Row],[daily_sleep_hours]]&lt;=6,"4-6 hrs",stdsurvey[[#This Row],[daily_sleep_hours]]&lt;=8,"6-8 hrs",TRUE,"&gt; 8 hrs")</f>
        <v>6-8 hrs</v>
      </c>
      <c r="Y217" t="s">
        <v>20</v>
      </c>
    </row>
    <row r="218" spans="1:25" x14ac:dyDescent="0.3">
      <c r="A218" t="s">
        <v>252</v>
      </c>
      <c r="B218">
        <v>20</v>
      </c>
      <c r="C218" t="s">
        <v>61</v>
      </c>
      <c r="D218">
        <v>1</v>
      </c>
      <c r="E218" t="s">
        <v>35</v>
      </c>
      <c r="F218">
        <v>4.5999999999999996</v>
      </c>
      <c r="G218">
        <v>15.5</v>
      </c>
      <c r="H218">
        <v>0</v>
      </c>
      <c r="I218">
        <v>7</v>
      </c>
      <c r="J218">
        <v>5</v>
      </c>
      <c r="K218" s="4" t="str" cm="1">
        <f t="array" ref="K218">_xlfn.IFS(stdsurvey[[#This Row],[phq9_score]]="","Answer Not Provided",stdsurvey[[#This Row],[phq9_score]]&lt;=4,"Minimal",stdsurvey[[#This Row],[phq9_score]]&lt;=9,"Mild",stdsurvey[[#This Row],[phq9_score]]&lt;=14,"Moderate",stdsurvey[[#This Row],[phq9_score]]&lt;=19,"Moderately Severe",stdsurvey[[#This Row],[phq9_score]]&lt;=27,"Severe")</f>
        <v>Mild</v>
      </c>
      <c r="L218">
        <v>8</v>
      </c>
      <c r="M218" s="4" t="str" cm="1">
        <f t="array" ref="M218">_xlfn.IFS(stdsurvey[[#This Row],[gad7_score]]="","Answer Not Provided",stdsurvey[[#This Row],[gad7_score]]&lt;=4,"Minimal",stdsurvey[[#This Row],[gad7_score]]&lt;=9,"Mild",stdsurvey[[#This Row],[gad7_score]]&lt;=14,"Moderate",stdsurvey[[#This Row],[gad7_score]]&lt;=21,"Severe")</f>
        <v>Mild</v>
      </c>
      <c r="N218">
        <v>10.9</v>
      </c>
      <c r="O218" s="4" t="str" cm="1">
        <f t="array" ref="O218">_xlfn.IFS(stdsurvey[[#This Row],[perceived_stress_scale]]="","Answer Not Provided",stdsurvey[[#This Row],[perceived_stress_scale]]&lt;=13,"Low Stress",stdsurvey[[#This Row],[perceived_stress_scale]]&lt;=26,"Moderate Stress",stdsurvey[[#This Row],[perceived_stress_scale]]&lt;=40,"High Stress")</f>
        <v>Low Stress</v>
      </c>
      <c r="P218">
        <v>47.6</v>
      </c>
      <c r="Q218">
        <v>4</v>
      </c>
      <c r="R218" s="4" t="str" cm="1">
        <f t="array" ref="R218">_xlfn.IFS(stdsurvey[[#This Row],[class_attendance_percent]]&lt;60,"Less than 0%",stdsurvey[[#This Row],[class_attendance_percent]]&lt;70,"60-70 %",stdsurvey[[#This Row],[class_attendance_percent]]&lt;80, "70-80%",stdsurvey[[#This Row],[class_attendance_percent]]&lt;90,"80-90%",TRUE,"More than 90%")</f>
        <v>Less than 0%</v>
      </c>
      <c r="S218" t="s">
        <v>22</v>
      </c>
      <c r="T218">
        <v>1</v>
      </c>
      <c r="U218" t="s">
        <v>51</v>
      </c>
      <c r="V218">
        <v>2.78</v>
      </c>
      <c r="W218" s="4" t="str" cm="1">
        <f t="array" ref="W21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218" s="4" t="str" cm="1">
        <f t="array" ref="X218">_xlfn.IFS(stdsurvey[[#This Row],[daily_sleep_hours]]&lt;4,"&lt; 4 hrs",stdsurvey[[#This Row],[daily_sleep_hours]]&lt;=6,"4-6 hrs",stdsurvey[[#This Row],[daily_sleep_hours]]&lt;=8,"6-8 hrs",TRUE,"&gt; 8 hrs")</f>
        <v>4-6 hrs</v>
      </c>
      <c r="Y218" t="s">
        <v>61</v>
      </c>
    </row>
    <row r="219" spans="1:25" x14ac:dyDescent="0.3">
      <c r="A219" t="s">
        <v>253</v>
      </c>
      <c r="B219">
        <v>21</v>
      </c>
      <c r="C219" t="s">
        <v>27</v>
      </c>
      <c r="D219">
        <v>2</v>
      </c>
      <c r="E219" t="s">
        <v>30</v>
      </c>
      <c r="F219">
        <v>4.0999999999999996</v>
      </c>
      <c r="G219">
        <v>3.4</v>
      </c>
      <c r="H219">
        <v>2</v>
      </c>
      <c r="I219">
        <v>7</v>
      </c>
      <c r="J219">
        <v>7</v>
      </c>
      <c r="K219" s="4" t="str" cm="1">
        <f t="array" ref="K219">_xlfn.IFS(stdsurvey[[#This Row],[phq9_score]]="","Answer Not Provided",stdsurvey[[#This Row],[phq9_score]]&lt;=4,"Minimal",stdsurvey[[#This Row],[phq9_score]]&lt;=9,"Mild",stdsurvey[[#This Row],[phq9_score]]&lt;=14,"Moderate",stdsurvey[[#This Row],[phq9_score]]&lt;=19,"Moderately Severe",stdsurvey[[#This Row],[phq9_score]]&lt;=27,"Severe")</f>
        <v>Mild</v>
      </c>
      <c r="L219">
        <v>12</v>
      </c>
      <c r="M219" s="4" t="str" cm="1">
        <f t="array" ref="M219">_xlfn.IFS(stdsurvey[[#This Row],[gad7_score]]="","Answer Not Provided",stdsurvey[[#This Row],[gad7_score]]&lt;=4,"Minimal",stdsurvey[[#This Row],[gad7_score]]&lt;=9,"Mild",stdsurvey[[#This Row],[gad7_score]]&lt;=14,"Moderate",stdsurvey[[#This Row],[gad7_score]]&lt;=21,"Severe")</f>
        <v>Mild</v>
      </c>
      <c r="N219">
        <v>27.7</v>
      </c>
      <c r="O219" s="4" t="str" cm="1">
        <f t="array" ref="O219">_xlfn.IFS(stdsurvey[[#This Row],[perceived_stress_scale]]="","Answer Not Provided",stdsurvey[[#This Row],[perceived_stress_scale]]&lt;=13,"Low Stress",stdsurvey[[#This Row],[perceived_stress_scale]]&lt;=26,"Moderate Stress",stdsurvey[[#This Row],[perceived_stress_scale]]&lt;=40,"High Stress")</f>
        <v>Low Stress</v>
      </c>
      <c r="P219">
        <v>90</v>
      </c>
      <c r="Q219">
        <v>4</v>
      </c>
      <c r="R219" s="4" t="str" cm="1">
        <f t="array" ref="R219">_xlfn.IFS(stdsurvey[[#This Row],[class_attendance_percent]]&lt;60,"Less than 0%",stdsurvey[[#This Row],[class_attendance_percent]]&lt;70,"60-70 %",stdsurvey[[#This Row],[class_attendance_percent]]&lt;80, "70-80%",stdsurvey[[#This Row],[class_attendance_percent]]&lt;90,"80-90%",TRUE,"More than 90%")</f>
        <v>More than 90%</v>
      </c>
      <c r="S219" t="s">
        <v>22</v>
      </c>
      <c r="T219">
        <v>2</v>
      </c>
      <c r="U219" t="s">
        <v>23</v>
      </c>
      <c r="V219">
        <v>3.14</v>
      </c>
      <c r="W219" s="4" t="str" cm="1">
        <f t="array" ref="W21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19" s="4" t="str" cm="1">
        <f t="array" ref="X219">_xlfn.IFS(stdsurvey[[#This Row],[daily_sleep_hours]]&lt;4,"&lt; 4 hrs",stdsurvey[[#This Row],[daily_sleep_hours]]&lt;=6,"4-6 hrs",stdsurvey[[#This Row],[daily_sleep_hours]]&lt;=8,"6-8 hrs",TRUE,"&gt; 8 hrs")</f>
        <v>4-6 hrs</v>
      </c>
      <c r="Y219" t="s">
        <v>27</v>
      </c>
    </row>
    <row r="220" spans="1:25" x14ac:dyDescent="0.3">
      <c r="A220" t="s">
        <v>254</v>
      </c>
      <c r="B220">
        <v>24</v>
      </c>
      <c r="C220" t="s">
        <v>20</v>
      </c>
      <c r="D220">
        <v>1</v>
      </c>
      <c r="E220" t="s">
        <v>32</v>
      </c>
      <c r="F220">
        <v>5.7</v>
      </c>
      <c r="G220">
        <v>6.7</v>
      </c>
      <c r="H220">
        <v>5</v>
      </c>
      <c r="I220">
        <v>2</v>
      </c>
      <c r="J220">
        <v>1</v>
      </c>
      <c r="K220" s="4" t="str" cm="1">
        <f t="array" ref="K220">_xlfn.IFS(stdsurvey[[#This Row],[phq9_score]]="","Answer Not Provided",stdsurvey[[#This Row],[phq9_score]]&lt;=4,"Minimal",stdsurvey[[#This Row],[phq9_score]]&lt;=9,"Mild",stdsurvey[[#This Row],[phq9_score]]&lt;=14,"Moderate",stdsurvey[[#This Row],[phq9_score]]&lt;=19,"Moderately Severe",stdsurvey[[#This Row],[phq9_score]]&lt;=27,"Severe")</f>
        <v>Minimal</v>
      </c>
      <c r="L220">
        <v>10</v>
      </c>
      <c r="M220" s="4" t="str" cm="1">
        <f t="array" ref="M220">_xlfn.IFS(stdsurvey[[#This Row],[gad7_score]]="","Answer Not Provided",stdsurvey[[#This Row],[gad7_score]]&lt;=4,"Minimal",stdsurvey[[#This Row],[gad7_score]]&lt;=9,"Mild",stdsurvey[[#This Row],[gad7_score]]&lt;=14,"Moderate",stdsurvey[[#This Row],[gad7_score]]&lt;=21,"Severe")</f>
        <v>Minimal</v>
      </c>
      <c r="N220">
        <v>7.7</v>
      </c>
      <c r="O220" s="4" t="str" cm="1">
        <f t="array" ref="O220">_xlfn.IFS(stdsurvey[[#This Row],[perceived_stress_scale]]="","Answer Not Provided",stdsurvey[[#This Row],[perceived_stress_scale]]&lt;=13,"Low Stress",stdsurvey[[#This Row],[perceived_stress_scale]]&lt;=26,"Moderate Stress",stdsurvey[[#This Row],[perceived_stress_scale]]&lt;=40,"High Stress")</f>
        <v>Low Stress</v>
      </c>
      <c r="P220">
        <v>100</v>
      </c>
      <c r="Q220">
        <v>5</v>
      </c>
      <c r="R220" s="4" t="str" cm="1">
        <f t="array" ref="R220">_xlfn.IFS(stdsurvey[[#This Row],[class_attendance_percent]]&lt;60,"Less than 0%",stdsurvey[[#This Row],[class_attendance_percent]]&lt;70,"60-70 %",stdsurvey[[#This Row],[class_attendance_percent]]&lt;80, "70-80%",stdsurvey[[#This Row],[class_attendance_percent]]&lt;90,"80-90%",TRUE,"More than 90%")</f>
        <v>More than 90%</v>
      </c>
      <c r="S220" t="s">
        <v>33</v>
      </c>
      <c r="T220">
        <v>2</v>
      </c>
      <c r="U220" t="s">
        <v>26</v>
      </c>
      <c r="W220" s="4" t="str" cm="1">
        <f t="array" ref="W22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20" s="4" t="str" cm="1">
        <f t="array" ref="X220">_xlfn.IFS(stdsurvey[[#This Row],[daily_sleep_hours]]&lt;4,"&lt; 4 hrs",stdsurvey[[#This Row],[daily_sleep_hours]]&lt;=6,"4-6 hrs",stdsurvey[[#This Row],[daily_sleep_hours]]&lt;=8,"6-8 hrs",TRUE,"&gt; 8 hrs")</f>
        <v>4-6 hrs</v>
      </c>
      <c r="Y220" t="s">
        <v>20</v>
      </c>
    </row>
    <row r="221" spans="1:25" x14ac:dyDescent="0.3">
      <c r="A221" t="s">
        <v>255</v>
      </c>
      <c r="B221">
        <v>23</v>
      </c>
      <c r="C221" t="s">
        <v>102</v>
      </c>
      <c r="D221">
        <v>1</v>
      </c>
      <c r="E221" t="s">
        <v>30</v>
      </c>
      <c r="F221">
        <v>7.2</v>
      </c>
      <c r="G221">
        <v>1.2</v>
      </c>
      <c r="H221">
        <v>5</v>
      </c>
      <c r="K221" s="4" t="str" cm="1">
        <f t="array" ref="K221">_xlfn.IFS(stdsurvey[[#This Row],[phq9_score]]="","Answer Not Provided",stdsurvey[[#This Row],[phq9_score]]&lt;=4,"Minimal",stdsurvey[[#This Row],[phq9_score]]&lt;=9,"Mild",stdsurvey[[#This Row],[phq9_score]]&lt;=14,"Moderate",stdsurvey[[#This Row],[phq9_score]]&lt;=19,"Moderately Severe",stdsurvey[[#This Row],[phq9_score]]&lt;=27,"Severe")</f>
        <v>Answer Not Provided</v>
      </c>
      <c r="L221">
        <v>9</v>
      </c>
      <c r="M221" s="4" t="str" cm="1">
        <f t="array" ref="M221">_xlfn.IFS(stdsurvey[[#This Row],[gad7_score]]="","Answer Not Provided",stdsurvey[[#This Row],[gad7_score]]&lt;=4,"Minimal",stdsurvey[[#This Row],[gad7_score]]&lt;=9,"Mild",stdsurvey[[#This Row],[gad7_score]]&lt;=14,"Moderate",stdsurvey[[#This Row],[gad7_score]]&lt;=21,"Severe")</f>
        <v>Answer Not Provided</v>
      </c>
      <c r="N221">
        <v>78.599999999999994</v>
      </c>
      <c r="O221" s="4" t="str" cm="1">
        <f t="array" ref="O221">_xlfn.IFS(stdsurvey[[#This Row],[perceived_stress_scale]]="","Answer Not Provided",stdsurvey[[#This Row],[perceived_stress_scale]]&lt;=13,"Low Stress",stdsurvey[[#This Row],[perceived_stress_scale]]&lt;=26,"Moderate Stress",stdsurvey[[#This Row],[perceived_stress_scale]]&lt;=40,"High Stress")</f>
        <v>Low Stress</v>
      </c>
      <c r="P221">
        <v>98.1</v>
      </c>
      <c r="Q221">
        <v>4</v>
      </c>
      <c r="R221" s="4" t="str" cm="1">
        <f t="array" ref="R221">_xlfn.IFS(stdsurvey[[#This Row],[class_attendance_percent]]&lt;60,"Less than 0%",stdsurvey[[#This Row],[class_attendance_percent]]&lt;70,"60-70 %",stdsurvey[[#This Row],[class_attendance_percent]]&lt;80, "70-80%",stdsurvey[[#This Row],[class_attendance_percent]]&lt;90,"80-90%",TRUE,"More than 90%")</f>
        <v>More than 90%</v>
      </c>
      <c r="S221" t="s">
        <v>22</v>
      </c>
      <c r="T221">
        <v>3</v>
      </c>
      <c r="U221" t="s">
        <v>26</v>
      </c>
      <c r="W221" s="4" t="str" cm="1">
        <f t="array" ref="W22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21" s="4" t="str" cm="1">
        <f t="array" ref="X221">_xlfn.IFS(stdsurvey[[#This Row],[daily_sleep_hours]]&lt;4,"&lt; 4 hrs",stdsurvey[[#This Row],[daily_sleep_hours]]&lt;=6,"4-6 hrs",stdsurvey[[#This Row],[daily_sleep_hours]]&lt;=8,"6-8 hrs",TRUE,"&gt; 8 hrs")</f>
        <v>6-8 hrs</v>
      </c>
      <c r="Y221" t="s">
        <v>20</v>
      </c>
    </row>
    <row r="222" spans="1:25" x14ac:dyDescent="0.3">
      <c r="A222" t="s">
        <v>256</v>
      </c>
      <c r="B222">
        <v>24</v>
      </c>
      <c r="C222" t="s">
        <v>27</v>
      </c>
      <c r="D222">
        <v>4</v>
      </c>
      <c r="E222" t="s">
        <v>32</v>
      </c>
      <c r="F222">
        <v>5.2</v>
      </c>
      <c r="G222">
        <v>3.1</v>
      </c>
      <c r="H222">
        <v>0</v>
      </c>
      <c r="I222">
        <v>8</v>
      </c>
      <c r="J222">
        <v>9</v>
      </c>
      <c r="K222" s="4" t="str" cm="1">
        <f t="array" ref="K222">_xlfn.IFS(stdsurvey[[#This Row],[phq9_score]]="","Answer Not Provided",stdsurvey[[#This Row],[phq9_score]]&lt;=4,"Minimal",stdsurvey[[#This Row],[phq9_score]]&lt;=9,"Mild",stdsurvey[[#This Row],[phq9_score]]&lt;=14,"Moderate",stdsurvey[[#This Row],[phq9_score]]&lt;=19,"Moderately Severe",stdsurvey[[#This Row],[phq9_score]]&lt;=27,"Severe")</f>
        <v>Mild</v>
      </c>
      <c r="L222">
        <v>11</v>
      </c>
      <c r="M222" s="4" t="str" cm="1">
        <f t="array" ref="M222">_xlfn.IFS(stdsurvey[[#This Row],[gad7_score]]="","Answer Not Provided",stdsurvey[[#This Row],[gad7_score]]&lt;=4,"Minimal",stdsurvey[[#This Row],[gad7_score]]&lt;=9,"Mild",stdsurvey[[#This Row],[gad7_score]]&lt;=14,"Moderate",stdsurvey[[#This Row],[gad7_score]]&lt;=21,"Severe")</f>
        <v>Mild</v>
      </c>
      <c r="N222">
        <v>22.6</v>
      </c>
      <c r="O222" s="4" t="str" cm="1">
        <f t="array" ref="O222">_xlfn.IFS(stdsurvey[[#This Row],[perceived_stress_scale]]="","Answer Not Provided",stdsurvey[[#This Row],[perceived_stress_scale]]&lt;=13,"Low Stress",stdsurvey[[#This Row],[perceived_stress_scale]]&lt;=26,"Moderate Stress",stdsurvey[[#This Row],[perceived_stress_scale]]&lt;=40,"High Stress")</f>
        <v>Low Stress</v>
      </c>
      <c r="P222">
        <v>91.7</v>
      </c>
      <c r="Q222">
        <v>2</v>
      </c>
      <c r="R222" s="4" t="str" cm="1">
        <f t="array" ref="R222">_xlfn.IFS(stdsurvey[[#This Row],[class_attendance_percent]]&lt;60,"Less than 0%",stdsurvey[[#This Row],[class_attendance_percent]]&lt;70,"60-70 %",stdsurvey[[#This Row],[class_attendance_percent]]&lt;80, "70-80%",stdsurvey[[#This Row],[class_attendance_percent]]&lt;90,"80-90%",TRUE,"More than 90%")</f>
        <v>More than 90%</v>
      </c>
      <c r="S222" t="s">
        <v>33</v>
      </c>
      <c r="T222">
        <v>1</v>
      </c>
      <c r="U222" t="s">
        <v>26</v>
      </c>
      <c r="V222">
        <v>2.96</v>
      </c>
      <c r="W222" s="4" t="str" cm="1">
        <f t="array" ref="W22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22" s="4" t="str" cm="1">
        <f t="array" ref="X222">_xlfn.IFS(stdsurvey[[#This Row],[daily_sleep_hours]]&lt;4,"&lt; 4 hrs",stdsurvey[[#This Row],[daily_sleep_hours]]&lt;=6,"4-6 hrs",stdsurvey[[#This Row],[daily_sleep_hours]]&lt;=8,"6-8 hrs",TRUE,"&gt; 8 hrs")</f>
        <v>4-6 hrs</v>
      </c>
      <c r="Y222" t="s">
        <v>27</v>
      </c>
    </row>
    <row r="223" spans="1:25" x14ac:dyDescent="0.3">
      <c r="A223" t="s">
        <v>257</v>
      </c>
      <c r="B223">
        <v>21</v>
      </c>
      <c r="C223" t="s">
        <v>20</v>
      </c>
      <c r="D223">
        <v>3</v>
      </c>
      <c r="E223" t="s">
        <v>32</v>
      </c>
      <c r="F223">
        <v>6.2</v>
      </c>
      <c r="G223">
        <v>8.3000000000000007</v>
      </c>
      <c r="H223">
        <v>2</v>
      </c>
      <c r="I223">
        <v>5</v>
      </c>
      <c r="J223">
        <v>4</v>
      </c>
      <c r="K223" s="4" t="str" cm="1">
        <f t="array" ref="K223">_xlfn.IFS(stdsurvey[[#This Row],[phq9_score]]="","Answer Not Provided",stdsurvey[[#This Row],[phq9_score]]&lt;=4,"Minimal",stdsurvey[[#This Row],[phq9_score]]&lt;=9,"Mild",stdsurvey[[#This Row],[phq9_score]]&lt;=14,"Moderate",stdsurvey[[#This Row],[phq9_score]]&lt;=19,"Moderately Severe",stdsurvey[[#This Row],[phq9_score]]&lt;=27,"Severe")</f>
        <v>Mild</v>
      </c>
      <c r="L223">
        <v>6</v>
      </c>
      <c r="M223" s="4" t="str" cm="1">
        <f t="array" ref="M223">_xlfn.IFS(stdsurvey[[#This Row],[gad7_score]]="","Answer Not Provided",stdsurvey[[#This Row],[gad7_score]]&lt;=4,"Minimal",stdsurvey[[#This Row],[gad7_score]]&lt;=9,"Mild",stdsurvey[[#This Row],[gad7_score]]&lt;=14,"Moderate",stdsurvey[[#This Row],[gad7_score]]&lt;=21,"Severe")</f>
        <v>Minimal</v>
      </c>
      <c r="N223">
        <v>18.399999999999999</v>
      </c>
      <c r="O223" s="4" t="str" cm="1">
        <f t="array" ref="O223">_xlfn.IFS(stdsurvey[[#This Row],[perceived_stress_scale]]="","Answer Not Provided",stdsurvey[[#This Row],[perceived_stress_scale]]&lt;=13,"Low Stress",stdsurvey[[#This Row],[perceived_stress_scale]]&lt;=26,"Moderate Stress",stdsurvey[[#This Row],[perceived_stress_scale]]&lt;=40,"High Stress")</f>
        <v>Low Stress</v>
      </c>
      <c r="P223">
        <v>78.8</v>
      </c>
      <c r="Q223">
        <v>5</v>
      </c>
      <c r="R223" s="4" t="str" cm="1">
        <f t="array" ref="R223">_xlfn.IFS(stdsurvey[[#This Row],[class_attendance_percent]]&lt;60,"Less than 0%",stdsurvey[[#This Row],[class_attendance_percent]]&lt;70,"60-70 %",stdsurvey[[#This Row],[class_attendance_percent]]&lt;80, "70-80%",stdsurvey[[#This Row],[class_attendance_percent]]&lt;90,"80-90%",TRUE,"More than 90%")</f>
        <v>70-80%</v>
      </c>
      <c r="S223" t="s">
        <v>22</v>
      </c>
      <c r="T223">
        <v>4</v>
      </c>
      <c r="U223" t="s">
        <v>51</v>
      </c>
      <c r="V223">
        <v>3.43</v>
      </c>
      <c r="W223" s="4" t="str" cm="1">
        <f t="array" ref="W22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23" s="4" t="str" cm="1">
        <f t="array" ref="X223">_xlfn.IFS(stdsurvey[[#This Row],[daily_sleep_hours]]&lt;4,"&lt; 4 hrs",stdsurvey[[#This Row],[daily_sleep_hours]]&lt;=6,"4-6 hrs",stdsurvey[[#This Row],[daily_sleep_hours]]&lt;=8,"6-8 hrs",TRUE,"&gt; 8 hrs")</f>
        <v>6-8 hrs</v>
      </c>
      <c r="Y223" t="s">
        <v>20</v>
      </c>
    </row>
    <row r="224" spans="1:25" x14ac:dyDescent="0.3">
      <c r="A224" t="s">
        <v>258</v>
      </c>
      <c r="B224">
        <v>20</v>
      </c>
      <c r="C224" t="s">
        <v>39</v>
      </c>
      <c r="D224">
        <v>2</v>
      </c>
      <c r="E224" t="s">
        <v>32</v>
      </c>
      <c r="F224">
        <v>6.8</v>
      </c>
      <c r="G224">
        <v>6.9</v>
      </c>
      <c r="H224">
        <v>2</v>
      </c>
      <c r="I224">
        <v>7</v>
      </c>
      <c r="J224">
        <v>6</v>
      </c>
      <c r="K224" s="4" t="str" cm="1">
        <f t="array" ref="K224">_xlfn.IFS(stdsurvey[[#This Row],[phq9_score]]="","Answer Not Provided",stdsurvey[[#This Row],[phq9_score]]&lt;=4,"Minimal",stdsurvey[[#This Row],[phq9_score]]&lt;=9,"Mild",stdsurvey[[#This Row],[phq9_score]]&lt;=14,"Moderate",stdsurvey[[#This Row],[phq9_score]]&lt;=19,"Moderately Severe",stdsurvey[[#This Row],[phq9_score]]&lt;=27,"Severe")</f>
        <v>Mild</v>
      </c>
      <c r="L224">
        <v>12</v>
      </c>
      <c r="M224" s="4" t="str" cm="1">
        <f t="array" ref="M224">_xlfn.IFS(stdsurvey[[#This Row],[gad7_score]]="","Answer Not Provided",stdsurvey[[#This Row],[gad7_score]]&lt;=4,"Minimal",stdsurvey[[#This Row],[gad7_score]]&lt;=9,"Mild",stdsurvey[[#This Row],[gad7_score]]&lt;=14,"Moderate",stdsurvey[[#This Row],[gad7_score]]&lt;=21,"Severe")</f>
        <v>Mild</v>
      </c>
      <c r="N224">
        <v>26.9</v>
      </c>
      <c r="O224" s="4" t="str" cm="1">
        <f t="array" ref="O224">_xlfn.IFS(stdsurvey[[#This Row],[perceived_stress_scale]]="","Answer Not Provided",stdsurvey[[#This Row],[perceived_stress_scale]]&lt;=13,"Low Stress",stdsurvey[[#This Row],[perceived_stress_scale]]&lt;=26,"Moderate Stress",stdsurvey[[#This Row],[perceived_stress_scale]]&lt;=40,"High Stress")</f>
        <v>Low Stress</v>
      </c>
      <c r="P224">
        <v>77.3</v>
      </c>
      <c r="Q224">
        <v>5</v>
      </c>
      <c r="R224" s="4" t="str" cm="1">
        <f t="array" ref="R224">_xlfn.IFS(stdsurvey[[#This Row],[class_attendance_percent]]&lt;60,"Less than 0%",stdsurvey[[#This Row],[class_attendance_percent]]&lt;70,"60-70 %",stdsurvey[[#This Row],[class_attendance_percent]]&lt;80, "70-80%",stdsurvey[[#This Row],[class_attendance_percent]]&lt;90,"80-90%",TRUE,"More than 90%")</f>
        <v>70-80%</v>
      </c>
      <c r="S224" t="s">
        <v>22</v>
      </c>
      <c r="T224">
        <v>5</v>
      </c>
      <c r="U224" t="s">
        <v>23</v>
      </c>
      <c r="V224">
        <v>3.52</v>
      </c>
      <c r="W224" s="4" t="str" cm="1">
        <f t="array" ref="W22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24" s="4" t="str" cm="1">
        <f t="array" ref="X224">_xlfn.IFS(stdsurvey[[#This Row],[daily_sleep_hours]]&lt;4,"&lt; 4 hrs",stdsurvey[[#This Row],[daily_sleep_hours]]&lt;=6,"4-6 hrs",stdsurvey[[#This Row],[daily_sleep_hours]]&lt;=8,"6-8 hrs",TRUE,"&gt; 8 hrs")</f>
        <v>6-8 hrs</v>
      </c>
      <c r="Y224" t="s">
        <v>27</v>
      </c>
    </row>
    <row r="225" spans="1:25" x14ac:dyDescent="0.3">
      <c r="A225" t="s">
        <v>259</v>
      </c>
      <c r="B225">
        <v>21</v>
      </c>
      <c r="C225" t="s">
        <v>27</v>
      </c>
      <c r="D225">
        <v>2</v>
      </c>
      <c r="E225" t="s">
        <v>32</v>
      </c>
      <c r="F225">
        <v>7.2</v>
      </c>
      <c r="G225">
        <v>3.4</v>
      </c>
      <c r="H225">
        <v>3</v>
      </c>
      <c r="I225">
        <v>5</v>
      </c>
      <c r="J225">
        <v>3</v>
      </c>
      <c r="K225" s="4" t="str" cm="1">
        <f t="array" ref="K225">_xlfn.IFS(stdsurvey[[#This Row],[phq9_score]]="","Answer Not Provided",stdsurvey[[#This Row],[phq9_score]]&lt;=4,"Minimal",stdsurvey[[#This Row],[phq9_score]]&lt;=9,"Mild",stdsurvey[[#This Row],[phq9_score]]&lt;=14,"Moderate",stdsurvey[[#This Row],[phq9_score]]&lt;=19,"Moderately Severe",stdsurvey[[#This Row],[phq9_score]]&lt;=27,"Severe")</f>
        <v>Mild</v>
      </c>
      <c r="L225">
        <v>7</v>
      </c>
      <c r="M225" s="4" t="str" cm="1">
        <f t="array" ref="M225">_xlfn.IFS(stdsurvey[[#This Row],[gad7_score]]="","Answer Not Provided",stdsurvey[[#This Row],[gad7_score]]&lt;=4,"Minimal",stdsurvey[[#This Row],[gad7_score]]&lt;=9,"Mild",stdsurvey[[#This Row],[gad7_score]]&lt;=14,"Moderate",stdsurvey[[#This Row],[gad7_score]]&lt;=21,"Severe")</f>
        <v>Minimal</v>
      </c>
      <c r="N225">
        <v>23.5</v>
      </c>
      <c r="O225" s="4" t="str" cm="1">
        <f t="array" ref="O225">_xlfn.IFS(stdsurvey[[#This Row],[perceived_stress_scale]]="","Answer Not Provided",stdsurvey[[#This Row],[perceived_stress_scale]]&lt;=13,"Low Stress",stdsurvey[[#This Row],[perceived_stress_scale]]&lt;=26,"Moderate Stress",stdsurvey[[#This Row],[perceived_stress_scale]]&lt;=40,"High Stress")</f>
        <v>Low Stress</v>
      </c>
      <c r="P225">
        <v>93.8</v>
      </c>
      <c r="Q225">
        <v>3</v>
      </c>
      <c r="R225" s="4" t="str" cm="1">
        <f t="array" ref="R225">_xlfn.IFS(stdsurvey[[#This Row],[class_attendance_percent]]&lt;60,"Less than 0%",stdsurvey[[#This Row],[class_attendance_percent]]&lt;70,"60-70 %",stdsurvey[[#This Row],[class_attendance_percent]]&lt;80, "70-80%",stdsurvey[[#This Row],[class_attendance_percent]]&lt;90,"80-90%",TRUE,"More than 90%")</f>
        <v>More than 90%</v>
      </c>
      <c r="S225" t="s">
        <v>22</v>
      </c>
      <c r="T225">
        <v>3</v>
      </c>
      <c r="U225" t="s">
        <v>23</v>
      </c>
      <c r="V225">
        <v>3.79</v>
      </c>
      <c r="W225" s="4" t="str" cm="1">
        <f t="array" ref="W22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25" s="4" t="str" cm="1">
        <f t="array" ref="X225">_xlfn.IFS(stdsurvey[[#This Row],[daily_sleep_hours]]&lt;4,"&lt; 4 hrs",stdsurvey[[#This Row],[daily_sleep_hours]]&lt;=6,"4-6 hrs",stdsurvey[[#This Row],[daily_sleep_hours]]&lt;=8,"6-8 hrs",TRUE,"&gt; 8 hrs")</f>
        <v>6-8 hrs</v>
      </c>
      <c r="Y225" t="s">
        <v>27</v>
      </c>
    </row>
    <row r="226" spans="1:25" x14ac:dyDescent="0.3">
      <c r="A226" t="s">
        <v>260</v>
      </c>
      <c r="B226">
        <v>22</v>
      </c>
      <c r="C226" t="s">
        <v>27</v>
      </c>
      <c r="D226">
        <v>2</v>
      </c>
      <c r="E226" t="s">
        <v>30</v>
      </c>
      <c r="F226">
        <v>3</v>
      </c>
      <c r="G226">
        <v>4.7</v>
      </c>
      <c r="H226">
        <v>3</v>
      </c>
      <c r="I226">
        <v>7</v>
      </c>
      <c r="J226">
        <v>5</v>
      </c>
      <c r="K226" s="4" t="str" cm="1">
        <f t="array" ref="K226">_xlfn.IFS(stdsurvey[[#This Row],[phq9_score]]="","Answer Not Provided",stdsurvey[[#This Row],[phq9_score]]&lt;=4,"Minimal",stdsurvey[[#This Row],[phq9_score]]&lt;=9,"Mild",stdsurvey[[#This Row],[phq9_score]]&lt;=14,"Moderate",stdsurvey[[#This Row],[phq9_score]]&lt;=19,"Moderately Severe",stdsurvey[[#This Row],[phq9_score]]&lt;=27,"Severe")</f>
        <v>Mild</v>
      </c>
      <c r="L226">
        <v>13</v>
      </c>
      <c r="M226" s="4" t="str" cm="1">
        <f t="array" ref="M226">_xlfn.IFS(stdsurvey[[#This Row],[gad7_score]]="","Answer Not Provided",stdsurvey[[#This Row],[gad7_score]]&lt;=4,"Minimal",stdsurvey[[#This Row],[gad7_score]]&lt;=9,"Mild",stdsurvey[[#This Row],[gad7_score]]&lt;=14,"Moderate",stdsurvey[[#This Row],[gad7_score]]&lt;=21,"Severe")</f>
        <v>Mild</v>
      </c>
      <c r="N226">
        <v>23.2</v>
      </c>
      <c r="O226" s="4" t="str" cm="1">
        <f t="array" ref="O226">_xlfn.IFS(stdsurvey[[#This Row],[perceived_stress_scale]]="","Answer Not Provided",stdsurvey[[#This Row],[perceived_stress_scale]]&lt;=13,"Low Stress",stdsurvey[[#This Row],[perceived_stress_scale]]&lt;=26,"Moderate Stress",stdsurvey[[#This Row],[perceived_stress_scale]]&lt;=40,"High Stress")</f>
        <v>Low Stress</v>
      </c>
      <c r="P226">
        <v>100</v>
      </c>
      <c r="Q226">
        <v>1</v>
      </c>
      <c r="R226" s="4" t="str" cm="1">
        <f t="array" ref="R226">_xlfn.IFS(stdsurvey[[#This Row],[class_attendance_percent]]&lt;60,"Less than 0%",stdsurvey[[#This Row],[class_attendance_percent]]&lt;70,"60-70 %",stdsurvey[[#This Row],[class_attendance_percent]]&lt;80, "70-80%",stdsurvey[[#This Row],[class_attendance_percent]]&lt;90,"80-90%",TRUE,"More than 90%")</f>
        <v>More than 90%</v>
      </c>
      <c r="S226" t="s">
        <v>33</v>
      </c>
      <c r="T226">
        <v>2</v>
      </c>
      <c r="U226" t="s">
        <v>51</v>
      </c>
      <c r="V226">
        <v>3.07</v>
      </c>
      <c r="W226" s="4" t="str" cm="1">
        <f t="array" ref="W22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26" s="4" t="str" cm="1">
        <f t="array" ref="X226">_xlfn.IFS(stdsurvey[[#This Row],[daily_sleep_hours]]&lt;4,"&lt; 4 hrs",stdsurvey[[#This Row],[daily_sleep_hours]]&lt;=6,"4-6 hrs",stdsurvey[[#This Row],[daily_sleep_hours]]&lt;=8,"6-8 hrs",TRUE,"&gt; 8 hrs")</f>
        <v>&lt; 4 hrs</v>
      </c>
      <c r="Y226" t="s">
        <v>27</v>
      </c>
    </row>
    <row r="227" spans="1:25" x14ac:dyDescent="0.3">
      <c r="A227" t="s">
        <v>261</v>
      </c>
      <c r="B227">
        <v>22</v>
      </c>
      <c r="C227" t="s">
        <v>27</v>
      </c>
      <c r="D227">
        <v>3</v>
      </c>
      <c r="E227" t="s">
        <v>49</v>
      </c>
      <c r="F227">
        <v>4.7</v>
      </c>
      <c r="G227">
        <v>2.9</v>
      </c>
      <c r="H227">
        <v>0</v>
      </c>
      <c r="I227">
        <v>21</v>
      </c>
      <c r="J227">
        <v>19</v>
      </c>
      <c r="K227" s="4" t="str" cm="1">
        <f t="array" ref="K227">_xlfn.IFS(stdsurvey[[#This Row],[phq9_score]]="","Answer Not Provided",stdsurvey[[#This Row],[phq9_score]]&lt;=4,"Minimal",stdsurvey[[#This Row],[phq9_score]]&lt;=9,"Mild",stdsurvey[[#This Row],[phq9_score]]&lt;=14,"Moderate",stdsurvey[[#This Row],[phq9_score]]&lt;=19,"Moderately Severe",stdsurvey[[#This Row],[phq9_score]]&lt;=27,"Severe")</f>
        <v>Severe</v>
      </c>
      <c r="L227">
        <v>23</v>
      </c>
      <c r="M227" s="4" t="str" cm="1">
        <f t="array" ref="M227">_xlfn.IFS(stdsurvey[[#This Row],[gad7_score]]="","Answer Not Provided",stdsurvey[[#This Row],[gad7_score]]&lt;=4,"Minimal",stdsurvey[[#This Row],[gad7_score]]&lt;=9,"Mild",stdsurvey[[#This Row],[gad7_score]]&lt;=14,"Moderate",stdsurvey[[#This Row],[gad7_score]]&lt;=21,"Severe")</f>
        <v>Severe</v>
      </c>
      <c r="N227">
        <v>1</v>
      </c>
      <c r="O227" s="4" t="str" cm="1">
        <f t="array" ref="O227">_xlfn.IFS(stdsurvey[[#This Row],[perceived_stress_scale]]="","Answer Not Provided",stdsurvey[[#This Row],[perceived_stress_scale]]&lt;=13,"Low Stress",stdsurvey[[#This Row],[perceived_stress_scale]]&lt;=26,"Moderate Stress",stdsurvey[[#This Row],[perceived_stress_scale]]&lt;=40,"High Stress")</f>
        <v>Moderate Stress</v>
      </c>
      <c r="P227">
        <v>90.8</v>
      </c>
      <c r="Q227">
        <v>4</v>
      </c>
      <c r="R227" s="4" t="str" cm="1">
        <f t="array" ref="R227">_xlfn.IFS(stdsurvey[[#This Row],[class_attendance_percent]]&lt;60,"Less than 0%",stdsurvey[[#This Row],[class_attendance_percent]]&lt;70,"60-70 %",stdsurvey[[#This Row],[class_attendance_percent]]&lt;80, "70-80%",stdsurvey[[#This Row],[class_attendance_percent]]&lt;90,"80-90%",TRUE,"More than 90%")</f>
        <v>More than 90%</v>
      </c>
      <c r="S227" t="s">
        <v>33</v>
      </c>
      <c r="T227">
        <v>3</v>
      </c>
      <c r="U227" t="s">
        <v>26</v>
      </c>
      <c r="V227">
        <v>2.1800000000000002</v>
      </c>
      <c r="W227" s="4" t="str" cm="1">
        <f t="array" ref="W22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27" s="4" t="str" cm="1">
        <f t="array" ref="X227">_xlfn.IFS(stdsurvey[[#This Row],[daily_sleep_hours]]&lt;4,"&lt; 4 hrs",stdsurvey[[#This Row],[daily_sleep_hours]]&lt;=6,"4-6 hrs",stdsurvey[[#This Row],[daily_sleep_hours]]&lt;=8,"6-8 hrs",TRUE,"&gt; 8 hrs")</f>
        <v>4-6 hrs</v>
      </c>
      <c r="Y227" t="s">
        <v>27</v>
      </c>
    </row>
    <row r="228" spans="1:25" x14ac:dyDescent="0.3">
      <c r="A228" t="s">
        <v>262</v>
      </c>
      <c r="B228">
        <v>19</v>
      </c>
      <c r="C228" t="s">
        <v>45</v>
      </c>
      <c r="D228">
        <v>4</v>
      </c>
      <c r="E228" t="s">
        <v>49</v>
      </c>
      <c r="F228">
        <v>8.5</v>
      </c>
      <c r="G228">
        <v>8.3000000000000007</v>
      </c>
      <c r="H228">
        <v>4</v>
      </c>
      <c r="I228">
        <v>7</v>
      </c>
      <c r="J228">
        <v>7</v>
      </c>
      <c r="K228" s="4" t="str" cm="1">
        <f t="array" ref="K228">_xlfn.IFS(stdsurvey[[#This Row],[phq9_score]]="","Answer Not Provided",stdsurvey[[#This Row],[phq9_score]]&lt;=4,"Minimal",stdsurvey[[#This Row],[phq9_score]]&lt;=9,"Mild",stdsurvey[[#This Row],[phq9_score]]&lt;=14,"Moderate",stdsurvey[[#This Row],[phq9_score]]&lt;=19,"Moderately Severe",stdsurvey[[#This Row],[phq9_score]]&lt;=27,"Severe")</f>
        <v>Mild</v>
      </c>
      <c r="L228">
        <v>15</v>
      </c>
      <c r="M228" s="4" t="str" cm="1">
        <f t="array" ref="M228">_xlfn.IFS(stdsurvey[[#This Row],[gad7_score]]="","Answer Not Provided",stdsurvey[[#This Row],[gad7_score]]&lt;=4,"Minimal",stdsurvey[[#This Row],[gad7_score]]&lt;=9,"Mild",stdsurvey[[#This Row],[gad7_score]]&lt;=14,"Moderate",stdsurvey[[#This Row],[gad7_score]]&lt;=21,"Severe")</f>
        <v>Mild</v>
      </c>
      <c r="N228">
        <v>10.1</v>
      </c>
      <c r="O228" s="4" t="str" cm="1">
        <f t="array" ref="O228">_xlfn.IFS(stdsurvey[[#This Row],[perceived_stress_scale]]="","Answer Not Provided",stdsurvey[[#This Row],[perceived_stress_scale]]&lt;=13,"Low Stress",stdsurvey[[#This Row],[perceived_stress_scale]]&lt;=26,"Moderate Stress",stdsurvey[[#This Row],[perceived_stress_scale]]&lt;=40,"High Stress")</f>
        <v>Moderate Stress</v>
      </c>
      <c r="P228">
        <v>87.5</v>
      </c>
      <c r="Q228">
        <v>3</v>
      </c>
      <c r="R228" s="4" t="str" cm="1">
        <f t="array" ref="R228">_xlfn.IFS(stdsurvey[[#This Row],[class_attendance_percent]]&lt;60,"Less than 0%",stdsurvey[[#This Row],[class_attendance_percent]]&lt;70,"60-70 %",stdsurvey[[#This Row],[class_attendance_percent]]&lt;80, "70-80%",stdsurvey[[#This Row],[class_attendance_percent]]&lt;90,"80-90%",TRUE,"More than 90%")</f>
        <v>80-90%</v>
      </c>
      <c r="S228" t="s">
        <v>33</v>
      </c>
      <c r="T228">
        <v>4</v>
      </c>
      <c r="U228" t="s">
        <v>23</v>
      </c>
      <c r="V228">
        <v>2.57</v>
      </c>
      <c r="W228" s="4" t="str" cm="1">
        <f t="array" ref="W22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28" s="4" t="str" cm="1">
        <f t="array" ref="X228">_xlfn.IFS(stdsurvey[[#This Row],[daily_sleep_hours]]&lt;4,"&lt; 4 hrs",stdsurvey[[#This Row],[daily_sleep_hours]]&lt;=6,"4-6 hrs",stdsurvey[[#This Row],[daily_sleep_hours]]&lt;=8,"6-8 hrs",TRUE,"&gt; 8 hrs")</f>
        <v>&gt; 8 hrs</v>
      </c>
      <c r="Y228" t="s">
        <v>20</v>
      </c>
    </row>
    <row r="229" spans="1:25" x14ac:dyDescent="0.3">
      <c r="A229" t="s">
        <v>263</v>
      </c>
      <c r="B229">
        <v>22</v>
      </c>
      <c r="C229" t="s">
        <v>27</v>
      </c>
      <c r="D229">
        <v>5</v>
      </c>
      <c r="E229" t="s">
        <v>49</v>
      </c>
      <c r="F229">
        <v>5</v>
      </c>
      <c r="G229">
        <v>10.4</v>
      </c>
      <c r="H229">
        <v>6</v>
      </c>
      <c r="I229">
        <v>22</v>
      </c>
      <c r="J229">
        <v>14</v>
      </c>
      <c r="K229" s="4" t="str" cm="1">
        <f t="array" ref="K229">_xlfn.IFS(stdsurvey[[#This Row],[phq9_score]]="","Answer Not Provided",stdsurvey[[#This Row],[phq9_score]]&lt;=4,"Minimal",stdsurvey[[#This Row],[phq9_score]]&lt;=9,"Mild",stdsurvey[[#This Row],[phq9_score]]&lt;=14,"Moderate",stdsurvey[[#This Row],[phq9_score]]&lt;=19,"Moderately Severe",stdsurvey[[#This Row],[phq9_score]]&lt;=27,"Severe")</f>
        <v>Severe</v>
      </c>
      <c r="L229">
        <v>26</v>
      </c>
      <c r="M229" s="4" t="str" cm="1">
        <f t="array" ref="M229">_xlfn.IFS(stdsurvey[[#This Row],[gad7_score]]="","Answer Not Provided",stdsurvey[[#This Row],[gad7_score]]&lt;=4,"Minimal",stdsurvey[[#This Row],[gad7_score]]&lt;=9,"Mild",stdsurvey[[#This Row],[gad7_score]]&lt;=14,"Moderate",stdsurvey[[#This Row],[gad7_score]]&lt;=21,"Severe")</f>
        <v>Moderate</v>
      </c>
      <c r="N229">
        <v>19.5</v>
      </c>
      <c r="O229" s="4" t="str" cm="1">
        <f t="array" ref="O229">_xlfn.IFS(stdsurvey[[#This Row],[perceived_stress_scale]]="","Answer Not Provided",stdsurvey[[#This Row],[perceived_stress_scale]]&lt;=13,"Low Stress",stdsurvey[[#This Row],[perceived_stress_scale]]&lt;=26,"Moderate Stress",stdsurvey[[#This Row],[perceived_stress_scale]]&lt;=40,"High Stress")</f>
        <v>Moderate Stress</v>
      </c>
      <c r="P229">
        <v>77</v>
      </c>
      <c r="Q229">
        <v>4</v>
      </c>
      <c r="R229" s="4" t="str" cm="1">
        <f t="array" ref="R229">_xlfn.IFS(stdsurvey[[#This Row],[class_attendance_percent]]&lt;60,"Less than 0%",stdsurvey[[#This Row],[class_attendance_percent]]&lt;70,"60-70 %",stdsurvey[[#This Row],[class_attendance_percent]]&lt;80, "70-80%",stdsurvey[[#This Row],[class_attendance_percent]]&lt;90,"80-90%",TRUE,"More than 90%")</f>
        <v>70-80%</v>
      </c>
      <c r="S229" t="s">
        <v>22</v>
      </c>
      <c r="T229">
        <v>3</v>
      </c>
      <c r="U229" t="s">
        <v>26</v>
      </c>
      <c r="V229">
        <v>2.74</v>
      </c>
      <c r="W229" s="4" t="str" cm="1">
        <f t="array" ref="W22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29" s="4" t="str" cm="1">
        <f t="array" ref="X229">_xlfn.IFS(stdsurvey[[#This Row],[daily_sleep_hours]]&lt;4,"&lt; 4 hrs",stdsurvey[[#This Row],[daily_sleep_hours]]&lt;=6,"4-6 hrs",stdsurvey[[#This Row],[daily_sleep_hours]]&lt;=8,"6-8 hrs",TRUE,"&gt; 8 hrs")</f>
        <v>4-6 hrs</v>
      </c>
      <c r="Y229" t="s">
        <v>27</v>
      </c>
    </row>
    <row r="230" spans="1:25" x14ac:dyDescent="0.3">
      <c r="A230" t="s">
        <v>264</v>
      </c>
      <c r="B230">
        <v>22</v>
      </c>
      <c r="C230" t="s">
        <v>27</v>
      </c>
      <c r="D230">
        <v>2</v>
      </c>
      <c r="E230" t="s">
        <v>30</v>
      </c>
      <c r="F230">
        <v>4.3</v>
      </c>
      <c r="G230">
        <v>2.5</v>
      </c>
      <c r="H230">
        <v>3</v>
      </c>
      <c r="I230">
        <v>3</v>
      </c>
      <c r="J230">
        <v>3</v>
      </c>
      <c r="K230" s="4" t="str" cm="1">
        <f t="array" ref="K230">_xlfn.IFS(stdsurvey[[#This Row],[phq9_score]]="","Answer Not Provided",stdsurvey[[#This Row],[phq9_score]]&lt;=4,"Minimal",stdsurvey[[#This Row],[phq9_score]]&lt;=9,"Mild",stdsurvey[[#This Row],[phq9_score]]&lt;=14,"Moderate",stdsurvey[[#This Row],[phq9_score]]&lt;=19,"Moderately Severe",stdsurvey[[#This Row],[phq9_score]]&lt;=27,"Severe")</f>
        <v>Minimal</v>
      </c>
      <c r="L230">
        <v>9</v>
      </c>
      <c r="M230" s="4" t="str" cm="1">
        <f t="array" ref="M230">_xlfn.IFS(stdsurvey[[#This Row],[gad7_score]]="","Answer Not Provided",stdsurvey[[#This Row],[gad7_score]]&lt;=4,"Minimal",stdsurvey[[#This Row],[gad7_score]]&lt;=9,"Mild",stdsurvey[[#This Row],[gad7_score]]&lt;=14,"Moderate",stdsurvey[[#This Row],[gad7_score]]&lt;=21,"Severe")</f>
        <v>Minimal</v>
      </c>
      <c r="N230">
        <v>11</v>
      </c>
      <c r="O230" s="4" t="str" cm="1">
        <f t="array" ref="O230">_xlfn.IFS(stdsurvey[[#This Row],[perceived_stress_scale]]="","Answer Not Provided",stdsurvey[[#This Row],[perceived_stress_scale]]&lt;=13,"Low Stress",stdsurvey[[#This Row],[perceived_stress_scale]]&lt;=26,"Moderate Stress",stdsurvey[[#This Row],[perceived_stress_scale]]&lt;=40,"High Stress")</f>
        <v>Low Stress</v>
      </c>
      <c r="P230">
        <v>82.8</v>
      </c>
      <c r="Q230">
        <v>3</v>
      </c>
      <c r="R230" s="4" t="str" cm="1">
        <f t="array" ref="R230">_xlfn.IFS(stdsurvey[[#This Row],[class_attendance_percent]]&lt;60,"Less than 0%",stdsurvey[[#This Row],[class_attendance_percent]]&lt;70,"60-70 %",stdsurvey[[#This Row],[class_attendance_percent]]&lt;80, "70-80%",stdsurvey[[#This Row],[class_attendance_percent]]&lt;90,"80-90%",TRUE,"More than 90%")</f>
        <v>80-90%</v>
      </c>
      <c r="S230" t="s">
        <v>22</v>
      </c>
      <c r="T230">
        <v>1</v>
      </c>
      <c r="U230" t="s">
        <v>26</v>
      </c>
      <c r="V230">
        <v>2.58</v>
      </c>
      <c r="W230" s="4" t="str" cm="1">
        <f t="array" ref="W23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30" s="4" t="str" cm="1">
        <f t="array" ref="X230">_xlfn.IFS(stdsurvey[[#This Row],[daily_sleep_hours]]&lt;4,"&lt; 4 hrs",stdsurvey[[#This Row],[daily_sleep_hours]]&lt;=6,"4-6 hrs",stdsurvey[[#This Row],[daily_sleep_hours]]&lt;=8,"6-8 hrs",TRUE,"&gt; 8 hrs")</f>
        <v>4-6 hrs</v>
      </c>
      <c r="Y230" t="s">
        <v>27</v>
      </c>
    </row>
    <row r="231" spans="1:25" x14ac:dyDescent="0.3">
      <c r="A231" t="s">
        <v>265</v>
      </c>
      <c r="B231">
        <v>27</v>
      </c>
      <c r="C231" t="s">
        <v>27</v>
      </c>
      <c r="D231">
        <v>2</v>
      </c>
      <c r="E231" t="s">
        <v>21</v>
      </c>
      <c r="F231">
        <v>7.7</v>
      </c>
      <c r="G231">
        <v>4.4000000000000004</v>
      </c>
      <c r="H231">
        <v>3</v>
      </c>
      <c r="I231">
        <v>6</v>
      </c>
      <c r="J231">
        <v>3</v>
      </c>
      <c r="K231" s="4" t="str" cm="1">
        <f t="array" ref="K231">_xlfn.IFS(stdsurvey[[#This Row],[phq9_score]]="","Answer Not Provided",stdsurvey[[#This Row],[phq9_score]]&lt;=4,"Minimal",stdsurvey[[#This Row],[phq9_score]]&lt;=9,"Mild",stdsurvey[[#This Row],[phq9_score]]&lt;=14,"Moderate",stdsurvey[[#This Row],[phq9_score]]&lt;=19,"Moderately Severe",stdsurvey[[#This Row],[phq9_score]]&lt;=27,"Severe")</f>
        <v>Mild</v>
      </c>
      <c r="L231">
        <v>15</v>
      </c>
      <c r="M231" s="4" t="str" cm="1">
        <f t="array" ref="M231">_xlfn.IFS(stdsurvey[[#This Row],[gad7_score]]="","Answer Not Provided",stdsurvey[[#This Row],[gad7_score]]&lt;=4,"Minimal",stdsurvey[[#This Row],[gad7_score]]&lt;=9,"Mild",stdsurvey[[#This Row],[gad7_score]]&lt;=14,"Moderate",stdsurvey[[#This Row],[gad7_score]]&lt;=21,"Severe")</f>
        <v>Minimal</v>
      </c>
      <c r="N231">
        <v>18</v>
      </c>
      <c r="O231" s="4" t="str" cm="1">
        <f t="array" ref="O231">_xlfn.IFS(stdsurvey[[#This Row],[perceived_stress_scale]]="","Answer Not Provided",stdsurvey[[#This Row],[perceived_stress_scale]]&lt;=13,"Low Stress",stdsurvey[[#This Row],[perceived_stress_scale]]&lt;=26,"Moderate Stress",stdsurvey[[#This Row],[perceived_stress_scale]]&lt;=40,"High Stress")</f>
        <v>Moderate Stress</v>
      </c>
      <c r="P231">
        <v>75.599999999999994</v>
      </c>
      <c r="Q231">
        <v>1</v>
      </c>
      <c r="R231" s="4" t="str" cm="1">
        <f t="array" ref="R231">_xlfn.IFS(stdsurvey[[#This Row],[class_attendance_percent]]&lt;60,"Less than 0%",stdsurvey[[#This Row],[class_attendance_percent]]&lt;70,"60-70 %",stdsurvey[[#This Row],[class_attendance_percent]]&lt;80, "70-80%",stdsurvey[[#This Row],[class_attendance_percent]]&lt;90,"80-90%",TRUE,"More than 90%")</f>
        <v>70-80%</v>
      </c>
      <c r="S231" t="s">
        <v>33</v>
      </c>
      <c r="T231">
        <v>3</v>
      </c>
      <c r="U231" t="s">
        <v>51</v>
      </c>
      <c r="V231">
        <v>3.02</v>
      </c>
      <c r="W231" s="4" t="str" cm="1">
        <f t="array" ref="W23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1" s="4" t="str" cm="1">
        <f t="array" ref="X231">_xlfn.IFS(stdsurvey[[#This Row],[daily_sleep_hours]]&lt;4,"&lt; 4 hrs",stdsurvey[[#This Row],[daily_sleep_hours]]&lt;=6,"4-6 hrs",stdsurvey[[#This Row],[daily_sleep_hours]]&lt;=8,"6-8 hrs",TRUE,"&gt; 8 hrs")</f>
        <v>6-8 hrs</v>
      </c>
      <c r="Y231" t="s">
        <v>27</v>
      </c>
    </row>
    <row r="232" spans="1:25" x14ac:dyDescent="0.3">
      <c r="A232" t="s">
        <v>266</v>
      </c>
      <c r="B232">
        <v>25</v>
      </c>
      <c r="C232" t="s">
        <v>27</v>
      </c>
      <c r="D232">
        <v>2</v>
      </c>
      <c r="E232" t="s">
        <v>21</v>
      </c>
      <c r="F232">
        <v>6.6</v>
      </c>
      <c r="G232">
        <v>1.4</v>
      </c>
      <c r="H232">
        <v>3</v>
      </c>
      <c r="I232">
        <v>1</v>
      </c>
      <c r="J232">
        <v>1</v>
      </c>
      <c r="K232" s="4" t="str" cm="1">
        <f t="array" ref="K232">_xlfn.IFS(stdsurvey[[#This Row],[phq9_score]]="","Answer Not Provided",stdsurvey[[#This Row],[phq9_score]]&lt;=4,"Minimal",stdsurvey[[#This Row],[phq9_score]]&lt;=9,"Mild",stdsurvey[[#This Row],[phq9_score]]&lt;=14,"Moderate",stdsurvey[[#This Row],[phq9_score]]&lt;=19,"Moderately Severe",stdsurvey[[#This Row],[phq9_score]]&lt;=27,"Severe")</f>
        <v>Minimal</v>
      </c>
      <c r="L232">
        <v>5</v>
      </c>
      <c r="M232" s="4" t="str" cm="1">
        <f t="array" ref="M232">_xlfn.IFS(stdsurvey[[#This Row],[gad7_score]]="","Answer Not Provided",stdsurvey[[#This Row],[gad7_score]]&lt;=4,"Minimal",stdsurvey[[#This Row],[gad7_score]]&lt;=9,"Mild",stdsurvey[[#This Row],[gad7_score]]&lt;=14,"Moderate",stdsurvey[[#This Row],[gad7_score]]&lt;=21,"Severe")</f>
        <v>Minimal</v>
      </c>
      <c r="N232">
        <v>20</v>
      </c>
      <c r="O232" s="4" t="str" cm="1">
        <f t="array" ref="O232">_xlfn.IFS(stdsurvey[[#This Row],[perceived_stress_scale]]="","Answer Not Provided",stdsurvey[[#This Row],[perceived_stress_scale]]&lt;=13,"Low Stress",stdsurvey[[#This Row],[perceived_stress_scale]]&lt;=26,"Moderate Stress",stdsurvey[[#This Row],[perceived_stress_scale]]&lt;=40,"High Stress")</f>
        <v>Low Stress</v>
      </c>
      <c r="P232">
        <v>62.7</v>
      </c>
      <c r="Q232">
        <v>2</v>
      </c>
      <c r="R232" s="4" t="str" cm="1">
        <f t="array" ref="R232">_xlfn.IFS(stdsurvey[[#This Row],[class_attendance_percent]]&lt;60,"Less than 0%",stdsurvey[[#This Row],[class_attendance_percent]]&lt;70,"60-70 %",stdsurvey[[#This Row],[class_attendance_percent]]&lt;80, "70-80%",stdsurvey[[#This Row],[class_attendance_percent]]&lt;90,"80-90%",TRUE,"More than 90%")</f>
        <v>60-70 %</v>
      </c>
      <c r="S232" t="s">
        <v>22</v>
      </c>
      <c r="T232">
        <v>3</v>
      </c>
      <c r="U232" t="s">
        <v>51</v>
      </c>
      <c r="V232">
        <v>3.87</v>
      </c>
      <c r="W232" s="4" t="str" cm="1">
        <f t="array" ref="W23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32" s="4" t="str" cm="1">
        <f t="array" ref="X232">_xlfn.IFS(stdsurvey[[#This Row],[daily_sleep_hours]]&lt;4,"&lt; 4 hrs",stdsurvey[[#This Row],[daily_sleep_hours]]&lt;=6,"4-6 hrs",stdsurvey[[#This Row],[daily_sleep_hours]]&lt;=8,"6-8 hrs",TRUE,"&gt; 8 hrs")</f>
        <v>6-8 hrs</v>
      </c>
      <c r="Y232" t="s">
        <v>27</v>
      </c>
    </row>
    <row r="233" spans="1:25" x14ac:dyDescent="0.3">
      <c r="A233" t="s">
        <v>267</v>
      </c>
      <c r="B233">
        <v>20</v>
      </c>
      <c r="C233" t="s">
        <v>20</v>
      </c>
      <c r="D233">
        <v>3</v>
      </c>
      <c r="E233" t="s">
        <v>30</v>
      </c>
      <c r="F233">
        <v>7.5</v>
      </c>
      <c r="G233">
        <v>5.2</v>
      </c>
      <c r="H233">
        <v>2</v>
      </c>
      <c r="I233">
        <v>7</v>
      </c>
      <c r="J233">
        <v>9</v>
      </c>
      <c r="K233" s="4" t="str" cm="1">
        <f t="array" ref="K233">_xlfn.IFS(stdsurvey[[#This Row],[phq9_score]]="","Answer Not Provided",stdsurvey[[#This Row],[phq9_score]]&lt;=4,"Minimal",stdsurvey[[#This Row],[phq9_score]]&lt;=9,"Mild",stdsurvey[[#This Row],[phq9_score]]&lt;=14,"Moderate",stdsurvey[[#This Row],[phq9_score]]&lt;=19,"Moderately Severe",stdsurvey[[#This Row],[phq9_score]]&lt;=27,"Severe")</f>
        <v>Mild</v>
      </c>
      <c r="L233">
        <v>11</v>
      </c>
      <c r="M233" s="4" t="str" cm="1">
        <f t="array" ref="M233">_xlfn.IFS(stdsurvey[[#This Row],[gad7_score]]="","Answer Not Provided",stdsurvey[[#This Row],[gad7_score]]&lt;=4,"Minimal",stdsurvey[[#This Row],[gad7_score]]&lt;=9,"Mild",stdsurvey[[#This Row],[gad7_score]]&lt;=14,"Moderate",stdsurvey[[#This Row],[gad7_score]]&lt;=21,"Severe")</f>
        <v>Mild</v>
      </c>
      <c r="N233">
        <v>33.700000000000003</v>
      </c>
      <c r="O233" s="4" t="str" cm="1">
        <f t="array" ref="O233">_xlfn.IFS(stdsurvey[[#This Row],[perceived_stress_scale]]="","Answer Not Provided",stdsurvey[[#This Row],[perceived_stress_scale]]&lt;=13,"Low Stress",stdsurvey[[#This Row],[perceived_stress_scale]]&lt;=26,"Moderate Stress",stdsurvey[[#This Row],[perceived_stress_scale]]&lt;=40,"High Stress")</f>
        <v>Low Stress</v>
      </c>
      <c r="P233">
        <v>70.3</v>
      </c>
      <c r="Q233">
        <v>5</v>
      </c>
      <c r="R233" s="4" t="str" cm="1">
        <f t="array" ref="R233">_xlfn.IFS(stdsurvey[[#This Row],[class_attendance_percent]]&lt;60,"Less than 0%",stdsurvey[[#This Row],[class_attendance_percent]]&lt;70,"60-70 %",stdsurvey[[#This Row],[class_attendance_percent]]&lt;80, "70-80%",stdsurvey[[#This Row],[class_attendance_percent]]&lt;90,"80-90%",TRUE,"More than 90%")</f>
        <v>70-80%</v>
      </c>
      <c r="S233" t="s">
        <v>22</v>
      </c>
      <c r="T233">
        <v>3</v>
      </c>
      <c r="U233" t="s">
        <v>26</v>
      </c>
      <c r="V233">
        <v>3.26</v>
      </c>
      <c r="W233" s="4" t="str" cm="1">
        <f t="array" ref="W23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3" s="4" t="str" cm="1">
        <f t="array" ref="X233">_xlfn.IFS(stdsurvey[[#This Row],[daily_sleep_hours]]&lt;4,"&lt; 4 hrs",stdsurvey[[#This Row],[daily_sleep_hours]]&lt;=6,"4-6 hrs",stdsurvey[[#This Row],[daily_sleep_hours]]&lt;=8,"6-8 hrs",TRUE,"&gt; 8 hrs")</f>
        <v>6-8 hrs</v>
      </c>
      <c r="Y233" t="s">
        <v>20</v>
      </c>
    </row>
    <row r="234" spans="1:25" x14ac:dyDescent="0.3">
      <c r="A234" t="s">
        <v>268</v>
      </c>
      <c r="B234">
        <v>21</v>
      </c>
      <c r="C234" t="s">
        <v>27</v>
      </c>
      <c r="D234">
        <v>2</v>
      </c>
      <c r="E234" t="s">
        <v>30</v>
      </c>
      <c r="F234">
        <v>6</v>
      </c>
      <c r="G234">
        <v>6.2</v>
      </c>
      <c r="H234">
        <v>1</v>
      </c>
      <c r="I234">
        <v>10</v>
      </c>
      <c r="J234">
        <v>8</v>
      </c>
      <c r="K234" s="4" t="str" cm="1">
        <f t="array" ref="K234">_xlfn.IFS(stdsurvey[[#This Row],[phq9_score]]="","Answer Not Provided",stdsurvey[[#This Row],[phq9_score]]&lt;=4,"Minimal",stdsurvey[[#This Row],[phq9_score]]&lt;=9,"Mild",stdsurvey[[#This Row],[phq9_score]]&lt;=14,"Moderate",stdsurvey[[#This Row],[phq9_score]]&lt;=19,"Moderately Severe",stdsurvey[[#This Row],[phq9_score]]&lt;=27,"Severe")</f>
        <v>Moderate</v>
      </c>
      <c r="L234">
        <v>14</v>
      </c>
      <c r="M234" s="4" t="str" cm="1">
        <f t="array" ref="M234">_xlfn.IFS(stdsurvey[[#This Row],[gad7_score]]="","Answer Not Provided",stdsurvey[[#This Row],[gad7_score]]&lt;=4,"Minimal",stdsurvey[[#This Row],[gad7_score]]&lt;=9,"Mild",stdsurvey[[#This Row],[gad7_score]]&lt;=14,"Moderate",stdsurvey[[#This Row],[gad7_score]]&lt;=21,"Severe")</f>
        <v>Mild</v>
      </c>
      <c r="N234">
        <v>14.3</v>
      </c>
      <c r="O234" s="4" t="str" cm="1">
        <f t="array" ref="O234">_xlfn.IFS(stdsurvey[[#This Row],[perceived_stress_scale]]="","Answer Not Provided",stdsurvey[[#This Row],[perceived_stress_scale]]&lt;=13,"Low Stress",stdsurvey[[#This Row],[perceived_stress_scale]]&lt;=26,"Moderate Stress",stdsurvey[[#This Row],[perceived_stress_scale]]&lt;=40,"High Stress")</f>
        <v>Moderate Stress</v>
      </c>
      <c r="P234">
        <v>75.3</v>
      </c>
      <c r="Q234">
        <v>1</v>
      </c>
      <c r="R234" s="4" t="str" cm="1">
        <f t="array" ref="R234">_xlfn.IFS(stdsurvey[[#This Row],[class_attendance_percent]]&lt;60,"Less than 0%",stdsurvey[[#This Row],[class_attendance_percent]]&lt;70,"60-70 %",stdsurvey[[#This Row],[class_attendance_percent]]&lt;80, "70-80%",stdsurvey[[#This Row],[class_attendance_percent]]&lt;90,"80-90%",TRUE,"More than 90%")</f>
        <v>70-80%</v>
      </c>
      <c r="S234" t="s">
        <v>22</v>
      </c>
      <c r="T234">
        <v>1</v>
      </c>
      <c r="U234" t="s">
        <v>26</v>
      </c>
      <c r="V234">
        <v>2.75</v>
      </c>
      <c r="W234" s="4" t="str" cm="1">
        <f t="array" ref="W23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4" s="4" t="str" cm="1">
        <f t="array" ref="X234">_xlfn.IFS(stdsurvey[[#This Row],[daily_sleep_hours]]&lt;4,"&lt; 4 hrs",stdsurvey[[#This Row],[daily_sleep_hours]]&lt;=6,"4-6 hrs",stdsurvey[[#This Row],[daily_sleep_hours]]&lt;=8,"6-8 hrs",TRUE,"&gt; 8 hrs")</f>
        <v>4-6 hrs</v>
      </c>
      <c r="Y234" t="s">
        <v>27</v>
      </c>
    </row>
    <row r="235" spans="1:25" x14ac:dyDescent="0.3">
      <c r="A235" t="s">
        <v>269</v>
      </c>
      <c r="B235">
        <v>18</v>
      </c>
      <c r="C235" t="s">
        <v>20</v>
      </c>
      <c r="D235">
        <v>3</v>
      </c>
      <c r="E235" t="s">
        <v>21</v>
      </c>
      <c r="F235">
        <v>6.7</v>
      </c>
      <c r="G235">
        <v>5.5</v>
      </c>
      <c r="H235">
        <v>3</v>
      </c>
      <c r="I235">
        <v>4</v>
      </c>
      <c r="J235">
        <v>8</v>
      </c>
      <c r="K235" s="4" t="str" cm="1">
        <f t="array" ref="K235">_xlfn.IFS(stdsurvey[[#This Row],[phq9_score]]="","Answer Not Provided",stdsurvey[[#This Row],[phq9_score]]&lt;=4,"Minimal",stdsurvey[[#This Row],[phq9_score]]&lt;=9,"Mild",stdsurvey[[#This Row],[phq9_score]]&lt;=14,"Moderate",stdsurvey[[#This Row],[phq9_score]]&lt;=19,"Moderately Severe",stdsurvey[[#This Row],[phq9_score]]&lt;=27,"Severe")</f>
        <v>Minimal</v>
      </c>
      <c r="L235">
        <v>10</v>
      </c>
      <c r="M235" s="4" t="str" cm="1">
        <f t="array" ref="M235">_xlfn.IFS(stdsurvey[[#This Row],[gad7_score]]="","Answer Not Provided",stdsurvey[[#This Row],[gad7_score]]&lt;=4,"Minimal",stdsurvey[[#This Row],[gad7_score]]&lt;=9,"Mild",stdsurvey[[#This Row],[gad7_score]]&lt;=14,"Moderate",stdsurvey[[#This Row],[gad7_score]]&lt;=21,"Severe")</f>
        <v>Mild</v>
      </c>
      <c r="N235">
        <v>14.4</v>
      </c>
      <c r="O235" s="4" t="str" cm="1">
        <f t="array" ref="O235">_xlfn.IFS(stdsurvey[[#This Row],[perceived_stress_scale]]="","Answer Not Provided",stdsurvey[[#This Row],[perceived_stress_scale]]&lt;=13,"Low Stress",stdsurvey[[#This Row],[perceived_stress_scale]]&lt;=26,"Moderate Stress",stdsurvey[[#This Row],[perceived_stress_scale]]&lt;=40,"High Stress")</f>
        <v>Low Stress</v>
      </c>
      <c r="P235">
        <v>77.2</v>
      </c>
      <c r="Q235">
        <v>4</v>
      </c>
      <c r="R235" s="4" t="str" cm="1">
        <f t="array" ref="R235">_xlfn.IFS(stdsurvey[[#This Row],[class_attendance_percent]]&lt;60,"Less than 0%",stdsurvey[[#This Row],[class_attendance_percent]]&lt;70,"60-70 %",stdsurvey[[#This Row],[class_attendance_percent]]&lt;80, "70-80%",stdsurvey[[#This Row],[class_attendance_percent]]&lt;90,"80-90%",TRUE,"More than 90%")</f>
        <v>70-80%</v>
      </c>
      <c r="S235" t="s">
        <v>22</v>
      </c>
      <c r="T235">
        <v>5</v>
      </c>
      <c r="U235" t="s">
        <v>23</v>
      </c>
      <c r="V235">
        <v>3.15</v>
      </c>
      <c r="W235" s="4" t="str" cm="1">
        <f t="array" ref="W23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5" s="4" t="str" cm="1">
        <f t="array" ref="X235">_xlfn.IFS(stdsurvey[[#This Row],[daily_sleep_hours]]&lt;4,"&lt; 4 hrs",stdsurvey[[#This Row],[daily_sleep_hours]]&lt;=6,"4-6 hrs",stdsurvey[[#This Row],[daily_sleep_hours]]&lt;=8,"6-8 hrs",TRUE,"&gt; 8 hrs")</f>
        <v>6-8 hrs</v>
      </c>
      <c r="Y235" t="s">
        <v>20</v>
      </c>
    </row>
    <row r="236" spans="1:25" x14ac:dyDescent="0.3">
      <c r="A236" t="s">
        <v>270</v>
      </c>
      <c r="B236">
        <v>20</v>
      </c>
      <c r="C236" t="s">
        <v>20</v>
      </c>
      <c r="D236">
        <v>3</v>
      </c>
      <c r="E236" t="s">
        <v>49</v>
      </c>
      <c r="F236">
        <v>6.6</v>
      </c>
      <c r="G236">
        <v>5.9</v>
      </c>
      <c r="H236">
        <v>0</v>
      </c>
      <c r="I236">
        <v>3</v>
      </c>
      <c r="J236">
        <v>4</v>
      </c>
      <c r="K236" s="4" t="str" cm="1">
        <f t="array" ref="K236">_xlfn.IFS(stdsurvey[[#This Row],[phq9_score]]="","Answer Not Provided",stdsurvey[[#This Row],[phq9_score]]&lt;=4,"Minimal",stdsurvey[[#This Row],[phq9_score]]&lt;=9,"Mild",stdsurvey[[#This Row],[phq9_score]]&lt;=14,"Moderate",stdsurvey[[#This Row],[phq9_score]]&lt;=19,"Moderately Severe",stdsurvey[[#This Row],[phq9_score]]&lt;=27,"Severe")</f>
        <v>Minimal</v>
      </c>
      <c r="L236">
        <v>8</v>
      </c>
      <c r="M236" s="4" t="str" cm="1">
        <f t="array" ref="M236">_xlfn.IFS(stdsurvey[[#This Row],[gad7_score]]="","Answer Not Provided",stdsurvey[[#This Row],[gad7_score]]&lt;=4,"Minimal",stdsurvey[[#This Row],[gad7_score]]&lt;=9,"Mild",stdsurvey[[#This Row],[gad7_score]]&lt;=14,"Moderate",stdsurvey[[#This Row],[gad7_score]]&lt;=21,"Severe")</f>
        <v>Minimal</v>
      </c>
      <c r="N236">
        <v>18.2</v>
      </c>
      <c r="O236" s="4" t="str" cm="1">
        <f t="array" ref="O236">_xlfn.IFS(stdsurvey[[#This Row],[perceived_stress_scale]]="","Answer Not Provided",stdsurvey[[#This Row],[perceived_stress_scale]]&lt;=13,"Low Stress",stdsurvey[[#This Row],[perceived_stress_scale]]&lt;=26,"Moderate Stress",stdsurvey[[#This Row],[perceived_stress_scale]]&lt;=40,"High Stress")</f>
        <v>Low Stress</v>
      </c>
      <c r="P236">
        <v>58</v>
      </c>
      <c r="Q236">
        <v>3</v>
      </c>
      <c r="R236" s="4" t="str" cm="1">
        <f t="array" ref="R236">_xlfn.IFS(stdsurvey[[#This Row],[class_attendance_percent]]&lt;60,"Less than 0%",stdsurvey[[#This Row],[class_attendance_percent]]&lt;70,"60-70 %",stdsurvey[[#This Row],[class_attendance_percent]]&lt;80, "70-80%",stdsurvey[[#This Row],[class_attendance_percent]]&lt;90,"80-90%",TRUE,"More than 90%")</f>
        <v>Less than 0%</v>
      </c>
      <c r="S236" t="s">
        <v>22</v>
      </c>
      <c r="T236">
        <v>2</v>
      </c>
      <c r="U236" t="s">
        <v>26</v>
      </c>
      <c r="V236">
        <v>2.87</v>
      </c>
      <c r="W236" s="4" t="str" cm="1">
        <f t="array" ref="W23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6" s="4" t="str" cm="1">
        <f t="array" ref="X236">_xlfn.IFS(stdsurvey[[#This Row],[daily_sleep_hours]]&lt;4,"&lt; 4 hrs",stdsurvey[[#This Row],[daily_sleep_hours]]&lt;=6,"4-6 hrs",stdsurvey[[#This Row],[daily_sleep_hours]]&lt;=8,"6-8 hrs",TRUE,"&gt; 8 hrs")</f>
        <v>6-8 hrs</v>
      </c>
      <c r="Y236" t="s">
        <v>20</v>
      </c>
    </row>
    <row r="237" spans="1:25" x14ac:dyDescent="0.3">
      <c r="A237" t="s">
        <v>271</v>
      </c>
      <c r="B237">
        <v>22</v>
      </c>
      <c r="C237" t="s">
        <v>25</v>
      </c>
      <c r="D237">
        <v>2</v>
      </c>
      <c r="E237" t="s">
        <v>30</v>
      </c>
      <c r="F237">
        <v>7.7</v>
      </c>
      <c r="G237">
        <v>4.0999999999999996</v>
      </c>
      <c r="H237">
        <v>4</v>
      </c>
      <c r="I237">
        <v>8</v>
      </c>
      <c r="J237">
        <v>7</v>
      </c>
      <c r="K237" s="4" t="str" cm="1">
        <f t="array" ref="K237">_xlfn.IFS(stdsurvey[[#This Row],[phq9_score]]="","Answer Not Provided",stdsurvey[[#This Row],[phq9_score]]&lt;=4,"Minimal",stdsurvey[[#This Row],[phq9_score]]&lt;=9,"Mild",stdsurvey[[#This Row],[phq9_score]]&lt;=14,"Moderate",stdsurvey[[#This Row],[phq9_score]]&lt;=19,"Moderately Severe",stdsurvey[[#This Row],[phq9_score]]&lt;=27,"Severe")</f>
        <v>Mild</v>
      </c>
      <c r="L237">
        <v>11</v>
      </c>
      <c r="M237" s="4" t="str" cm="1">
        <f t="array" ref="M237">_xlfn.IFS(stdsurvey[[#This Row],[gad7_score]]="","Answer Not Provided",stdsurvey[[#This Row],[gad7_score]]&lt;=4,"Minimal",stdsurvey[[#This Row],[gad7_score]]&lt;=9,"Mild",stdsurvey[[#This Row],[gad7_score]]&lt;=14,"Moderate",stdsurvey[[#This Row],[gad7_score]]&lt;=21,"Severe")</f>
        <v>Mild</v>
      </c>
      <c r="N237">
        <v>20.100000000000001</v>
      </c>
      <c r="O237" s="4" t="str" cm="1">
        <f t="array" ref="O237">_xlfn.IFS(stdsurvey[[#This Row],[perceived_stress_scale]]="","Answer Not Provided",stdsurvey[[#This Row],[perceived_stress_scale]]&lt;=13,"Low Stress",stdsurvey[[#This Row],[perceived_stress_scale]]&lt;=26,"Moderate Stress",stdsurvey[[#This Row],[perceived_stress_scale]]&lt;=40,"High Stress")</f>
        <v>Low Stress</v>
      </c>
      <c r="P237">
        <v>80.3</v>
      </c>
      <c r="Q237">
        <v>3</v>
      </c>
      <c r="R237" s="4" t="str" cm="1">
        <f t="array" ref="R237">_xlfn.IFS(stdsurvey[[#This Row],[class_attendance_percent]]&lt;60,"Less than 0%",stdsurvey[[#This Row],[class_attendance_percent]]&lt;70,"60-70 %",stdsurvey[[#This Row],[class_attendance_percent]]&lt;80, "70-80%",stdsurvey[[#This Row],[class_attendance_percent]]&lt;90,"80-90%",TRUE,"More than 90%")</f>
        <v>80-90%</v>
      </c>
      <c r="S237" t="s">
        <v>33</v>
      </c>
      <c r="T237">
        <v>2</v>
      </c>
      <c r="U237" t="s">
        <v>23</v>
      </c>
      <c r="V237">
        <v>2.8</v>
      </c>
      <c r="W237" s="4" t="str" cm="1">
        <f t="array" ref="W23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7" s="4" t="str" cm="1">
        <f t="array" ref="X237">_xlfn.IFS(stdsurvey[[#This Row],[daily_sleep_hours]]&lt;4,"&lt; 4 hrs",stdsurvey[[#This Row],[daily_sleep_hours]]&lt;=6,"4-6 hrs",stdsurvey[[#This Row],[daily_sleep_hours]]&lt;=8,"6-8 hrs",TRUE,"&gt; 8 hrs")</f>
        <v>6-8 hrs</v>
      </c>
      <c r="Y237" t="s">
        <v>27</v>
      </c>
    </row>
    <row r="238" spans="1:25" x14ac:dyDescent="0.3">
      <c r="A238" t="s">
        <v>272</v>
      </c>
      <c r="B238">
        <v>24</v>
      </c>
      <c r="C238" t="s">
        <v>27</v>
      </c>
      <c r="D238">
        <v>2</v>
      </c>
      <c r="E238" t="s">
        <v>47</v>
      </c>
      <c r="F238">
        <v>9.1</v>
      </c>
      <c r="G238">
        <v>4.0999999999999996</v>
      </c>
      <c r="H238">
        <v>2</v>
      </c>
      <c r="I238">
        <v>2</v>
      </c>
      <c r="J238">
        <v>5</v>
      </c>
      <c r="K238" s="4" t="str" cm="1">
        <f t="array" ref="K238">_xlfn.IFS(stdsurvey[[#This Row],[phq9_score]]="","Answer Not Provided",stdsurvey[[#This Row],[phq9_score]]&lt;=4,"Minimal",stdsurvey[[#This Row],[phq9_score]]&lt;=9,"Mild",stdsurvey[[#This Row],[phq9_score]]&lt;=14,"Moderate",stdsurvey[[#This Row],[phq9_score]]&lt;=19,"Moderately Severe",stdsurvey[[#This Row],[phq9_score]]&lt;=27,"Severe")</f>
        <v>Minimal</v>
      </c>
      <c r="L238">
        <v>2</v>
      </c>
      <c r="M238" s="4" t="str" cm="1">
        <f t="array" ref="M238">_xlfn.IFS(stdsurvey[[#This Row],[gad7_score]]="","Answer Not Provided",stdsurvey[[#This Row],[gad7_score]]&lt;=4,"Minimal",stdsurvey[[#This Row],[gad7_score]]&lt;=9,"Mild",stdsurvey[[#This Row],[gad7_score]]&lt;=14,"Moderate",stdsurvey[[#This Row],[gad7_score]]&lt;=21,"Severe")</f>
        <v>Mild</v>
      </c>
      <c r="N238">
        <v>20</v>
      </c>
      <c r="O238" s="4" t="str" cm="1">
        <f t="array" ref="O238">_xlfn.IFS(stdsurvey[[#This Row],[perceived_stress_scale]]="","Answer Not Provided",stdsurvey[[#This Row],[perceived_stress_scale]]&lt;=13,"Low Stress",stdsurvey[[#This Row],[perceived_stress_scale]]&lt;=26,"Moderate Stress",stdsurvey[[#This Row],[perceived_stress_scale]]&lt;=40,"High Stress")</f>
        <v>Low Stress</v>
      </c>
      <c r="P238">
        <v>79</v>
      </c>
      <c r="Q238">
        <v>3</v>
      </c>
      <c r="R238" s="4" t="str" cm="1">
        <f t="array" ref="R238">_xlfn.IFS(stdsurvey[[#This Row],[class_attendance_percent]]&lt;60,"Less than 0%",stdsurvey[[#This Row],[class_attendance_percent]]&lt;70,"60-70 %",stdsurvey[[#This Row],[class_attendance_percent]]&lt;80, "70-80%",stdsurvey[[#This Row],[class_attendance_percent]]&lt;90,"80-90%",TRUE,"More than 90%")</f>
        <v>70-80%</v>
      </c>
      <c r="S238" t="s">
        <v>33</v>
      </c>
      <c r="T238">
        <v>2</v>
      </c>
      <c r="U238" t="s">
        <v>23</v>
      </c>
      <c r="V238">
        <v>3.52</v>
      </c>
      <c r="W238" s="4" t="str" cm="1">
        <f t="array" ref="W23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8" s="4" t="str" cm="1">
        <f t="array" ref="X238">_xlfn.IFS(stdsurvey[[#This Row],[daily_sleep_hours]]&lt;4,"&lt; 4 hrs",stdsurvey[[#This Row],[daily_sleep_hours]]&lt;=6,"4-6 hrs",stdsurvey[[#This Row],[daily_sleep_hours]]&lt;=8,"6-8 hrs",TRUE,"&gt; 8 hrs")</f>
        <v>&gt; 8 hrs</v>
      </c>
      <c r="Y238" t="s">
        <v>27</v>
      </c>
    </row>
    <row r="239" spans="1:25" x14ac:dyDescent="0.3">
      <c r="A239" t="s">
        <v>273</v>
      </c>
      <c r="B239">
        <v>20</v>
      </c>
      <c r="C239" t="s">
        <v>25</v>
      </c>
      <c r="D239">
        <v>2</v>
      </c>
      <c r="E239" t="s">
        <v>32</v>
      </c>
      <c r="F239">
        <v>6.8</v>
      </c>
      <c r="G239">
        <v>4</v>
      </c>
      <c r="H239">
        <v>2</v>
      </c>
      <c r="I239">
        <v>1</v>
      </c>
      <c r="J239">
        <v>0</v>
      </c>
      <c r="K239" s="4" t="str" cm="1">
        <f t="array" ref="K239">_xlfn.IFS(stdsurvey[[#This Row],[phq9_score]]="","Answer Not Provided",stdsurvey[[#This Row],[phq9_score]]&lt;=4,"Minimal",stdsurvey[[#This Row],[phq9_score]]&lt;=9,"Mild",stdsurvey[[#This Row],[phq9_score]]&lt;=14,"Moderate",stdsurvey[[#This Row],[phq9_score]]&lt;=19,"Moderately Severe",stdsurvey[[#This Row],[phq9_score]]&lt;=27,"Severe")</f>
        <v>Minimal</v>
      </c>
      <c r="L239">
        <v>4</v>
      </c>
      <c r="M239" s="4" t="str" cm="1">
        <f t="array" ref="M239">_xlfn.IFS(stdsurvey[[#This Row],[gad7_score]]="","Answer Not Provided",stdsurvey[[#This Row],[gad7_score]]&lt;=4,"Minimal",stdsurvey[[#This Row],[gad7_score]]&lt;=9,"Mild",stdsurvey[[#This Row],[gad7_score]]&lt;=14,"Moderate",stdsurvey[[#This Row],[gad7_score]]&lt;=21,"Severe")</f>
        <v>Minimal</v>
      </c>
      <c r="N239">
        <v>25.2</v>
      </c>
      <c r="O239" s="4" t="str" cm="1">
        <f t="array" ref="O239">_xlfn.IFS(stdsurvey[[#This Row],[perceived_stress_scale]]="","Answer Not Provided",stdsurvey[[#This Row],[perceived_stress_scale]]&lt;=13,"Low Stress",stdsurvey[[#This Row],[perceived_stress_scale]]&lt;=26,"Moderate Stress",stdsurvey[[#This Row],[perceived_stress_scale]]&lt;=40,"High Stress")</f>
        <v>Low Stress</v>
      </c>
      <c r="P239">
        <v>66.5</v>
      </c>
      <c r="Q239">
        <v>3</v>
      </c>
      <c r="R239" s="4" t="str" cm="1">
        <f t="array" ref="R239">_xlfn.IFS(stdsurvey[[#This Row],[class_attendance_percent]]&lt;60,"Less than 0%",stdsurvey[[#This Row],[class_attendance_percent]]&lt;70,"60-70 %",stdsurvey[[#This Row],[class_attendance_percent]]&lt;80, "70-80%",stdsurvey[[#This Row],[class_attendance_percent]]&lt;90,"80-90%",TRUE,"More than 90%")</f>
        <v>60-70 %</v>
      </c>
      <c r="S239" t="s">
        <v>22</v>
      </c>
      <c r="T239">
        <v>3</v>
      </c>
      <c r="U239" t="s">
        <v>26</v>
      </c>
      <c r="V239">
        <v>3.48</v>
      </c>
      <c r="W239" s="4" t="str" cm="1">
        <f t="array" ref="W23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39" s="4" t="str" cm="1">
        <f t="array" ref="X239">_xlfn.IFS(stdsurvey[[#This Row],[daily_sleep_hours]]&lt;4,"&lt; 4 hrs",stdsurvey[[#This Row],[daily_sleep_hours]]&lt;=6,"4-6 hrs",stdsurvey[[#This Row],[daily_sleep_hours]]&lt;=8,"6-8 hrs",TRUE,"&gt; 8 hrs")</f>
        <v>6-8 hrs</v>
      </c>
      <c r="Y239" t="s">
        <v>27</v>
      </c>
    </row>
    <row r="240" spans="1:25" x14ac:dyDescent="0.3">
      <c r="A240" t="s">
        <v>274</v>
      </c>
      <c r="B240">
        <v>20</v>
      </c>
      <c r="C240" t="s">
        <v>20</v>
      </c>
      <c r="D240">
        <v>1</v>
      </c>
      <c r="E240" t="s">
        <v>49</v>
      </c>
      <c r="F240">
        <v>4.5</v>
      </c>
      <c r="G240">
        <v>3</v>
      </c>
      <c r="H240">
        <v>2</v>
      </c>
      <c r="I240">
        <v>8</v>
      </c>
      <c r="J240">
        <v>8</v>
      </c>
      <c r="K240" s="4" t="str" cm="1">
        <f t="array" ref="K240">_xlfn.IFS(stdsurvey[[#This Row],[phq9_score]]="","Answer Not Provided",stdsurvey[[#This Row],[phq9_score]]&lt;=4,"Minimal",stdsurvey[[#This Row],[phq9_score]]&lt;=9,"Mild",stdsurvey[[#This Row],[phq9_score]]&lt;=14,"Moderate",stdsurvey[[#This Row],[phq9_score]]&lt;=19,"Moderately Severe",stdsurvey[[#This Row],[phq9_score]]&lt;=27,"Severe")</f>
        <v>Mild</v>
      </c>
      <c r="L240">
        <v>15</v>
      </c>
      <c r="M240" s="4" t="str" cm="1">
        <f t="array" ref="M240">_xlfn.IFS(stdsurvey[[#This Row],[gad7_score]]="","Answer Not Provided",stdsurvey[[#This Row],[gad7_score]]&lt;=4,"Minimal",stdsurvey[[#This Row],[gad7_score]]&lt;=9,"Mild",stdsurvey[[#This Row],[gad7_score]]&lt;=14,"Moderate",stdsurvey[[#This Row],[gad7_score]]&lt;=21,"Severe")</f>
        <v>Mild</v>
      </c>
      <c r="N240">
        <v>9.5</v>
      </c>
      <c r="O240" s="4" t="str" cm="1">
        <f t="array" ref="O240">_xlfn.IFS(stdsurvey[[#This Row],[perceived_stress_scale]]="","Answer Not Provided",stdsurvey[[#This Row],[perceived_stress_scale]]&lt;=13,"Low Stress",stdsurvey[[#This Row],[perceived_stress_scale]]&lt;=26,"Moderate Stress",stdsurvey[[#This Row],[perceived_stress_scale]]&lt;=40,"High Stress")</f>
        <v>Moderate Stress</v>
      </c>
      <c r="P240">
        <v>79.5</v>
      </c>
      <c r="Q240">
        <v>4</v>
      </c>
      <c r="R240" s="4" t="str" cm="1">
        <f t="array" ref="R240">_xlfn.IFS(stdsurvey[[#This Row],[class_attendance_percent]]&lt;60,"Less than 0%",stdsurvey[[#This Row],[class_attendance_percent]]&lt;70,"60-70 %",stdsurvey[[#This Row],[class_attendance_percent]]&lt;80, "70-80%",stdsurvey[[#This Row],[class_attendance_percent]]&lt;90,"80-90%",TRUE,"More than 90%")</f>
        <v>70-80%</v>
      </c>
      <c r="S240" t="s">
        <v>22</v>
      </c>
      <c r="T240">
        <v>3</v>
      </c>
      <c r="U240" t="s">
        <v>26</v>
      </c>
      <c r="V240">
        <v>2.77</v>
      </c>
      <c r="W240" s="4" t="str" cm="1">
        <f t="array" ref="W24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0" s="4" t="str" cm="1">
        <f t="array" ref="X240">_xlfn.IFS(stdsurvey[[#This Row],[daily_sleep_hours]]&lt;4,"&lt; 4 hrs",stdsurvey[[#This Row],[daily_sleep_hours]]&lt;=6,"4-6 hrs",stdsurvey[[#This Row],[daily_sleep_hours]]&lt;=8,"6-8 hrs",TRUE,"&gt; 8 hrs")</f>
        <v>4-6 hrs</v>
      </c>
      <c r="Y240" t="s">
        <v>20</v>
      </c>
    </row>
    <row r="241" spans="1:25" x14ac:dyDescent="0.3">
      <c r="A241" t="s">
        <v>275</v>
      </c>
      <c r="B241">
        <v>17</v>
      </c>
      <c r="C241" t="s">
        <v>27</v>
      </c>
      <c r="D241">
        <v>1</v>
      </c>
      <c r="E241" t="s">
        <v>21</v>
      </c>
      <c r="F241">
        <v>7.8</v>
      </c>
      <c r="G241">
        <v>3.3</v>
      </c>
      <c r="H241">
        <v>6</v>
      </c>
      <c r="I241">
        <v>9</v>
      </c>
      <c r="J241">
        <v>8</v>
      </c>
      <c r="K241" s="4" t="str" cm="1">
        <f t="array" ref="K241">_xlfn.IFS(stdsurvey[[#This Row],[phq9_score]]="","Answer Not Provided",stdsurvey[[#This Row],[phq9_score]]&lt;=4,"Minimal",stdsurvey[[#This Row],[phq9_score]]&lt;=9,"Mild",stdsurvey[[#This Row],[phq9_score]]&lt;=14,"Moderate",stdsurvey[[#This Row],[phq9_score]]&lt;=19,"Moderately Severe",stdsurvey[[#This Row],[phq9_score]]&lt;=27,"Severe")</f>
        <v>Mild</v>
      </c>
      <c r="L241">
        <v>15</v>
      </c>
      <c r="M241" s="4" t="str" cm="1">
        <f t="array" ref="M241">_xlfn.IFS(stdsurvey[[#This Row],[gad7_score]]="","Answer Not Provided",stdsurvey[[#This Row],[gad7_score]]&lt;=4,"Minimal",stdsurvey[[#This Row],[gad7_score]]&lt;=9,"Mild",stdsurvey[[#This Row],[gad7_score]]&lt;=14,"Moderate",stdsurvey[[#This Row],[gad7_score]]&lt;=21,"Severe")</f>
        <v>Mild</v>
      </c>
      <c r="N241">
        <v>18.2</v>
      </c>
      <c r="O241" s="4" t="str" cm="1">
        <f t="array" ref="O241">_xlfn.IFS(stdsurvey[[#This Row],[perceived_stress_scale]]="","Answer Not Provided",stdsurvey[[#This Row],[perceived_stress_scale]]&lt;=13,"Low Stress",stdsurvey[[#This Row],[perceived_stress_scale]]&lt;=26,"Moderate Stress",stdsurvey[[#This Row],[perceived_stress_scale]]&lt;=40,"High Stress")</f>
        <v>Moderate Stress</v>
      </c>
      <c r="P241">
        <v>78.7</v>
      </c>
      <c r="Q241">
        <v>4</v>
      </c>
      <c r="R241" s="4" t="str" cm="1">
        <f t="array" ref="R241">_xlfn.IFS(stdsurvey[[#This Row],[class_attendance_percent]]&lt;60,"Less than 0%",stdsurvey[[#This Row],[class_attendance_percent]]&lt;70,"60-70 %",stdsurvey[[#This Row],[class_attendance_percent]]&lt;80, "70-80%",stdsurvey[[#This Row],[class_attendance_percent]]&lt;90,"80-90%",TRUE,"More than 90%")</f>
        <v>70-80%</v>
      </c>
      <c r="S241" t="s">
        <v>22</v>
      </c>
      <c r="T241">
        <v>2</v>
      </c>
      <c r="U241" t="s">
        <v>26</v>
      </c>
      <c r="V241">
        <v>2.97</v>
      </c>
      <c r="W241" s="4" t="str" cm="1">
        <f t="array" ref="W24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1" s="4" t="str" cm="1">
        <f t="array" ref="X241">_xlfn.IFS(stdsurvey[[#This Row],[daily_sleep_hours]]&lt;4,"&lt; 4 hrs",stdsurvey[[#This Row],[daily_sleep_hours]]&lt;=6,"4-6 hrs",stdsurvey[[#This Row],[daily_sleep_hours]]&lt;=8,"6-8 hrs",TRUE,"&gt; 8 hrs")</f>
        <v>6-8 hrs</v>
      </c>
      <c r="Y241" t="s">
        <v>27</v>
      </c>
    </row>
    <row r="242" spans="1:25" x14ac:dyDescent="0.3">
      <c r="A242" t="s">
        <v>276</v>
      </c>
      <c r="B242">
        <v>21</v>
      </c>
      <c r="C242" t="s">
        <v>39</v>
      </c>
      <c r="D242">
        <v>4</v>
      </c>
      <c r="E242" t="s">
        <v>21</v>
      </c>
      <c r="F242">
        <v>7.7</v>
      </c>
      <c r="G242">
        <v>6.1</v>
      </c>
      <c r="H242">
        <v>1</v>
      </c>
      <c r="I242">
        <v>3</v>
      </c>
      <c r="J242">
        <v>7</v>
      </c>
      <c r="K242" s="4" t="str" cm="1">
        <f t="array" ref="K242">_xlfn.IFS(stdsurvey[[#This Row],[phq9_score]]="","Answer Not Provided",stdsurvey[[#This Row],[phq9_score]]&lt;=4,"Minimal",stdsurvey[[#This Row],[phq9_score]]&lt;=9,"Mild",stdsurvey[[#This Row],[phq9_score]]&lt;=14,"Moderate",stdsurvey[[#This Row],[phq9_score]]&lt;=19,"Moderately Severe",stdsurvey[[#This Row],[phq9_score]]&lt;=27,"Severe")</f>
        <v>Minimal</v>
      </c>
      <c r="L242">
        <v>13</v>
      </c>
      <c r="M242" s="4" t="str" cm="1">
        <f t="array" ref="M242">_xlfn.IFS(stdsurvey[[#This Row],[gad7_score]]="","Answer Not Provided",stdsurvey[[#This Row],[gad7_score]]&lt;=4,"Minimal",stdsurvey[[#This Row],[gad7_score]]&lt;=9,"Mild",stdsurvey[[#This Row],[gad7_score]]&lt;=14,"Moderate",stdsurvey[[#This Row],[gad7_score]]&lt;=21,"Severe")</f>
        <v>Mild</v>
      </c>
      <c r="N242">
        <v>21</v>
      </c>
      <c r="O242" s="4" t="str" cm="1">
        <f t="array" ref="O242">_xlfn.IFS(stdsurvey[[#This Row],[perceived_stress_scale]]="","Answer Not Provided",stdsurvey[[#This Row],[perceived_stress_scale]]&lt;=13,"Low Stress",stdsurvey[[#This Row],[perceived_stress_scale]]&lt;=26,"Moderate Stress",stdsurvey[[#This Row],[perceived_stress_scale]]&lt;=40,"High Stress")</f>
        <v>Low Stress</v>
      </c>
      <c r="P242">
        <v>76.2</v>
      </c>
      <c r="Q242">
        <v>2</v>
      </c>
      <c r="R242" s="4" t="str" cm="1">
        <f t="array" ref="R242">_xlfn.IFS(stdsurvey[[#This Row],[class_attendance_percent]]&lt;60,"Less than 0%",stdsurvey[[#This Row],[class_attendance_percent]]&lt;70,"60-70 %",stdsurvey[[#This Row],[class_attendance_percent]]&lt;80, "70-80%",stdsurvey[[#This Row],[class_attendance_percent]]&lt;90,"80-90%",TRUE,"More than 90%")</f>
        <v>70-80%</v>
      </c>
      <c r="S242" t="s">
        <v>33</v>
      </c>
      <c r="T242">
        <v>3</v>
      </c>
      <c r="U242" t="s">
        <v>51</v>
      </c>
      <c r="V242">
        <v>3.01</v>
      </c>
      <c r="W242" s="4" t="str" cm="1">
        <f t="array" ref="W24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42" s="4" t="str" cm="1">
        <f t="array" ref="X242">_xlfn.IFS(stdsurvey[[#This Row],[daily_sleep_hours]]&lt;4,"&lt; 4 hrs",stdsurvey[[#This Row],[daily_sleep_hours]]&lt;=6,"4-6 hrs",stdsurvey[[#This Row],[daily_sleep_hours]]&lt;=8,"6-8 hrs",TRUE,"&gt; 8 hrs")</f>
        <v>6-8 hrs</v>
      </c>
      <c r="Y242" t="s">
        <v>27</v>
      </c>
    </row>
    <row r="243" spans="1:25" x14ac:dyDescent="0.3">
      <c r="A243" t="s">
        <v>277</v>
      </c>
      <c r="B243">
        <v>19</v>
      </c>
      <c r="C243" t="s">
        <v>25</v>
      </c>
      <c r="D243">
        <v>2</v>
      </c>
      <c r="E243" t="s">
        <v>32</v>
      </c>
      <c r="F243">
        <v>6.8</v>
      </c>
      <c r="G243">
        <v>10</v>
      </c>
      <c r="H243">
        <v>1</v>
      </c>
      <c r="I243">
        <v>16</v>
      </c>
      <c r="J243">
        <v>14</v>
      </c>
      <c r="K243" s="4" t="str" cm="1">
        <f t="array" ref="K243">_xlfn.IFS(stdsurvey[[#This Row],[phq9_score]]="","Answer Not Provided",stdsurvey[[#This Row],[phq9_score]]&lt;=4,"Minimal",stdsurvey[[#This Row],[phq9_score]]&lt;=9,"Mild",stdsurvey[[#This Row],[phq9_score]]&lt;=14,"Moderate",stdsurvey[[#This Row],[phq9_score]]&lt;=19,"Moderately Severe",stdsurvey[[#This Row],[phq9_score]]&lt;=27,"Severe")</f>
        <v>Moderately Severe</v>
      </c>
      <c r="L243">
        <v>28</v>
      </c>
      <c r="M243" s="4" t="str" cm="1">
        <f t="array" ref="M243">_xlfn.IFS(stdsurvey[[#This Row],[gad7_score]]="","Answer Not Provided",stdsurvey[[#This Row],[gad7_score]]&lt;=4,"Minimal",stdsurvey[[#This Row],[gad7_score]]&lt;=9,"Mild",stdsurvey[[#This Row],[gad7_score]]&lt;=14,"Moderate",stdsurvey[[#This Row],[gad7_score]]&lt;=21,"Severe")</f>
        <v>Moderate</v>
      </c>
      <c r="N243">
        <v>12.7</v>
      </c>
      <c r="O243" s="4" t="str" cm="1">
        <f t="array" ref="O243">_xlfn.IFS(stdsurvey[[#This Row],[perceived_stress_scale]]="","Answer Not Provided",stdsurvey[[#This Row],[perceived_stress_scale]]&lt;=13,"Low Stress",stdsurvey[[#This Row],[perceived_stress_scale]]&lt;=26,"Moderate Stress",stdsurvey[[#This Row],[perceived_stress_scale]]&lt;=40,"High Stress")</f>
        <v>High Stress</v>
      </c>
      <c r="P243">
        <v>91</v>
      </c>
      <c r="Q243">
        <v>3</v>
      </c>
      <c r="R243" s="4" t="str" cm="1">
        <f t="array" ref="R243">_xlfn.IFS(stdsurvey[[#This Row],[class_attendance_percent]]&lt;60,"Less than 0%",stdsurvey[[#This Row],[class_attendance_percent]]&lt;70,"60-70 %",stdsurvey[[#This Row],[class_attendance_percent]]&lt;80, "70-80%",stdsurvey[[#This Row],[class_attendance_percent]]&lt;90,"80-90%",TRUE,"More than 90%")</f>
        <v>More than 90%</v>
      </c>
      <c r="S243" t="s">
        <v>33</v>
      </c>
      <c r="T243">
        <v>4</v>
      </c>
      <c r="U243" t="s">
        <v>26</v>
      </c>
      <c r="V243">
        <v>3.24</v>
      </c>
      <c r="W243" s="4" t="str" cm="1">
        <f t="array" ref="W24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43" s="4" t="str" cm="1">
        <f t="array" ref="X243">_xlfn.IFS(stdsurvey[[#This Row],[daily_sleep_hours]]&lt;4,"&lt; 4 hrs",stdsurvey[[#This Row],[daily_sleep_hours]]&lt;=6,"4-6 hrs",stdsurvey[[#This Row],[daily_sleep_hours]]&lt;=8,"6-8 hrs",TRUE,"&gt; 8 hrs")</f>
        <v>6-8 hrs</v>
      </c>
      <c r="Y243" t="s">
        <v>27</v>
      </c>
    </row>
    <row r="244" spans="1:25" x14ac:dyDescent="0.3">
      <c r="A244" t="s">
        <v>278</v>
      </c>
      <c r="B244">
        <v>20</v>
      </c>
      <c r="C244" t="s">
        <v>27</v>
      </c>
      <c r="D244">
        <v>1</v>
      </c>
      <c r="E244" t="s">
        <v>35</v>
      </c>
      <c r="F244">
        <v>6.2</v>
      </c>
      <c r="G244">
        <v>2.1</v>
      </c>
      <c r="H244">
        <v>1</v>
      </c>
      <c r="I244">
        <v>2</v>
      </c>
      <c r="J244">
        <v>1</v>
      </c>
      <c r="K244" s="4" t="str" cm="1">
        <f t="array" ref="K244">_xlfn.IFS(stdsurvey[[#This Row],[phq9_score]]="","Answer Not Provided",stdsurvey[[#This Row],[phq9_score]]&lt;=4,"Minimal",stdsurvey[[#This Row],[phq9_score]]&lt;=9,"Mild",stdsurvey[[#This Row],[phq9_score]]&lt;=14,"Moderate",stdsurvey[[#This Row],[phq9_score]]&lt;=19,"Moderately Severe",stdsurvey[[#This Row],[phq9_score]]&lt;=27,"Severe")</f>
        <v>Minimal</v>
      </c>
      <c r="L244">
        <v>9</v>
      </c>
      <c r="M244" s="4" t="str" cm="1">
        <f t="array" ref="M244">_xlfn.IFS(stdsurvey[[#This Row],[gad7_score]]="","Answer Not Provided",stdsurvey[[#This Row],[gad7_score]]&lt;=4,"Minimal",stdsurvey[[#This Row],[gad7_score]]&lt;=9,"Mild",stdsurvey[[#This Row],[gad7_score]]&lt;=14,"Moderate",stdsurvey[[#This Row],[gad7_score]]&lt;=21,"Severe")</f>
        <v>Minimal</v>
      </c>
      <c r="N244">
        <v>23.4</v>
      </c>
      <c r="O244" s="4" t="str" cm="1">
        <f t="array" ref="O244">_xlfn.IFS(stdsurvey[[#This Row],[perceived_stress_scale]]="","Answer Not Provided",stdsurvey[[#This Row],[perceived_stress_scale]]&lt;=13,"Low Stress",stdsurvey[[#This Row],[perceived_stress_scale]]&lt;=26,"Moderate Stress",stdsurvey[[#This Row],[perceived_stress_scale]]&lt;=40,"High Stress")</f>
        <v>Low Stress</v>
      </c>
      <c r="P244">
        <v>60.7</v>
      </c>
      <c r="Q244">
        <v>4</v>
      </c>
      <c r="R244" s="4" t="str" cm="1">
        <f t="array" ref="R244">_xlfn.IFS(stdsurvey[[#This Row],[class_attendance_percent]]&lt;60,"Less than 0%",stdsurvey[[#This Row],[class_attendance_percent]]&lt;70,"60-70 %",stdsurvey[[#This Row],[class_attendance_percent]]&lt;80, "70-80%",stdsurvey[[#This Row],[class_attendance_percent]]&lt;90,"80-90%",TRUE,"More than 90%")</f>
        <v>60-70 %</v>
      </c>
      <c r="S244" t="s">
        <v>22</v>
      </c>
      <c r="T244">
        <v>2</v>
      </c>
      <c r="U244" t="s">
        <v>23</v>
      </c>
      <c r="V244">
        <v>3.2</v>
      </c>
      <c r="W244" s="4" t="str" cm="1">
        <f t="array" ref="W24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4" s="4" t="str" cm="1">
        <f t="array" ref="X244">_xlfn.IFS(stdsurvey[[#This Row],[daily_sleep_hours]]&lt;4,"&lt; 4 hrs",stdsurvey[[#This Row],[daily_sleep_hours]]&lt;=6,"4-6 hrs",stdsurvey[[#This Row],[daily_sleep_hours]]&lt;=8,"6-8 hrs",TRUE,"&gt; 8 hrs")</f>
        <v>6-8 hrs</v>
      </c>
      <c r="Y244" t="s">
        <v>27</v>
      </c>
    </row>
    <row r="245" spans="1:25" x14ac:dyDescent="0.3">
      <c r="A245" t="s">
        <v>279</v>
      </c>
      <c r="B245">
        <v>20</v>
      </c>
      <c r="C245" t="s">
        <v>45</v>
      </c>
      <c r="D245">
        <v>3</v>
      </c>
      <c r="E245" t="s">
        <v>21</v>
      </c>
      <c r="F245">
        <v>7.5</v>
      </c>
      <c r="G245">
        <v>4.0999999999999996</v>
      </c>
      <c r="H245">
        <v>3</v>
      </c>
      <c r="I245">
        <v>3</v>
      </c>
      <c r="J245">
        <v>6</v>
      </c>
      <c r="K245" s="4" t="str" cm="1">
        <f t="array" ref="K245">_xlfn.IFS(stdsurvey[[#This Row],[phq9_score]]="","Answer Not Provided",stdsurvey[[#This Row],[phq9_score]]&lt;=4,"Minimal",stdsurvey[[#This Row],[phq9_score]]&lt;=9,"Mild",stdsurvey[[#This Row],[phq9_score]]&lt;=14,"Moderate",stdsurvey[[#This Row],[phq9_score]]&lt;=19,"Moderately Severe",stdsurvey[[#This Row],[phq9_score]]&lt;=27,"Severe")</f>
        <v>Minimal</v>
      </c>
      <c r="L245">
        <v>14</v>
      </c>
      <c r="M245" s="4" t="str" cm="1">
        <f t="array" ref="M245">_xlfn.IFS(stdsurvey[[#This Row],[gad7_score]]="","Answer Not Provided",stdsurvey[[#This Row],[gad7_score]]&lt;=4,"Minimal",stdsurvey[[#This Row],[gad7_score]]&lt;=9,"Mild",stdsurvey[[#This Row],[gad7_score]]&lt;=14,"Moderate",stdsurvey[[#This Row],[gad7_score]]&lt;=21,"Severe")</f>
        <v>Mild</v>
      </c>
      <c r="N245">
        <v>18.399999999999999</v>
      </c>
      <c r="O245" s="4" t="str" cm="1">
        <f t="array" ref="O245">_xlfn.IFS(stdsurvey[[#This Row],[perceived_stress_scale]]="","Answer Not Provided",stdsurvey[[#This Row],[perceived_stress_scale]]&lt;=13,"Low Stress",stdsurvey[[#This Row],[perceived_stress_scale]]&lt;=26,"Moderate Stress",stdsurvey[[#This Row],[perceived_stress_scale]]&lt;=40,"High Stress")</f>
        <v>Moderate Stress</v>
      </c>
      <c r="P245">
        <v>48.7</v>
      </c>
      <c r="Q245">
        <v>4</v>
      </c>
      <c r="R245" s="4" t="str" cm="1">
        <f t="array" ref="R245">_xlfn.IFS(stdsurvey[[#This Row],[class_attendance_percent]]&lt;60,"Less than 0%",stdsurvey[[#This Row],[class_attendance_percent]]&lt;70,"60-70 %",stdsurvey[[#This Row],[class_attendance_percent]]&lt;80, "70-80%",stdsurvey[[#This Row],[class_attendance_percent]]&lt;90,"80-90%",TRUE,"More than 90%")</f>
        <v>Less than 0%</v>
      </c>
      <c r="S245" t="s">
        <v>22</v>
      </c>
      <c r="T245">
        <v>5</v>
      </c>
      <c r="U245" t="s">
        <v>26</v>
      </c>
      <c r="V245">
        <v>2.15</v>
      </c>
      <c r="W245" s="4" t="str" cm="1">
        <f t="array" ref="W24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45" s="4" t="str" cm="1">
        <f t="array" ref="X245">_xlfn.IFS(stdsurvey[[#This Row],[daily_sleep_hours]]&lt;4,"&lt; 4 hrs",stdsurvey[[#This Row],[daily_sleep_hours]]&lt;=6,"4-6 hrs",stdsurvey[[#This Row],[daily_sleep_hours]]&lt;=8,"6-8 hrs",TRUE,"&gt; 8 hrs")</f>
        <v>6-8 hrs</v>
      </c>
      <c r="Y245" t="s">
        <v>20</v>
      </c>
    </row>
    <row r="246" spans="1:25" x14ac:dyDescent="0.3">
      <c r="A246" t="s">
        <v>280</v>
      </c>
      <c r="B246">
        <v>21</v>
      </c>
      <c r="C246" t="s">
        <v>20</v>
      </c>
      <c r="D246">
        <v>4</v>
      </c>
      <c r="E246" t="s">
        <v>32</v>
      </c>
      <c r="F246">
        <v>7.3</v>
      </c>
      <c r="G246">
        <v>1.8</v>
      </c>
      <c r="H246">
        <v>7</v>
      </c>
      <c r="I246">
        <v>5</v>
      </c>
      <c r="J246">
        <v>5</v>
      </c>
      <c r="K246" s="4" t="str" cm="1">
        <f t="array" ref="K246">_xlfn.IFS(stdsurvey[[#This Row],[phq9_score]]="","Answer Not Provided",stdsurvey[[#This Row],[phq9_score]]&lt;=4,"Minimal",stdsurvey[[#This Row],[phq9_score]]&lt;=9,"Mild",stdsurvey[[#This Row],[phq9_score]]&lt;=14,"Moderate",stdsurvey[[#This Row],[phq9_score]]&lt;=19,"Moderately Severe",stdsurvey[[#This Row],[phq9_score]]&lt;=27,"Severe")</f>
        <v>Mild</v>
      </c>
      <c r="L246">
        <v>13</v>
      </c>
      <c r="M246" s="4" t="str" cm="1">
        <f t="array" ref="M246">_xlfn.IFS(stdsurvey[[#This Row],[gad7_score]]="","Answer Not Provided",stdsurvey[[#This Row],[gad7_score]]&lt;=4,"Minimal",stdsurvey[[#This Row],[gad7_score]]&lt;=9,"Mild",stdsurvey[[#This Row],[gad7_score]]&lt;=14,"Moderate",stdsurvey[[#This Row],[gad7_score]]&lt;=21,"Severe")</f>
        <v>Mild</v>
      </c>
      <c r="N246">
        <v>22</v>
      </c>
      <c r="O246" s="4" t="str" cm="1">
        <f t="array" ref="O246">_xlfn.IFS(stdsurvey[[#This Row],[perceived_stress_scale]]="","Answer Not Provided",stdsurvey[[#This Row],[perceived_stress_scale]]&lt;=13,"Low Stress",stdsurvey[[#This Row],[perceived_stress_scale]]&lt;=26,"Moderate Stress",stdsurvey[[#This Row],[perceived_stress_scale]]&lt;=40,"High Stress")</f>
        <v>Low Stress</v>
      </c>
      <c r="P246">
        <v>85.1</v>
      </c>
      <c r="Q246">
        <v>3</v>
      </c>
      <c r="R246" s="4" t="str" cm="1">
        <f t="array" ref="R246">_xlfn.IFS(stdsurvey[[#This Row],[class_attendance_percent]]&lt;60,"Less than 0%",stdsurvey[[#This Row],[class_attendance_percent]]&lt;70,"60-70 %",stdsurvey[[#This Row],[class_attendance_percent]]&lt;80, "70-80%",stdsurvey[[#This Row],[class_attendance_percent]]&lt;90,"80-90%",TRUE,"More than 90%")</f>
        <v>80-90%</v>
      </c>
      <c r="S246" t="s">
        <v>33</v>
      </c>
      <c r="T246">
        <v>2</v>
      </c>
      <c r="U246" t="s">
        <v>23</v>
      </c>
      <c r="V246">
        <v>3.76</v>
      </c>
      <c r="W246" s="4" t="str" cm="1">
        <f t="array" ref="W24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6" s="4" t="str" cm="1">
        <f t="array" ref="X246">_xlfn.IFS(stdsurvey[[#This Row],[daily_sleep_hours]]&lt;4,"&lt; 4 hrs",stdsurvey[[#This Row],[daily_sleep_hours]]&lt;=6,"4-6 hrs",stdsurvey[[#This Row],[daily_sleep_hours]]&lt;=8,"6-8 hrs",TRUE,"&gt; 8 hrs")</f>
        <v>6-8 hrs</v>
      </c>
      <c r="Y246" t="s">
        <v>20</v>
      </c>
    </row>
    <row r="247" spans="1:25" x14ac:dyDescent="0.3">
      <c r="A247" t="s">
        <v>281</v>
      </c>
      <c r="B247">
        <v>18</v>
      </c>
      <c r="C247" t="s">
        <v>20</v>
      </c>
      <c r="D247">
        <v>2</v>
      </c>
      <c r="E247" t="s">
        <v>32</v>
      </c>
      <c r="F247">
        <v>9.4</v>
      </c>
      <c r="G247">
        <v>3.1</v>
      </c>
      <c r="H247">
        <v>1</v>
      </c>
      <c r="I247">
        <v>3</v>
      </c>
      <c r="J247">
        <v>2</v>
      </c>
      <c r="K247" s="4" t="str" cm="1">
        <f t="array" ref="K247">_xlfn.IFS(stdsurvey[[#This Row],[phq9_score]]="","Answer Not Provided",stdsurvey[[#This Row],[phq9_score]]&lt;=4,"Minimal",stdsurvey[[#This Row],[phq9_score]]&lt;=9,"Mild",stdsurvey[[#This Row],[phq9_score]]&lt;=14,"Moderate",stdsurvey[[#This Row],[phq9_score]]&lt;=19,"Moderately Severe",stdsurvey[[#This Row],[phq9_score]]&lt;=27,"Severe")</f>
        <v>Minimal</v>
      </c>
      <c r="L247">
        <v>13</v>
      </c>
      <c r="M247" s="4" t="str" cm="1">
        <f t="array" ref="M247">_xlfn.IFS(stdsurvey[[#This Row],[gad7_score]]="","Answer Not Provided",stdsurvey[[#This Row],[gad7_score]]&lt;=4,"Minimal",stdsurvey[[#This Row],[gad7_score]]&lt;=9,"Mild",stdsurvey[[#This Row],[gad7_score]]&lt;=14,"Moderate",stdsurvey[[#This Row],[gad7_score]]&lt;=21,"Severe")</f>
        <v>Minimal</v>
      </c>
      <c r="N247">
        <v>19.2</v>
      </c>
      <c r="O247" s="4" t="str" cm="1">
        <f t="array" ref="O247">_xlfn.IFS(stdsurvey[[#This Row],[perceived_stress_scale]]="","Answer Not Provided",stdsurvey[[#This Row],[perceived_stress_scale]]&lt;=13,"Low Stress",stdsurvey[[#This Row],[perceived_stress_scale]]&lt;=26,"Moderate Stress",stdsurvey[[#This Row],[perceived_stress_scale]]&lt;=40,"High Stress")</f>
        <v>Low Stress</v>
      </c>
      <c r="P247">
        <v>79.3</v>
      </c>
      <c r="Q247">
        <v>4</v>
      </c>
      <c r="R247" s="4" t="str" cm="1">
        <f t="array" ref="R247">_xlfn.IFS(stdsurvey[[#This Row],[class_attendance_percent]]&lt;60,"Less than 0%",stdsurvey[[#This Row],[class_attendance_percent]]&lt;70,"60-70 %",stdsurvey[[#This Row],[class_attendance_percent]]&lt;80, "70-80%",stdsurvey[[#This Row],[class_attendance_percent]]&lt;90,"80-90%",TRUE,"More than 90%")</f>
        <v>70-80%</v>
      </c>
      <c r="S247" t="s">
        <v>33</v>
      </c>
      <c r="T247">
        <v>2</v>
      </c>
      <c r="U247" t="s">
        <v>26</v>
      </c>
      <c r="V247">
        <v>3.04</v>
      </c>
      <c r="W247" s="4" t="str" cm="1">
        <f t="array" ref="W24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7" s="4" t="str" cm="1">
        <f t="array" ref="X247">_xlfn.IFS(stdsurvey[[#This Row],[daily_sleep_hours]]&lt;4,"&lt; 4 hrs",stdsurvey[[#This Row],[daily_sleep_hours]]&lt;=6,"4-6 hrs",stdsurvey[[#This Row],[daily_sleep_hours]]&lt;=8,"6-8 hrs",TRUE,"&gt; 8 hrs")</f>
        <v>&gt; 8 hrs</v>
      </c>
      <c r="Y247" t="s">
        <v>20</v>
      </c>
    </row>
    <row r="248" spans="1:25" x14ac:dyDescent="0.3">
      <c r="A248" t="s">
        <v>282</v>
      </c>
      <c r="B248">
        <v>18</v>
      </c>
      <c r="C248" t="s">
        <v>29</v>
      </c>
      <c r="D248">
        <v>4</v>
      </c>
      <c r="E248" t="s">
        <v>49</v>
      </c>
      <c r="F248">
        <v>5.5</v>
      </c>
      <c r="G248">
        <v>3.5</v>
      </c>
      <c r="H248">
        <v>5</v>
      </c>
      <c r="I248">
        <v>5</v>
      </c>
      <c r="J248">
        <v>6</v>
      </c>
      <c r="K248" s="4" t="str" cm="1">
        <f t="array" ref="K248">_xlfn.IFS(stdsurvey[[#This Row],[phq9_score]]="","Answer Not Provided",stdsurvey[[#This Row],[phq9_score]]&lt;=4,"Minimal",stdsurvey[[#This Row],[phq9_score]]&lt;=9,"Mild",stdsurvey[[#This Row],[phq9_score]]&lt;=14,"Moderate",stdsurvey[[#This Row],[phq9_score]]&lt;=19,"Moderately Severe",stdsurvey[[#This Row],[phq9_score]]&lt;=27,"Severe")</f>
        <v>Mild</v>
      </c>
      <c r="L248">
        <v>16</v>
      </c>
      <c r="M248" s="4" t="str" cm="1">
        <f t="array" ref="M248">_xlfn.IFS(stdsurvey[[#This Row],[gad7_score]]="","Answer Not Provided",stdsurvey[[#This Row],[gad7_score]]&lt;=4,"Minimal",stdsurvey[[#This Row],[gad7_score]]&lt;=9,"Mild",stdsurvey[[#This Row],[gad7_score]]&lt;=14,"Moderate",stdsurvey[[#This Row],[gad7_score]]&lt;=21,"Severe")</f>
        <v>Mild</v>
      </c>
      <c r="N248">
        <v>18.600000000000001</v>
      </c>
      <c r="O248" s="4" t="str" cm="1">
        <f t="array" ref="O248">_xlfn.IFS(stdsurvey[[#This Row],[perceived_stress_scale]]="","Answer Not Provided",stdsurvey[[#This Row],[perceived_stress_scale]]&lt;=13,"Low Stress",stdsurvey[[#This Row],[perceived_stress_scale]]&lt;=26,"Moderate Stress",stdsurvey[[#This Row],[perceived_stress_scale]]&lt;=40,"High Stress")</f>
        <v>Moderate Stress</v>
      </c>
      <c r="P248">
        <v>84.2</v>
      </c>
      <c r="Q248">
        <v>2</v>
      </c>
      <c r="R248" s="4" t="str" cm="1">
        <f t="array" ref="R248">_xlfn.IFS(stdsurvey[[#This Row],[class_attendance_percent]]&lt;60,"Less than 0%",stdsurvey[[#This Row],[class_attendance_percent]]&lt;70,"60-70 %",stdsurvey[[#This Row],[class_attendance_percent]]&lt;80, "70-80%",stdsurvey[[#This Row],[class_attendance_percent]]&lt;90,"80-90%",TRUE,"More than 90%")</f>
        <v>80-90%</v>
      </c>
      <c r="S248" t="s">
        <v>22</v>
      </c>
      <c r="T248">
        <v>5</v>
      </c>
      <c r="U248" t="s">
        <v>26</v>
      </c>
      <c r="V248">
        <v>3.03</v>
      </c>
      <c r="W248" s="4" t="str" cm="1">
        <f t="array" ref="W24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48" s="4" t="str" cm="1">
        <f t="array" ref="X248">_xlfn.IFS(stdsurvey[[#This Row],[daily_sleep_hours]]&lt;4,"&lt; 4 hrs",stdsurvey[[#This Row],[daily_sleep_hours]]&lt;=6,"4-6 hrs",stdsurvey[[#This Row],[daily_sleep_hours]]&lt;=8,"6-8 hrs",TRUE,"&gt; 8 hrs")</f>
        <v>4-6 hrs</v>
      </c>
      <c r="Y248" t="s">
        <v>29</v>
      </c>
    </row>
    <row r="249" spans="1:25" x14ac:dyDescent="0.3">
      <c r="A249" t="s">
        <v>283</v>
      </c>
      <c r="B249">
        <v>26</v>
      </c>
      <c r="C249" t="s">
        <v>20</v>
      </c>
      <c r="D249">
        <v>4</v>
      </c>
      <c r="E249" t="s">
        <v>30</v>
      </c>
      <c r="F249">
        <v>5</v>
      </c>
      <c r="G249">
        <v>4.9000000000000004</v>
      </c>
      <c r="H249">
        <v>2</v>
      </c>
      <c r="I249">
        <v>7</v>
      </c>
      <c r="J249">
        <v>6</v>
      </c>
      <c r="K249" s="4" t="str" cm="1">
        <f t="array" ref="K249">_xlfn.IFS(stdsurvey[[#This Row],[phq9_score]]="","Answer Not Provided",stdsurvey[[#This Row],[phq9_score]]&lt;=4,"Minimal",stdsurvey[[#This Row],[phq9_score]]&lt;=9,"Mild",stdsurvey[[#This Row],[phq9_score]]&lt;=14,"Moderate",stdsurvey[[#This Row],[phq9_score]]&lt;=19,"Moderately Severe",stdsurvey[[#This Row],[phq9_score]]&lt;=27,"Severe")</f>
        <v>Mild</v>
      </c>
      <c r="L249">
        <v>15</v>
      </c>
      <c r="M249" s="4" t="str" cm="1">
        <f t="array" ref="M249">_xlfn.IFS(stdsurvey[[#This Row],[gad7_score]]="","Answer Not Provided",stdsurvey[[#This Row],[gad7_score]]&lt;=4,"Minimal",stdsurvey[[#This Row],[gad7_score]]&lt;=9,"Mild",stdsurvey[[#This Row],[gad7_score]]&lt;=14,"Moderate",stdsurvey[[#This Row],[gad7_score]]&lt;=21,"Severe")</f>
        <v>Mild</v>
      </c>
      <c r="N249">
        <v>20.8</v>
      </c>
      <c r="O249" s="4" t="str" cm="1">
        <f t="array" ref="O249">_xlfn.IFS(stdsurvey[[#This Row],[perceived_stress_scale]]="","Answer Not Provided",stdsurvey[[#This Row],[perceived_stress_scale]]&lt;=13,"Low Stress",stdsurvey[[#This Row],[perceived_stress_scale]]&lt;=26,"Moderate Stress",stdsurvey[[#This Row],[perceived_stress_scale]]&lt;=40,"High Stress")</f>
        <v>Moderate Stress</v>
      </c>
      <c r="P249">
        <v>74.2</v>
      </c>
      <c r="Q249">
        <v>2</v>
      </c>
      <c r="R249" s="4" t="str" cm="1">
        <f t="array" ref="R249">_xlfn.IFS(stdsurvey[[#This Row],[class_attendance_percent]]&lt;60,"Less than 0%",stdsurvey[[#This Row],[class_attendance_percent]]&lt;70,"60-70 %",stdsurvey[[#This Row],[class_attendance_percent]]&lt;80, "70-80%",stdsurvey[[#This Row],[class_attendance_percent]]&lt;90,"80-90%",TRUE,"More than 90%")</f>
        <v>70-80%</v>
      </c>
      <c r="S249" t="s">
        <v>22</v>
      </c>
      <c r="T249">
        <v>4</v>
      </c>
      <c r="U249" t="s">
        <v>23</v>
      </c>
      <c r="V249">
        <v>3.15</v>
      </c>
      <c r="W249" s="4" t="str" cm="1">
        <f t="array" ref="W24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49" s="4" t="str" cm="1">
        <f t="array" ref="X249">_xlfn.IFS(stdsurvey[[#This Row],[daily_sleep_hours]]&lt;4,"&lt; 4 hrs",stdsurvey[[#This Row],[daily_sleep_hours]]&lt;=6,"4-6 hrs",stdsurvey[[#This Row],[daily_sleep_hours]]&lt;=8,"6-8 hrs",TRUE,"&gt; 8 hrs")</f>
        <v>4-6 hrs</v>
      </c>
      <c r="Y249" t="s">
        <v>20</v>
      </c>
    </row>
    <row r="250" spans="1:25" x14ac:dyDescent="0.3">
      <c r="A250" t="s">
        <v>284</v>
      </c>
      <c r="B250">
        <v>19</v>
      </c>
      <c r="C250" t="s">
        <v>25</v>
      </c>
      <c r="D250">
        <v>3</v>
      </c>
      <c r="E250" t="s">
        <v>32</v>
      </c>
      <c r="F250">
        <v>5.5</v>
      </c>
      <c r="G250">
        <v>4.9000000000000004</v>
      </c>
      <c r="H250">
        <v>3</v>
      </c>
      <c r="I250">
        <v>19</v>
      </c>
      <c r="J250">
        <v>17</v>
      </c>
      <c r="K250" s="4" t="str" cm="1">
        <f t="array" ref="K250">_xlfn.IFS(stdsurvey[[#This Row],[phq9_score]]="","Answer Not Provided",stdsurvey[[#This Row],[phq9_score]]&lt;=4,"Minimal",stdsurvey[[#This Row],[phq9_score]]&lt;=9,"Mild",stdsurvey[[#This Row],[phq9_score]]&lt;=14,"Moderate",stdsurvey[[#This Row],[phq9_score]]&lt;=19,"Moderately Severe",stdsurvey[[#This Row],[phq9_score]]&lt;=27,"Severe")</f>
        <v>Moderately Severe</v>
      </c>
      <c r="L250">
        <v>27</v>
      </c>
      <c r="M250" s="4" t="str" cm="1">
        <f t="array" ref="M250">_xlfn.IFS(stdsurvey[[#This Row],[gad7_score]]="","Answer Not Provided",stdsurvey[[#This Row],[gad7_score]]&lt;=4,"Minimal",stdsurvey[[#This Row],[gad7_score]]&lt;=9,"Mild",stdsurvey[[#This Row],[gad7_score]]&lt;=14,"Moderate",stdsurvey[[#This Row],[gad7_score]]&lt;=21,"Severe")</f>
        <v>Severe</v>
      </c>
      <c r="N250">
        <v>7.9</v>
      </c>
      <c r="O250" s="4" t="str" cm="1">
        <f t="array" ref="O250">_xlfn.IFS(stdsurvey[[#This Row],[perceived_stress_scale]]="","Answer Not Provided",stdsurvey[[#This Row],[perceived_stress_scale]]&lt;=13,"Low Stress",stdsurvey[[#This Row],[perceived_stress_scale]]&lt;=26,"Moderate Stress",stdsurvey[[#This Row],[perceived_stress_scale]]&lt;=40,"High Stress")</f>
        <v>High Stress</v>
      </c>
      <c r="P250">
        <v>64.7</v>
      </c>
      <c r="R250" s="4" t="str" cm="1">
        <f t="array" ref="R250">_xlfn.IFS(stdsurvey[[#This Row],[class_attendance_percent]]&lt;60,"Less than 0%",stdsurvey[[#This Row],[class_attendance_percent]]&lt;70,"60-70 %",stdsurvey[[#This Row],[class_attendance_percent]]&lt;80, "70-80%",stdsurvey[[#This Row],[class_attendance_percent]]&lt;90,"80-90%",TRUE,"More than 90%")</f>
        <v>60-70 %</v>
      </c>
      <c r="S250" t="s">
        <v>22</v>
      </c>
      <c r="T250">
        <v>3</v>
      </c>
      <c r="U250" t="s">
        <v>23</v>
      </c>
      <c r="V250">
        <v>2.4300000000000002</v>
      </c>
      <c r="W250" s="4" t="str" cm="1">
        <f t="array" ref="W25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50" s="4" t="str" cm="1">
        <f t="array" ref="X250">_xlfn.IFS(stdsurvey[[#This Row],[daily_sleep_hours]]&lt;4,"&lt; 4 hrs",stdsurvey[[#This Row],[daily_sleep_hours]]&lt;=6,"4-6 hrs",stdsurvey[[#This Row],[daily_sleep_hours]]&lt;=8,"6-8 hrs",TRUE,"&gt; 8 hrs")</f>
        <v>4-6 hrs</v>
      </c>
      <c r="Y250" t="s">
        <v>27</v>
      </c>
    </row>
    <row r="251" spans="1:25" x14ac:dyDescent="0.3">
      <c r="A251" t="s">
        <v>285</v>
      </c>
      <c r="B251">
        <v>19</v>
      </c>
      <c r="C251" t="s">
        <v>27</v>
      </c>
      <c r="D251">
        <v>3</v>
      </c>
      <c r="E251" t="s">
        <v>21</v>
      </c>
      <c r="F251">
        <v>5.7</v>
      </c>
      <c r="G251">
        <v>4.3</v>
      </c>
      <c r="H251">
        <v>0</v>
      </c>
      <c r="I251">
        <v>16</v>
      </c>
      <c r="J251">
        <v>13</v>
      </c>
      <c r="K251" s="4" t="str" cm="1">
        <f t="array" ref="K251">_xlfn.IFS(stdsurvey[[#This Row],[phq9_score]]="","Answer Not Provided",stdsurvey[[#This Row],[phq9_score]]&lt;=4,"Minimal",stdsurvey[[#This Row],[phq9_score]]&lt;=9,"Mild",stdsurvey[[#This Row],[phq9_score]]&lt;=14,"Moderate",stdsurvey[[#This Row],[phq9_score]]&lt;=19,"Moderately Severe",stdsurvey[[#This Row],[phq9_score]]&lt;=27,"Severe")</f>
        <v>Moderately Severe</v>
      </c>
      <c r="L251">
        <v>21</v>
      </c>
      <c r="M251" s="4" t="str" cm="1">
        <f t="array" ref="M251">_xlfn.IFS(stdsurvey[[#This Row],[gad7_score]]="","Answer Not Provided",stdsurvey[[#This Row],[gad7_score]]&lt;=4,"Minimal",stdsurvey[[#This Row],[gad7_score]]&lt;=9,"Mild",stdsurvey[[#This Row],[gad7_score]]&lt;=14,"Moderate",stdsurvey[[#This Row],[gad7_score]]&lt;=21,"Severe")</f>
        <v>Moderate</v>
      </c>
      <c r="N251">
        <v>23</v>
      </c>
      <c r="O251" s="4" t="str" cm="1">
        <f t="array" ref="O251">_xlfn.IFS(stdsurvey[[#This Row],[perceived_stress_scale]]="","Answer Not Provided",stdsurvey[[#This Row],[perceived_stress_scale]]&lt;=13,"Low Stress",stdsurvey[[#This Row],[perceived_stress_scale]]&lt;=26,"Moderate Stress",stdsurvey[[#This Row],[perceived_stress_scale]]&lt;=40,"High Stress")</f>
        <v>Moderate Stress</v>
      </c>
      <c r="P251">
        <v>74.2</v>
      </c>
      <c r="Q251">
        <v>4</v>
      </c>
      <c r="R251" s="4" t="str" cm="1">
        <f t="array" ref="R251">_xlfn.IFS(stdsurvey[[#This Row],[class_attendance_percent]]&lt;60,"Less than 0%",stdsurvey[[#This Row],[class_attendance_percent]]&lt;70,"60-70 %",stdsurvey[[#This Row],[class_attendance_percent]]&lt;80, "70-80%",stdsurvey[[#This Row],[class_attendance_percent]]&lt;90,"80-90%",TRUE,"More than 90%")</f>
        <v>70-80%</v>
      </c>
      <c r="S251" t="s">
        <v>22</v>
      </c>
      <c r="T251">
        <v>4</v>
      </c>
      <c r="U251" t="s">
        <v>26</v>
      </c>
      <c r="V251">
        <v>2.92</v>
      </c>
      <c r="W251" s="4" t="str" cm="1">
        <f t="array" ref="W25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51" s="4" t="str" cm="1">
        <f t="array" ref="X251">_xlfn.IFS(stdsurvey[[#This Row],[daily_sleep_hours]]&lt;4,"&lt; 4 hrs",stdsurvey[[#This Row],[daily_sleep_hours]]&lt;=6,"4-6 hrs",stdsurvey[[#This Row],[daily_sleep_hours]]&lt;=8,"6-8 hrs",TRUE,"&gt; 8 hrs")</f>
        <v>4-6 hrs</v>
      </c>
      <c r="Y251" t="s">
        <v>27</v>
      </c>
    </row>
    <row r="252" spans="1:25" x14ac:dyDescent="0.3">
      <c r="A252" t="s">
        <v>286</v>
      </c>
      <c r="B252">
        <v>25</v>
      </c>
      <c r="C252" t="s">
        <v>39</v>
      </c>
      <c r="D252">
        <v>1</v>
      </c>
      <c r="E252" t="s">
        <v>35</v>
      </c>
      <c r="F252">
        <v>4.9000000000000004</v>
      </c>
      <c r="G252">
        <v>5.7</v>
      </c>
      <c r="H252">
        <v>3</v>
      </c>
      <c r="I252">
        <v>6</v>
      </c>
      <c r="J252">
        <v>6</v>
      </c>
      <c r="K252" s="4" t="str" cm="1">
        <f t="array" ref="K252">_xlfn.IFS(stdsurvey[[#This Row],[phq9_score]]="","Answer Not Provided",stdsurvey[[#This Row],[phq9_score]]&lt;=4,"Minimal",stdsurvey[[#This Row],[phq9_score]]&lt;=9,"Mild",stdsurvey[[#This Row],[phq9_score]]&lt;=14,"Moderate",stdsurvey[[#This Row],[phq9_score]]&lt;=19,"Moderately Severe",stdsurvey[[#This Row],[phq9_score]]&lt;=27,"Severe")</f>
        <v>Mild</v>
      </c>
      <c r="L252">
        <v>11</v>
      </c>
      <c r="M252" s="4" t="str" cm="1">
        <f t="array" ref="M252">_xlfn.IFS(stdsurvey[[#This Row],[gad7_score]]="","Answer Not Provided",stdsurvey[[#This Row],[gad7_score]]&lt;=4,"Minimal",stdsurvey[[#This Row],[gad7_score]]&lt;=9,"Mild",stdsurvey[[#This Row],[gad7_score]]&lt;=14,"Moderate",stdsurvey[[#This Row],[gad7_score]]&lt;=21,"Severe")</f>
        <v>Mild</v>
      </c>
      <c r="N252">
        <v>20.5</v>
      </c>
      <c r="O252" s="4" t="str" cm="1">
        <f t="array" ref="O252">_xlfn.IFS(stdsurvey[[#This Row],[perceived_stress_scale]]="","Answer Not Provided",stdsurvey[[#This Row],[perceived_stress_scale]]&lt;=13,"Low Stress",stdsurvey[[#This Row],[perceived_stress_scale]]&lt;=26,"Moderate Stress",stdsurvey[[#This Row],[perceived_stress_scale]]&lt;=40,"High Stress")</f>
        <v>Low Stress</v>
      </c>
      <c r="P252">
        <v>72.599999999999994</v>
      </c>
      <c r="Q252">
        <v>4</v>
      </c>
      <c r="R252" s="4" t="str" cm="1">
        <f t="array" ref="R252">_xlfn.IFS(stdsurvey[[#This Row],[class_attendance_percent]]&lt;60,"Less than 0%",stdsurvey[[#This Row],[class_attendance_percent]]&lt;70,"60-70 %",stdsurvey[[#This Row],[class_attendance_percent]]&lt;80, "70-80%",stdsurvey[[#This Row],[class_attendance_percent]]&lt;90,"80-90%",TRUE,"More than 90%")</f>
        <v>70-80%</v>
      </c>
      <c r="S252" t="s">
        <v>22</v>
      </c>
      <c r="T252">
        <v>3</v>
      </c>
      <c r="U252" t="s">
        <v>26</v>
      </c>
      <c r="V252">
        <v>2.76</v>
      </c>
      <c r="W252" s="4" t="str" cm="1">
        <f t="array" ref="W25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52" s="4" t="str" cm="1">
        <f t="array" ref="X252">_xlfn.IFS(stdsurvey[[#This Row],[daily_sleep_hours]]&lt;4,"&lt; 4 hrs",stdsurvey[[#This Row],[daily_sleep_hours]]&lt;=6,"4-6 hrs",stdsurvey[[#This Row],[daily_sleep_hours]]&lt;=8,"6-8 hrs",TRUE,"&gt; 8 hrs")</f>
        <v>4-6 hrs</v>
      </c>
      <c r="Y252" t="s">
        <v>27</v>
      </c>
    </row>
    <row r="253" spans="1:25" x14ac:dyDescent="0.3">
      <c r="A253" t="s">
        <v>287</v>
      </c>
      <c r="B253">
        <v>28</v>
      </c>
      <c r="C253" t="s">
        <v>20</v>
      </c>
      <c r="D253">
        <v>5</v>
      </c>
      <c r="E253" t="s">
        <v>21</v>
      </c>
      <c r="F253">
        <v>3.3</v>
      </c>
      <c r="G253">
        <v>2.2999999999999998</v>
      </c>
      <c r="H253">
        <v>3</v>
      </c>
      <c r="I253">
        <v>2</v>
      </c>
      <c r="J253">
        <v>5</v>
      </c>
      <c r="K253" s="4" t="str" cm="1">
        <f t="array" ref="K253">_xlfn.IFS(stdsurvey[[#This Row],[phq9_score]]="","Answer Not Provided",stdsurvey[[#This Row],[phq9_score]]&lt;=4,"Minimal",stdsurvey[[#This Row],[phq9_score]]&lt;=9,"Mild",stdsurvey[[#This Row],[phq9_score]]&lt;=14,"Moderate",stdsurvey[[#This Row],[phq9_score]]&lt;=19,"Moderately Severe",stdsurvey[[#This Row],[phq9_score]]&lt;=27,"Severe")</f>
        <v>Minimal</v>
      </c>
      <c r="L253">
        <v>7</v>
      </c>
      <c r="M253" s="4" t="str" cm="1">
        <f t="array" ref="M253">_xlfn.IFS(stdsurvey[[#This Row],[gad7_score]]="","Answer Not Provided",stdsurvey[[#This Row],[gad7_score]]&lt;=4,"Minimal",stdsurvey[[#This Row],[gad7_score]]&lt;=9,"Mild",stdsurvey[[#This Row],[gad7_score]]&lt;=14,"Moderate",stdsurvey[[#This Row],[gad7_score]]&lt;=21,"Severe")</f>
        <v>Mild</v>
      </c>
      <c r="N253">
        <v>14.6</v>
      </c>
      <c r="O253" s="4" t="str" cm="1">
        <f t="array" ref="O253">_xlfn.IFS(stdsurvey[[#This Row],[perceived_stress_scale]]="","Answer Not Provided",stdsurvey[[#This Row],[perceived_stress_scale]]&lt;=13,"Low Stress",stdsurvey[[#This Row],[perceived_stress_scale]]&lt;=26,"Moderate Stress",stdsurvey[[#This Row],[perceived_stress_scale]]&lt;=40,"High Stress")</f>
        <v>Low Stress</v>
      </c>
      <c r="P253">
        <v>100</v>
      </c>
      <c r="Q253">
        <v>2</v>
      </c>
      <c r="R253" s="4" t="str" cm="1">
        <f t="array" ref="R253">_xlfn.IFS(stdsurvey[[#This Row],[class_attendance_percent]]&lt;60,"Less than 0%",stdsurvey[[#This Row],[class_attendance_percent]]&lt;70,"60-70 %",stdsurvey[[#This Row],[class_attendance_percent]]&lt;80, "70-80%",stdsurvey[[#This Row],[class_attendance_percent]]&lt;90,"80-90%",TRUE,"More than 90%")</f>
        <v>More than 90%</v>
      </c>
      <c r="S253" t="s">
        <v>33</v>
      </c>
      <c r="T253">
        <v>3</v>
      </c>
      <c r="U253" t="s">
        <v>51</v>
      </c>
      <c r="V253">
        <v>2.67</v>
      </c>
      <c r="W253" s="4" t="str" cm="1">
        <f t="array" ref="W25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53" s="4" t="str" cm="1">
        <f t="array" ref="X253">_xlfn.IFS(stdsurvey[[#This Row],[daily_sleep_hours]]&lt;4,"&lt; 4 hrs",stdsurvey[[#This Row],[daily_sleep_hours]]&lt;=6,"4-6 hrs",stdsurvey[[#This Row],[daily_sleep_hours]]&lt;=8,"6-8 hrs",TRUE,"&gt; 8 hrs")</f>
        <v>&lt; 4 hrs</v>
      </c>
      <c r="Y253" t="s">
        <v>20</v>
      </c>
    </row>
    <row r="254" spans="1:25" x14ac:dyDescent="0.3">
      <c r="A254" t="s">
        <v>288</v>
      </c>
      <c r="B254">
        <v>19</v>
      </c>
      <c r="C254" t="s">
        <v>27</v>
      </c>
      <c r="D254">
        <v>2</v>
      </c>
      <c r="E254" t="s">
        <v>21</v>
      </c>
      <c r="F254">
        <v>5.3</v>
      </c>
      <c r="G254">
        <v>5</v>
      </c>
      <c r="H254">
        <v>3</v>
      </c>
      <c r="I254">
        <v>6</v>
      </c>
      <c r="J254">
        <v>8</v>
      </c>
      <c r="K254" s="4" t="str" cm="1">
        <f t="array" ref="K254">_xlfn.IFS(stdsurvey[[#This Row],[phq9_score]]="","Answer Not Provided",stdsurvey[[#This Row],[phq9_score]]&lt;=4,"Minimal",stdsurvey[[#This Row],[phq9_score]]&lt;=9,"Mild",stdsurvey[[#This Row],[phq9_score]]&lt;=14,"Moderate",stdsurvey[[#This Row],[phq9_score]]&lt;=19,"Moderately Severe",stdsurvey[[#This Row],[phq9_score]]&lt;=27,"Severe")</f>
        <v>Mild</v>
      </c>
      <c r="L254">
        <v>14</v>
      </c>
      <c r="M254" s="4" t="str" cm="1">
        <f t="array" ref="M254">_xlfn.IFS(stdsurvey[[#This Row],[gad7_score]]="","Answer Not Provided",stdsurvey[[#This Row],[gad7_score]]&lt;=4,"Minimal",stdsurvey[[#This Row],[gad7_score]]&lt;=9,"Mild",stdsurvey[[#This Row],[gad7_score]]&lt;=14,"Moderate",stdsurvey[[#This Row],[gad7_score]]&lt;=21,"Severe")</f>
        <v>Mild</v>
      </c>
      <c r="N254">
        <v>15.7</v>
      </c>
      <c r="O254" s="4" t="str" cm="1">
        <f t="array" ref="O254">_xlfn.IFS(stdsurvey[[#This Row],[perceived_stress_scale]]="","Answer Not Provided",stdsurvey[[#This Row],[perceived_stress_scale]]&lt;=13,"Low Stress",stdsurvey[[#This Row],[perceived_stress_scale]]&lt;=26,"Moderate Stress",stdsurvey[[#This Row],[perceived_stress_scale]]&lt;=40,"High Stress")</f>
        <v>Moderate Stress</v>
      </c>
      <c r="P254">
        <v>74.2</v>
      </c>
      <c r="Q254">
        <v>3</v>
      </c>
      <c r="R254" s="4" t="str" cm="1">
        <f t="array" ref="R254">_xlfn.IFS(stdsurvey[[#This Row],[class_attendance_percent]]&lt;60,"Less than 0%",stdsurvey[[#This Row],[class_attendance_percent]]&lt;70,"60-70 %",stdsurvey[[#This Row],[class_attendance_percent]]&lt;80, "70-80%",stdsurvey[[#This Row],[class_attendance_percent]]&lt;90,"80-90%",TRUE,"More than 90%")</f>
        <v>70-80%</v>
      </c>
      <c r="S254" t="s">
        <v>22</v>
      </c>
      <c r="T254">
        <v>4</v>
      </c>
      <c r="U254" t="s">
        <v>26</v>
      </c>
      <c r="V254">
        <v>2.87</v>
      </c>
      <c r="W254" s="4" t="str" cm="1">
        <f t="array" ref="W25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54" s="4" t="str" cm="1">
        <f t="array" ref="X254">_xlfn.IFS(stdsurvey[[#This Row],[daily_sleep_hours]]&lt;4,"&lt; 4 hrs",stdsurvey[[#This Row],[daily_sleep_hours]]&lt;=6,"4-6 hrs",stdsurvey[[#This Row],[daily_sleep_hours]]&lt;=8,"6-8 hrs",TRUE,"&gt; 8 hrs")</f>
        <v>4-6 hrs</v>
      </c>
      <c r="Y254" t="s">
        <v>27</v>
      </c>
    </row>
    <row r="255" spans="1:25" x14ac:dyDescent="0.3">
      <c r="A255" t="s">
        <v>289</v>
      </c>
      <c r="B255">
        <v>21</v>
      </c>
      <c r="C255" t="s">
        <v>20</v>
      </c>
      <c r="D255">
        <v>4</v>
      </c>
      <c r="E255" t="s">
        <v>63</v>
      </c>
      <c r="F255">
        <v>6.6</v>
      </c>
      <c r="G255">
        <v>7</v>
      </c>
      <c r="H255">
        <v>1</v>
      </c>
      <c r="I255">
        <v>9</v>
      </c>
      <c r="J255">
        <v>9</v>
      </c>
      <c r="K255" s="4" t="str" cm="1">
        <f t="array" ref="K255">_xlfn.IFS(stdsurvey[[#This Row],[phq9_score]]="","Answer Not Provided",stdsurvey[[#This Row],[phq9_score]]&lt;=4,"Minimal",stdsurvey[[#This Row],[phq9_score]]&lt;=9,"Mild",stdsurvey[[#This Row],[phq9_score]]&lt;=14,"Moderate",stdsurvey[[#This Row],[phq9_score]]&lt;=19,"Moderately Severe",stdsurvey[[#This Row],[phq9_score]]&lt;=27,"Severe")</f>
        <v>Mild</v>
      </c>
      <c r="L255">
        <v>13</v>
      </c>
      <c r="M255" s="4" t="str" cm="1">
        <f t="array" ref="M255">_xlfn.IFS(stdsurvey[[#This Row],[gad7_score]]="","Answer Not Provided",stdsurvey[[#This Row],[gad7_score]]&lt;=4,"Minimal",stdsurvey[[#This Row],[gad7_score]]&lt;=9,"Mild",stdsurvey[[#This Row],[gad7_score]]&lt;=14,"Moderate",stdsurvey[[#This Row],[gad7_score]]&lt;=21,"Severe")</f>
        <v>Mild</v>
      </c>
      <c r="N255">
        <v>1</v>
      </c>
      <c r="O255" s="4" t="str" cm="1">
        <f t="array" ref="O255">_xlfn.IFS(stdsurvey[[#This Row],[perceived_stress_scale]]="","Answer Not Provided",stdsurvey[[#This Row],[perceived_stress_scale]]&lt;=13,"Low Stress",stdsurvey[[#This Row],[perceived_stress_scale]]&lt;=26,"Moderate Stress",stdsurvey[[#This Row],[perceived_stress_scale]]&lt;=40,"High Stress")</f>
        <v>Low Stress</v>
      </c>
      <c r="P255">
        <v>77.3</v>
      </c>
      <c r="Q255">
        <v>4</v>
      </c>
      <c r="R255" s="4" t="str" cm="1">
        <f t="array" ref="R255">_xlfn.IFS(stdsurvey[[#This Row],[class_attendance_percent]]&lt;60,"Less than 0%",stdsurvey[[#This Row],[class_attendance_percent]]&lt;70,"60-70 %",stdsurvey[[#This Row],[class_attendance_percent]]&lt;80, "70-80%",stdsurvey[[#This Row],[class_attendance_percent]]&lt;90,"80-90%",TRUE,"More than 90%")</f>
        <v>70-80%</v>
      </c>
      <c r="S255" t="s">
        <v>22</v>
      </c>
      <c r="T255">
        <v>4</v>
      </c>
      <c r="U255" t="s">
        <v>26</v>
      </c>
      <c r="V255">
        <v>2.77</v>
      </c>
      <c r="W255" s="4" t="str" cm="1">
        <f t="array" ref="W25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55" s="4" t="str" cm="1">
        <f t="array" ref="X255">_xlfn.IFS(stdsurvey[[#This Row],[daily_sleep_hours]]&lt;4,"&lt; 4 hrs",stdsurvey[[#This Row],[daily_sleep_hours]]&lt;=6,"4-6 hrs",stdsurvey[[#This Row],[daily_sleep_hours]]&lt;=8,"6-8 hrs",TRUE,"&gt; 8 hrs")</f>
        <v>6-8 hrs</v>
      </c>
      <c r="Y255" t="s">
        <v>20</v>
      </c>
    </row>
    <row r="256" spans="1:25" x14ac:dyDescent="0.3">
      <c r="A256" t="s">
        <v>290</v>
      </c>
      <c r="B256">
        <v>22</v>
      </c>
      <c r="C256" t="s">
        <v>27</v>
      </c>
      <c r="D256">
        <v>3</v>
      </c>
      <c r="E256" t="s">
        <v>21</v>
      </c>
      <c r="F256">
        <v>5.6</v>
      </c>
      <c r="G256">
        <v>2.2999999999999998</v>
      </c>
      <c r="H256">
        <v>4</v>
      </c>
      <c r="I256">
        <v>11</v>
      </c>
      <c r="J256">
        <v>12</v>
      </c>
      <c r="K256" s="4" t="str" cm="1">
        <f t="array" ref="K256">_xlfn.IFS(stdsurvey[[#This Row],[phq9_score]]="","Answer Not Provided",stdsurvey[[#This Row],[phq9_score]]&lt;=4,"Minimal",stdsurvey[[#This Row],[phq9_score]]&lt;=9,"Mild",stdsurvey[[#This Row],[phq9_score]]&lt;=14,"Moderate",stdsurvey[[#This Row],[phq9_score]]&lt;=19,"Moderately Severe",stdsurvey[[#This Row],[phq9_score]]&lt;=27,"Severe")</f>
        <v>Moderate</v>
      </c>
      <c r="L256">
        <v>17</v>
      </c>
      <c r="M256" s="4" t="str" cm="1">
        <f t="array" ref="M256">_xlfn.IFS(stdsurvey[[#This Row],[gad7_score]]="","Answer Not Provided",stdsurvey[[#This Row],[gad7_score]]&lt;=4,"Minimal",stdsurvey[[#This Row],[gad7_score]]&lt;=9,"Mild",stdsurvey[[#This Row],[gad7_score]]&lt;=14,"Moderate",stdsurvey[[#This Row],[gad7_score]]&lt;=21,"Severe")</f>
        <v>Moderate</v>
      </c>
      <c r="N256">
        <v>12.8</v>
      </c>
      <c r="O256" s="4" t="str" cm="1">
        <f t="array" ref="O256">_xlfn.IFS(stdsurvey[[#This Row],[perceived_stress_scale]]="","Answer Not Provided",stdsurvey[[#This Row],[perceived_stress_scale]]&lt;=13,"Low Stress",stdsurvey[[#This Row],[perceived_stress_scale]]&lt;=26,"Moderate Stress",stdsurvey[[#This Row],[perceived_stress_scale]]&lt;=40,"High Stress")</f>
        <v>Moderate Stress</v>
      </c>
      <c r="P256">
        <v>100</v>
      </c>
      <c r="Q256">
        <v>2</v>
      </c>
      <c r="R256" s="4" t="str" cm="1">
        <f t="array" ref="R256">_xlfn.IFS(stdsurvey[[#This Row],[class_attendance_percent]]&lt;60,"Less than 0%",stdsurvey[[#This Row],[class_attendance_percent]]&lt;70,"60-70 %",stdsurvey[[#This Row],[class_attendance_percent]]&lt;80, "70-80%",stdsurvey[[#This Row],[class_attendance_percent]]&lt;90,"80-90%",TRUE,"More than 90%")</f>
        <v>More than 90%</v>
      </c>
      <c r="S256" t="s">
        <v>22</v>
      </c>
      <c r="T256">
        <v>2</v>
      </c>
      <c r="U256" t="s">
        <v>23</v>
      </c>
      <c r="V256">
        <v>2.69</v>
      </c>
      <c r="W256" s="4" t="str" cm="1">
        <f t="array" ref="W25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56" s="4" t="str" cm="1">
        <f t="array" ref="X256">_xlfn.IFS(stdsurvey[[#This Row],[daily_sleep_hours]]&lt;4,"&lt; 4 hrs",stdsurvey[[#This Row],[daily_sleep_hours]]&lt;=6,"4-6 hrs",stdsurvey[[#This Row],[daily_sleep_hours]]&lt;=8,"6-8 hrs",TRUE,"&gt; 8 hrs")</f>
        <v>4-6 hrs</v>
      </c>
      <c r="Y256" t="s">
        <v>27</v>
      </c>
    </row>
    <row r="257" spans="1:25" x14ac:dyDescent="0.3">
      <c r="A257" t="s">
        <v>291</v>
      </c>
      <c r="B257">
        <v>25</v>
      </c>
      <c r="C257" t="s">
        <v>27</v>
      </c>
      <c r="D257">
        <v>1</v>
      </c>
      <c r="E257" t="s">
        <v>30</v>
      </c>
      <c r="F257">
        <v>9.5</v>
      </c>
      <c r="G257">
        <v>1</v>
      </c>
      <c r="H257">
        <v>6</v>
      </c>
      <c r="I257">
        <v>14</v>
      </c>
      <c r="J257">
        <v>12</v>
      </c>
      <c r="K257" s="4" t="str" cm="1">
        <f t="array" ref="K257">_xlfn.IFS(stdsurvey[[#This Row],[phq9_score]]="","Answer Not Provided",stdsurvey[[#This Row],[phq9_score]]&lt;=4,"Minimal",stdsurvey[[#This Row],[phq9_score]]&lt;=9,"Mild",stdsurvey[[#This Row],[phq9_score]]&lt;=14,"Moderate",stdsurvey[[#This Row],[phq9_score]]&lt;=19,"Moderately Severe",stdsurvey[[#This Row],[phq9_score]]&lt;=27,"Severe")</f>
        <v>Moderate</v>
      </c>
      <c r="L257">
        <v>13</v>
      </c>
      <c r="M257" s="4" t="str" cm="1">
        <f t="array" ref="M257">_xlfn.IFS(stdsurvey[[#This Row],[gad7_score]]="","Answer Not Provided",stdsurvey[[#This Row],[gad7_score]]&lt;=4,"Minimal",stdsurvey[[#This Row],[gad7_score]]&lt;=9,"Mild",stdsurvey[[#This Row],[gad7_score]]&lt;=14,"Moderate",stdsurvey[[#This Row],[gad7_score]]&lt;=21,"Severe")</f>
        <v>Moderate</v>
      </c>
      <c r="N257">
        <v>26.3</v>
      </c>
      <c r="O257" s="4" t="str" cm="1">
        <f t="array" ref="O257">_xlfn.IFS(stdsurvey[[#This Row],[perceived_stress_scale]]="","Answer Not Provided",stdsurvey[[#This Row],[perceived_stress_scale]]&lt;=13,"Low Stress",stdsurvey[[#This Row],[perceived_stress_scale]]&lt;=26,"Moderate Stress",stdsurvey[[#This Row],[perceived_stress_scale]]&lt;=40,"High Stress")</f>
        <v>Low Stress</v>
      </c>
      <c r="P257">
        <v>77.599999999999994</v>
      </c>
      <c r="Q257">
        <v>3</v>
      </c>
      <c r="R257" s="4" t="str" cm="1">
        <f t="array" ref="R257">_xlfn.IFS(stdsurvey[[#This Row],[class_attendance_percent]]&lt;60,"Less than 0%",stdsurvey[[#This Row],[class_attendance_percent]]&lt;70,"60-70 %",stdsurvey[[#This Row],[class_attendance_percent]]&lt;80, "70-80%",stdsurvey[[#This Row],[class_attendance_percent]]&lt;90,"80-90%",TRUE,"More than 90%")</f>
        <v>70-80%</v>
      </c>
      <c r="S257" t="s">
        <v>22</v>
      </c>
      <c r="T257">
        <v>3</v>
      </c>
      <c r="U257" t="s">
        <v>26</v>
      </c>
      <c r="W257" s="4" t="str" cm="1">
        <f t="array" ref="W25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57" s="4" t="str" cm="1">
        <f t="array" ref="X257">_xlfn.IFS(stdsurvey[[#This Row],[daily_sleep_hours]]&lt;4,"&lt; 4 hrs",stdsurvey[[#This Row],[daily_sleep_hours]]&lt;=6,"4-6 hrs",stdsurvey[[#This Row],[daily_sleep_hours]]&lt;=8,"6-8 hrs",TRUE,"&gt; 8 hrs")</f>
        <v>&gt; 8 hrs</v>
      </c>
      <c r="Y257" t="s">
        <v>27</v>
      </c>
    </row>
    <row r="258" spans="1:25" x14ac:dyDescent="0.3">
      <c r="A258" t="s">
        <v>292</v>
      </c>
      <c r="B258">
        <v>19</v>
      </c>
      <c r="C258" t="s">
        <v>27</v>
      </c>
      <c r="D258">
        <v>1</v>
      </c>
      <c r="E258" t="s">
        <v>30</v>
      </c>
      <c r="F258">
        <v>5.3</v>
      </c>
      <c r="G258">
        <v>8.1999999999999993</v>
      </c>
      <c r="H258">
        <v>2</v>
      </c>
      <c r="I258">
        <v>6</v>
      </c>
      <c r="J258">
        <v>6</v>
      </c>
      <c r="K258" s="4" t="str" cm="1">
        <f t="array" ref="K258">_xlfn.IFS(stdsurvey[[#This Row],[phq9_score]]="","Answer Not Provided",stdsurvey[[#This Row],[phq9_score]]&lt;=4,"Minimal",stdsurvey[[#This Row],[phq9_score]]&lt;=9,"Mild",stdsurvey[[#This Row],[phq9_score]]&lt;=14,"Moderate",stdsurvey[[#This Row],[phq9_score]]&lt;=19,"Moderately Severe",stdsurvey[[#This Row],[phq9_score]]&lt;=27,"Severe")</f>
        <v>Mild</v>
      </c>
      <c r="L258">
        <v>17</v>
      </c>
      <c r="M258" s="4" t="str" cm="1">
        <f t="array" ref="M258">_xlfn.IFS(stdsurvey[[#This Row],[gad7_score]]="","Answer Not Provided",stdsurvey[[#This Row],[gad7_score]]&lt;=4,"Minimal",stdsurvey[[#This Row],[gad7_score]]&lt;=9,"Mild",stdsurvey[[#This Row],[gad7_score]]&lt;=14,"Moderate",stdsurvey[[#This Row],[gad7_score]]&lt;=21,"Severe")</f>
        <v>Mild</v>
      </c>
      <c r="N258">
        <v>21.7</v>
      </c>
      <c r="O258" s="4" t="str" cm="1">
        <f t="array" ref="O258">_xlfn.IFS(stdsurvey[[#This Row],[perceived_stress_scale]]="","Answer Not Provided",stdsurvey[[#This Row],[perceived_stress_scale]]&lt;=13,"Low Stress",stdsurvey[[#This Row],[perceived_stress_scale]]&lt;=26,"Moderate Stress",stdsurvey[[#This Row],[perceived_stress_scale]]&lt;=40,"High Stress")</f>
        <v>Moderate Stress</v>
      </c>
      <c r="P258">
        <v>86.1</v>
      </c>
      <c r="Q258">
        <v>4</v>
      </c>
      <c r="R258" s="4" t="str" cm="1">
        <f t="array" ref="R258">_xlfn.IFS(stdsurvey[[#This Row],[class_attendance_percent]]&lt;60,"Less than 0%",stdsurvey[[#This Row],[class_attendance_percent]]&lt;70,"60-70 %",stdsurvey[[#This Row],[class_attendance_percent]]&lt;80, "70-80%",stdsurvey[[#This Row],[class_attendance_percent]]&lt;90,"80-90%",TRUE,"More than 90%")</f>
        <v>80-90%</v>
      </c>
      <c r="S258" t="s">
        <v>22</v>
      </c>
      <c r="T258">
        <v>3</v>
      </c>
      <c r="U258" t="s">
        <v>23</v>
      </c>
      <c r="V258">
        <v>3.3</v>
      </c>
      <c r="W258" s="4" t="str" cm="1">
        <f t="array" ref="W25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58" s="4" t="str" cm="1">
        <f t="array" ref="X258">_xlfn.IFS(stdsurvey[[#This Row],[daily_sleep_hours]]&lt;4,"&lt; 4 hrs",stdsurvey[[#This Row],[daily_sleep_hours]]&lt;=6,"4-6 hrs",stdsurvey[[#This Row],[daily_sleep_hours]]&lt;=8,"6-8 hrs",TRUE,"&gt; 8 hrs")</f>
        <v>4-6 hrs</v>
      </c>
      <c r="Y258" t="s">
        <v>27</v>
      </c>
    </row>
    <row r="259" spans="1:25" x14ac:dyDescent="0.3">
      <c r="A259" t="s">
        <v>293</v>
      </c>
      <c r="B259">
        <v>21</v>
      </c>
      <c r="C259" t="s">
        <v>20</v>
      </c>
      <c r="D259">
        <v>3</v>
      </c>
      <c r="E259" t="s">
        <v>30</v>
      </c>
      <c r="F259">
        <v>7.8</v>
      </c>
      <c r="G259">
        <v>1.8</v>
      </c>
      <c r="H259">
        <v>3</v>
      </c>
      <c r="I259">
        <v>4</v>
      </c>
      <c r="J259">
        <v>7</v>
      </c>
      <c r="K259" s="4" t="str" cm="1">
        <f t="array" ref="K259">_xlfn.IFS(stdsurvey[[#This Row],[phq9_score]]="","Answer Not Provided",stdsurvey[[#This Row],[phq9_score]]&lt;=4,"Minimal",stdsurvey[[#This Row],[phq9_score]]&lt;=9,"Mild",stdsurvey[[#This Row],[phq9_score]]&lt;=14,"Moderate",stdsurvey[[#This Row],[phq9_score]]&lt;=19,"Moderately Severe",stdsurvey[[#This Row],[phq9_score]]&lt;=27,"Severe")</f>
        <v>Minimal</v>
      </c>
      <c r="L259">
        <v>10</v>
      </c>
      <c r="M259" s="4" t="str" cm="1">
        <f t="array" ref="M259">_xlfn.IFS(stdsurvey[[#This Row],[gad7_score]]="","Answer Not Provided",stdsurvey[[#This Row],[gad7_score]]&lt;=4,"Minimal",stdsurvey[[#This Row],[gad7_score]]&lt;=9,"Mild",stdsurvey[[#This Row],[gad7_score]]&lt;=14,"Moderate",stdsurvey[[#This Row],[gad7_score]]&lt;=21,"Severe")</f>
        <v>Mild</v>
      </c>
      <c r="N259">
        <v>23.7</v>
      </c>
      <c r="O259" s="4" t="str" cm="1">
        <f t="array" ref="O259">_xlfn.IFS(stdsurvey[[#This Row],[perceived_stress_scale]]="","Answer Not Provided",stdsurvey[[#This Row],[perceived_stress_scale]]&lt;=13,"Low Stress",stdsurvey[[#This Row],[perceived_stress_scale]]&lt;=26,"Moderate Stress",stdsurvey[[#This Row],[perceived_stress_scale]]&lt;=40,"High Stress")</f>
        <v>Low Stress</v>
      </c>
      <c r="P259">
        <v>86.7</v>
      </c>
      <c r="Q259">
        <v>2</v>
      </c>
      <c r="R259" s="4" t="str" cm="1">
        <f t="array" ref="R259">_xlfn.IFS(stdsurvey[[#This Row],[class_attendance_percent]]&lt;60,"Less than 0%",stdsurvey[[#This Row],[class_attendance_percent]]&lt;70,"60-70 %",stdsurvey[[#This Row],[class_attendance_percent]]&lt;80, "70-80%",stdsurvey[[#This Row],[class_attendance_percent]]&lt;90,"80-90%",TRUE,"More than 90%")</f>
        <v>80-90%</v>
      </c>
      <c r="S259" t="s">
        <v>22</v>
      </c>
      <c r="T259">
        <v>1</v>
      </c>
      <c r="U259" t="s">
        <v>23</v>
      </c>
      <c r="V259">
        <v>3.15</v>
      </c>
      <c r="W259" s="4" t="str" cm="1">
        <f t="array" ref="W25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59" s="4" t="str" cm="1">
        <f t="array" ref="X259">_xlfn.IFS(stdsurvey[[#This Row],[daily_sleep_hours]]&lt;4,"&lt; 4 hrs",stdsurvey[[#This Row],[daily_sleep_hours]]&lt;=6,"4-6 hrs",stdsurvey[[#This Row],[daily_sleep_hours]]&lt;=8,"6-8 hrs",TRUE,"&gt; 8 hrs")</f>
        <v>6-8 hrs</v>
      </c>
      <c r="Y259" t="s">
        <v>20</v>
      </c>
    </row>
    <row r="260" spans="1:25" x14ac:dyDescent="0.3">
      <c r="A260" t="s">
        <v>294</v>
      </c>
      <c r="B260">
        <v>23</v>
      </c>
      <c r="C260" t="s">
        <v>27</v>
      </c>
      <c r="D260">
        <v>3</v>
      </c>
      <c r="E260" t="s">
        <v>30</v>
      </c>
      <c r="F260">
        <v>6.9</v>
      </c>
      <c r="G260">
        <v>3</v>
      </c>
      <c r="H260">
        <v>4</v>
      </c>
      <c r="I260">
        <v>11</v>
      </c>
      <c r="J260">
        <v>9</v>
      </c>
      <c r="K260" s="4" t="str" cm="1">
        <f t="array" ref="K260">_xlfn.IFS(stdsurvey[[#This Row],[phq9_score]]="","Answer Not Provided",stdsurvey[[#This Row],[phq9_score]]&lt;=4,"Minimal",stdsurvey[[#This Row],[phq9_score]]&lt;=9,"Mild",stdsurvey[[#This Row],[phq9_score]]&lt;=14,"Moderate",stdsurvey[[#This Row],[phq9_score]]&lt;=19,"Moderately Severe",stdsurvey[[#This Row],[phq9_score]]&lt;=27,"Severe")</f>
        <v>Moderate</v>
      </c>
      <c r="L260">
        <v>18</v>
      </c>
      <c r="M260" s="4" t="str" cm="1">
        <f t="array" ref="M260">_xlfn.IFS(stdsurvey[[#This Row],[gad7_score]]="","Answer Not Provided",stdsurvey[[#This Row],[gad7_score]]&lt;=4,"Minimal",stdsurvey[[#This Row],[gad7_score]]&lt;=9,"Mild",stdsurvey[[#This Row],[gad7_score]]&lt;=14,"Moderate",stdsurvey[[#This Row],[gad7_score]]&lt;=21,"Severe")</f>
        <v>Mild</v>
      </c>
      <c r="N260">
        <v>1</v>
      </c>
      <c r="O260" s="4" t="str" cm="1">
        <f t="array" ref="O260">_xlfn.IFS(stdsurvey[[#This Row],[perceived_stress_scale]]="","Answer Not Provided",stdsurvey[[#This Row],[perceived_stress_scale]]&lt;=13,"Low Stress",stdsurvey[[#This Row],[perceived_stress_scale]]&lt;=26,"Moderate Stress",stdsurvey[[#This Row],[perceived_stress_scale]]&lt;=40,"High Stress")</f>
        <v>Moderate Stress</v>
      </c>
      <c r="P260">
        <v>84.2</v>
      </c>
      <c r="Q260">
        <v>3</v>
      </c>
      <c r="R260" s="4" t="str" cm="1">
        <f t="array" ref="R260">_xlfn.IFS(stdsurvey[[#This Row],[class_attendance_percent]]&lt;60,"Less than 0%",stdsurvey[[#This Row],[class_attendance_percent]]&lt;70,"60-70 %",stdsurvey[[#This Row],[class_attendance_percent]]&lt;80, "70-80%",stdsurvey[[#This Row],[class_attendance_percent]]&lt;90,"80-90%",TRUE,"More than 90%")</f>
        <v>80-90%</v>
      </c>
      <c r="S260" t="s">
        <v>33</v>
      </c>
      <c r="T260">
        <v>5</v>
      </c>
      <c r="U260" t="s">
        <v>23</v>
      </c>
      <c r="V260">
        <v>2.2599999999999998</v>
      </c>
      <c r="W260" s="4" t="str" cm="1">
        <f t="array" ref="W26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0" s="4" t="str" cm="1">
        <f t="array" ref="X260">_xlfn.IFS(stdsurvey[[#This Row],[daily_sleep_hours]]&lt;4,"&lt; 4 hrs",stdsurvey[[#This Row],[daily_sleep_hours]]&lt;=6,"4-6 hrs",stdsurvey[[#This Row],[daily_sleep_hours]]&lt;=8,"6-8 hrs",TRUE,"&gt; 8 hrs")</f>
        <v>6-8 hrs</v>
      </c>
      <c r="Y260" t="s">
        <v>27</v>
      </c>
    </row>
    <row r="261" spans="1:25" x14ac:dyDescent="0.3">
      <c r="A261" t="s">
        <v>295</v>
      </c>
      <c r="B261">
        <v>22</v>
      </c>
      <c r="C261" t="s">
        <v>27</v>
      </c>
      <c r="D261">
        <v>1</v>
      </c>
      <c r="E261" t="s">
        <v>21</v>
      </c>
      <c r="F261">
        <v>7.5</v>
      </c>
      <c r="G261">
        <v>6.9</v>
      </c>
      <c r="H261">
        <v>1</v>
      </c>
      <c r="I261">
        <v>1</v>
      </c>
      <c r="J261">
        <v>3</v>
      </c>
      <c r="K261" s="4" t="str" cm="1">
        <f t="array" ref="K261">_xlfn.IFS(stdsurvey[[#This Row],[phq9_score]]="","Answer Not Provided",stdsurvey[[#This Row],[phq9_score]]&lt;=4,"Minimal",stdsurvey[[#This Row],[phq9_score]]&lt;=9,"Mild",stdsurvey[[#This Row],[phq9_score]]&lt;=14,"Moderate",stdsurvey[[#This Row],[phq9_score]]&lt;=19,"Moderately Severe",stdsurvey[[#This Row],[phq9_score]]&lt;=27,"Severe")</f>
        <v>Minimal</v>
      </c>
      <c r="L261">
        <v>11</v>
      </c>
      <c r="M261" s="4" t="str" cm="1">
        <f t="array" ref="M261">_xlfn.IFS(stdsurvey[[#This Row],[gad7_score]]="","Answer Not Provided",stdsurvey[[#This Row],[gad7_score]]&lt;=4,"Minimal",stdsurvey[[#This Row],[gad7_score]]&lt;=9,"Mild",stdsurvey[[#This Row],[gad7_score]]&lt;=14,"Moderate",stdsurvey[[#This Row],[gad7_score]]&lt;=21,"Severe")</f>
        <v>Minimal</v>
      </c>
      <c r="N261">
        <v>15.5</v>
      </c>
      <c r="O261" s="4" t="str" cm="1">
        <f t="array" ref="O261">_xlfn.IFS(stdsurvey[[#This Row],[perceived_stress_scale]]="","Answer Not Provided",stdsurvey[[#This Row],[perceived_stress_scale]]&lt;=13,"Low Stress",stdsurvey[[#This Row],[perceived_stress_scale]]&lt;=26,"Moderate Stress",stdsurvey[[#This Row],[perceived_stress_scale]]&lt;=40,"High Stress")</f>
        <v>Low Stress</v>
      </c>
      <c r="P261">
        <v>82</v>
      </c>
      <c r="R261" s="4" t="str" cm="1">
        <f t="array" ref="R261">_xlfn.IFS(stdsurvey[[#This Row],[class_attendance_percent]]&lt;60,"Less than 0%",stdsurvey[[#This Row],[class_attendance_percent]]&lt;70,"60-70 %",stdsurvey[[#This Row],[class_attendance_percent]]&lt;80, "70-80%",stdsurvey[[#This Row],[class_attendance_percent]]&lt;90,"80-90%",TRUE,"More than 90%")</f>
        <v>80-90%</v>
      </c>
      <c r="S261" t="s">
        <v>22</v>
      </c>
      <c r="T261">
        <v>3</v>
      </c>
      <c r="U261" t="s">
        <v>23</v>
      </c>
      <c r="V261">
        <v>3.09</v>
      </c>
      <c r="W261" s="4" t="str" cm="1">
        <f t="array" ref="W26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61" s="4" t="str" cm="1">
        <f t="array" ref="X261">_xlfn.IFS(stdsurvey[[#This Row],[daily_sleep_hours]]&lt;4,"&lt; 4 hrs",stdsurvey[[#This Row],[daily_sleep_hours]]&lt;=6,"4-6 hrs",stdsurvey[[#This Row],[daily_sleep_hours]]&lt;=8,"6-8 hrs",TRUE,"&gt; 8 hrs")</f>
        <v>6-8 hrs</v>
      </c>
      <c r="Y261" t="s">
        <v>27</v>
      </c>
    </row>
    <row r="262" spans="1:25" x14ac:dyDescent="0.3">
      <c r="A262" t="s">
        <v>296</v>
      </c>
      <c r="B262">
        <v>21</v>
      </c>
      <c r="C262" t="s">
        <v>39</v>
      </c>
      <c r="D262">
        <v>4</v>
      </c>
      <c r="E262" t="s">
        <v>49</v>
      </c>
      <c r="F262">
        <v>7</v>
      </c>
      <c r="G262">
        <v>2.2000000000000002</v>
      </c>
      <c r="H262">
        <v>5</v>
      </c>
      <c r="I262">
        <v>6</v>
      </c>
      <c r="J262">
        <v>9</v>
      </c>
      <c r="K262" s="4" t="str" cm="1">
        <f t="array" ref="K262">_xlfn.IFS(stdsurvey[[#This Row],[phq9_score]]="","Answer Not Provided",stdsurvey[[#This Row],[phq9_score]]&lt;=4,"Minimal",stdsurvey[[#This Row],[phq9_score]]&lt;=9,"Mild",stdsurvey[[#This Row],[phq9_score]]&lt;=14,"Moderate",stdsurvey[[#This Row],[phq9_score]]&lt;=19,"Moderately Severe",stdsurvey[[#This Row],[phq9_score]]&lt;=27,"Severe")</f>
        <v>Mild</v>
      </c>
      <c r="L262">
        <v>14</v>
      </c>
      <c r="M262" s="4" t="str" cm="1">
        <f t="array" ref="M262">_xlfn.IFS(stdsurvey[[#This Row],[gad7_score]]="","Answer Not Provided",stdsurvey[[#This Row],[gad7_score]]&lt;=4,"Minimal",stdsurvey[[#This Row],[gad7_score]]&lt;=9,"Mild",stdsurvey[[#This Row],[gad7_score]]&lt;=14,"Moderate",stdsurvey[[#This Row],[gad7_score]]&lt;=21,"Severe")</f>
        <v>Mild</v>
      </c>
      <c r="N262">
        <v>15.7</v>
      </c>
      <c r="O262" s="4" t="str" cm="1">
        <f t="array" ref="O262">_xlfn.IFS(stdsurvey[[#This Row],[perceived_stress_scale]]="","Answer Not Provided",stdsurvey[[#This Row],[perceived_stress_scale]]&lt;=13,"Low Stress",stdsurvey[[#This Row],[perceived_stress_scale]]&lt;=26,"Moderate Stress",stdsurvey[[#This Row],[perceived_stress_scale]]&lt;=40,"High Stress")</f>
        <v>Moderate Stress</v>
      </c>
      <c r="P262">
        <v>83.5</v>
      </c>
      <c r="Q262">
        <v>5</v>
      </c>
      <c r="R262" s="4" t="str" cm="1">
        <f t="array" ref="R262">_xlfn.IFS(stdsurvey[[#This Row],[class_attendance_percent]]&lt;60,"Less than 0%",stdsurvey[[#This Row],[class_attendance_percent]]&lt;70,"60-70 %",stdsurvey[[#This Row],[class_attendance_percent]]&lt;80, "70-80%",stdsurvey[[#This Row],[class_attendance_percent]]&lt;90,"80-90%",TRUE,"More than 90%")</f>
        <v>80-90%</v>
      </c>
      <c r="S262" t="s">
        <v>33</v>
      </c>
      <c r="T262">
        <v>3</v>
      </c>
      <c r="U262" t="s">
        <v>23</v>
      </c>
      <c r="V262">
        <v>3</v>
      </c>
      <c r="W262" s="4" t="str" cm="1">
        <f t="array" ref="W26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2" s="4" t="str" cm="1">
        <f t="array" ref="X262">_xlfn.IFS(stdsurvey[[#This Row],[daily_sleep_hours]]&lt;4,"&lt; 4 hrs",stdsurvey[[#This Row],[daily_sleep_hours]]&lt;=6,"4-6 hrs",stdsurvey[[#This Row],[daily_sleep_hours]]&lt;=8,"6-8 hrs",TRUE,"&gt; 8 hrs")</f>
        <v>6-8 hrs</v>
      </c>
      <c r="Y262" t="s">
        <v>27</v>
      </c>
    </row>
    <row r="263" spans="1:25" x14ac:dyDescent="0.3">
      <c r="A263" t="s">
        <v>297</v>
      </c>
      <c r="B263">
        <v>21</v>
      </c>
      <c r="C263" t="s">
        <v>61</v>
      </c>
      <c r="D263">
        <v>4</v>
      </c>
      <c r="E263" t="s">
        <v>49</v>
      </c>
      <c r="F263">
        <v>7.7</v>
      </c>
      <c r="G263">
        <v>7.9</v>
      </c>
      <c r="H263">
        <v>2</v>
      </c>
      <c r="K263" s="4" t="str" cm="1">
        <f t="array" ref="K263">_xlfn.IFS(stdsurvey[[#This Row],[phq9_score]]="","Answer Not Provided",stdsurvey[[#This Row],[phq9_score]]&lt;=4,"Minimal",stdsurvey[[#This Row],[phq9_score]]&lt;=9,"Mild",stdsurvey[[#This Row],[phq9_score]]&lt;=14,"Moderate",stdsurvey[[#This Row],[phq9_score]]&lt;=19,"Moderately Severe",stdsurvey[[#This Row],[phq9_score]]&lt;=27,"Severe")</f>
        <v>Answer Not Provided</v>
      </c>
      <c r="L263">
        <v>14</v>
      </c>
      <c r="M263" s="4" t="str" cm="1">
        <f t="array" ref="M263">_xlfn.IFS(stdsurvey[[#This Row],[gad7_score]]="","Answer Not Provided",stdsurvey[[#This Row],[gad7_score]]&lt;=4,"Minimal",stdsurvey[[#This Row],[gad7_score]]&lt;=9,"Mild",stdsurvey[[#This Row],[gad7_score]]&lt;=14,"Moderate",stdsurvey[[#This Row],[gad7_score]]&lt;=21,"Severe")</f>
        <v>Answer Not Provided</v>
      </c>
      <c r="N263">
        <v>21</v>
      </c>
      <c r="O263" s="4" t="str" cm="1">
        <f t="array" ref="O263">_xlfn.IFS(stdsurvey[[#This Row],[perceived_stress_scale]]="","Answer Not Provided",stdsurvey[[#This Row],[perceived_stress_scale]]&lt;=13,"Low Stress",stdsurvey[[#This Row],[perceived_stress_scale]]&lt;=26,"Moderate Stress",stdsurvey[[#This Row],[perceived_stress_scale]]&lt;=40,"High Stress")</f>
        <v>Moderate Stress</v>
      </c>
      <c r="P263">
        <v>84.1</v>
      </c>
      <c r="Q263">
        <v>2</v>
      </c>
      <c r="R263" s="4" t="str" cm="1">
        <f t="array" ref="R263">_xlfn.IFS(stdsurvey[[#This Row],[class_attendance_percent]]&lt;60,"Less than 0%",stdsurvey[[#This Row],[class_attendance_percent]]&lt;70,"60-70 %",stdsurvey[[#This Row],[class_attendance_percent]]&lt;80, "70-80%",stdsurvey[[#This Row],[class_attendance_percent]]&lt;90,"80-90%",TRUE,"More than 90%")</f>
        <v>80-90%</v>
      </c>
      <c r="S263" t="s">
        <v>33</v>
      </c>
      <c r="T263">
        <v>3</v>
      </c>
      <c r="U263" t="s">
        <v>23</v>
      </c>
      <c r="V263">
        <v>2.75</v>
      </c>
      <c r="W263" s="4" t="str" cm="1">
        <f t="array" ref="W26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63" s="4" t="str" cm="1">
        <f t="array" ref="X263">_xlfn.IFS(stdsurvey[[#This Row],[daily_sleep_hours]]&lt;4,"&lt; 4 hrs",stdsurvey[[#This Row],[daily_sleep_hours]]&lt;=6,"4-6 hrs",stdsurvey[[#This Row],[daily_sleep_hours]]&lt;=8,"6-8 hrs",TRUE,"&gt; 8 hrs")</f>
        <v>6-8 hrs</v>
      </c>
      <c r="Y263" t="s">
        <v>61</v>
      </c>
    </row>
    <row r="264" spans="1:25" x14ac:dyDescent="0.3">
      <c r="A264" t="s">
        <v>298</v>
      </c>
      <c r="B264">
        <v>19</v>
      </c>
      <c r="C264" t="s">
        <v>39</v>
      </c>
      <c r="D264">
        <v>3</v>
      </c>
      <c r="E264" t="s">
        <v>30</v>
      </c>
      <c r="F264">
        <v>6.5</v>
      </c>
      <c r="G264">
        <v>2.7</v>
      </c>
      <c r="H264">
        <v>4</v>
      </c>
      <c r="I264">
        <v>4</v>
      </c>
      <c r="J264">
        <v>5</v>
      </c>
      <c r="K264" s="4" t="str" cm="1">
        <f t="array" ref="K264">_xlfn.IFS(stdsurvey[[#This Row],[phq9_score]]="","Answer Not Provided",stdsurvey[[#This Row],[phq9_score]]&lt;=4,"Minimal",stdsurvey[[#This Row],[phq9_score]]&lt;=9,"Mild",stdsurvey[[#This Row],[phq9_score]]&lt;=14,"Moderate",stdsurvey[[#This Row],[phq9_score]]&lt;=19,"Moderately Severe",stdsurvey[[#This Row],[phq9_score]]&lt;=27,"Severe")</f>
        <v>Minimal</v>
      </c>
      <c r="L264">
        <v>6</v>
      </c>
      <c r="M264" s="4" t="str" cm="1">
        <f t="array" ref="M264">_xlfn.IFS(stdsurvey[[#This Row],[gad7_score]]="","Answer Not Provided",stdsurvey[[#This Row],[gad7_score]]&lt;=4,"Minimal",stdsurvey[[#This Row],[gad7_score]]&lt;=9,"Mild",stdsurvey[[#This Row],[gad7_score]]&lt;=14,"Moderate",stdsurvey[[#This Row],[gad7_score]]&lt;=21,"Severe")</f>
        <v>Mild</v>
      </c>
      <c r="N264">
        <v>25.5</v>
      </c>
      <c r="O264" s="4" t="str" cm="1">
        <f t="array" ref="O264">_xlfn.IFS(stdsurvey[[#This Row],[perceived_stress_scale]]="","Answer Not Provided",stdsurvey[[#This Row],[perceived_stress_scale]]&lt;=13,"Low Stress",stdsurvey[[#This Row],[perceived_stress_scale]]&lt;=26,"Moderate Stress",stdsurvey[[#This Row],[perceived_stress_scale]]&lt;=40,"High Stress")</f>
        <v>Low Stress</v>
      </c>
      <c r="P264">
        <v>72.400000000000006</v>
      </c>
      <c r="R264" s="4" t="str" cm="1">
        <f t="array" ref="R264">_xlfn.IFS(stdsurvey[[#This Row],[class_attendance_percent]]&lt;60,"Less than 0%",stdsurvey[[#This Row],[class_attendance_percent]]&lt;70,"60-70 %",stdsurvey[[#This Row],[class_attendance_percent]]&lt;80, "70-80%",stdsurvey[[#This Row],[class_attendance_percent]]&lt;90,"80-90%",TRUE,"More than 90%")</f>
        <v>70-80%</v>
      </c>
      <c r="S264" t="s">
        <v>22</v>
      </c>
      <c r="T264">
        <v>3</v>
      </c>
      <c r="U264" t="s">
        <v>26</v>
      </c>
      <c r="V264">
        <v>3.05</v>
      </c>
      <c r="W264" s="4" t="str" cm="1">
        <f t="array" ref="W26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4" s="4" t="str" cm="1">
        <f t="array" ref="X264">_xlfn.IFS(stdsurvey[[#This Row],[daily_sleep_hours]]&lt;4,"&lt; 4 hrs",stdsurvey[[#This Row],[daily_sleep_hours]]&lt;=6,"4-6 hrs",stdsurvey[[#This Row],[daily_sleep_hours]]&lt;=8,"6-8 hrs",TRUE,"&gt; 8 hrs")</f>
        <v>6-8 hrs</v>
      </c>
      <c r="Y264" t="s">
        <v>27</v>
      </c>
    </row>
    <row r="265" spans="1:25" x14ac:dyDescent="0.3">
      <c r="A265" t="s">
        <v>299</v>
      </c>
      <c r="B265">
        <v>21</v>
      </c>
      <c r="C265" t="s">
        <v>27</v>
      </c>
      <c r="D265">
        <v>2</v>
      </c>
      <c r="E265" t="s">
        <v>32</v>
      </c>
      <c r="F265">
        <v>6.8</v>
      </c>
      <c r="G265">
        <v>2.4</v>
      </c>
      <c r="H265">
        <v>0</v>
      </c>
      <c r="I265">
        <v>15</v>
      </c>
      <c r="J265">
        <v>11</v>
      </c>
      <c r="K265" s="4" t="str" cm="1">
        <f t="array" ref="K265">_xlfn.IFS(stdsurvey[[#This Row],[phq9_score]]="","Answer Not Provided",stdsurvey[[#This Row],[phq9_score]]&lt;=4,"Minimal",stdsurvey[[#This Row],[phq9_score]]&lt;=9,"Mild",stdsurvey[[#This Row],[phq9_score]]&lt;=14,"Moderate",stdsurvey[[#This Row],[phq9_score]]&lt;=19,"Moderately Severe",stdsurvey[[#This Row],[phq9_score]]&lt;=27,"Severe")</f>
        <v>Moderately Severe</v>
      </c>
      <c r="L265">
        <v>27</v>
      </c>
      <c r="M265" s="4" t="str" cm="1">
        <f t="array" ref="M265">_xlfn.IFS(stdsurvey[[#This Row],[gad7_score]]="","Answer Not Provided",stdsurvey[[#This Row],[gad7_score]]&lt;=4,"Minimal",stdsurvey[[#This Row],[gad7_score]]&lt;=9,"Mild",stdsurvey[[#This Row],[gad7_score]]&lt;=14,"Moderate",stdsurvey[[#This Row],[gad7_score]]&lt;=21,"Severe")</f>
        <v>Moderate</v>
      </c>
      <c r="N265">
        <v>13.9</v>
      </c>
      <c r="O265" s="4" t="str" cm="1">
        <f t="array" ref="O265">_xlfn.IFS(stdsurvey[[#This Row],[perceived_stress_scale]]="","Answer Not Provided",stdsurvey[[#This Row],[perceived_stress_scale]]&lt;=13,"Low Stress",stdsurvey[[#This Row],[perceived_stress_scale]]&lt;=26,"Moderate Stress",stdsurvey[[#This Row],[perceived_stress_scale]]&lt;=40,"High Stress")</f>
        <v>High Stress</v>
      </c>
      <c r="P265">
        <v>86.8</v>
      </c>
      <c r="R265" s="4" t="str" cm="1">
        <f t="array" ref="R265">_xlfn.IFS(stdsurvey[[#This Row],[class_attendance_percent]]&lt;60,"Less than 0%",stdsurvey[[#This Row],[class_attendance_percent]]&lt;70,"60-70 %",stdsurvey[[#This Row],[class_attendance_percent]]&lt;80, "70-80%",stdsurvey[[#This Row],[class_attendance_percent]]&lt;90,"80-90%",TRUE,"More than 90%")</f>
        <v>80-90%</v>
      </c>
      <c r="S265" t="s">
        <v>22</v>
      </c>
      <c r="T265">
        <v>2</v>
      </c>
      <c r="U265" t="s">
        <v>26</v>
      </c>
      <c r="V265">
        <v>3.02</v>
      </c>
      <c r="W265" s="4" t="str" cm="1">
        <f t="array" ref="W26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5" s="4" t="str" cm="1">
        <f t="array" ref="X265">_xlfn.IFS(stdsurvey[[#This Row],[daily_sleep_hours]]&lt;4,"&lt; 4 hrs",stdsurvey[[#This Row],[daily_sleep_hours]]&lt;=6,"4-6 hrs",stdsurvey[[#This Row],[daily_sleep_hours]]&lt;=8,"6-8 hrs",TRUE,"&gt; 8 hrs")</f>
        <v>6-8 hrs</v>
      </c>
      <c r="Y265" t="s">
        <v>27</v>
      </c>
    </row>
    <row r="266" spans="1:25" x14ac:dyDescent="0.3">
      <c r="A266" t="s">
        <v>300</v>
      </c>
      <c r="B266">
        <v>21</v>
      </c>
      <c r="C266" t="s">
        <v>45</v>
      </c>
      <c r="D266">
        <v>1</v>
      </c>
      <c r="E266" t="s">
        <v>30</v>
      </c>
      <c r="F266">
        <v>6.9</v>
      </c>
      <c r="G266">
        <v>1.8</v>
      </c>
      <c r="H266">
        <v>2</v>
      </c>
      <c r="I266">
        <v>7</v>
      </c>
      <c r="J266">
        <v>9</v>
      </c>
      <c r="K266" s="4" t="str" cm="1">
        <f t="array" ref="K266">_xlfn.IFS(stdsurvey[[#This Row],[phq9_score]]="","Answer Not Provided",stdsurvey[[#This Row],[phq9_score]]&lt;=4,"Minimal",stdsurvey[[#This Row],[phq9_score]]&lt;=9,"Mild",stdsurvey[[#This Row],[phq9_score]]&lt;=14,"Moderate",stdsurvey[[#This Row],[phq9_score]]&lt;=19,"Moderately Severe",stdsurvey[[#This Row],[phq9_score]]&lt;=27,"Severe")</f>
        <v>Mild</v>
      </c>
      <c r="L266">
        <v>17</v>
      </c>
      <c r="M266" s="4" t="str" cm="1">
        <f t="array" ref="M266">_xlfn.IFS(stdsurvey[[#This Row],[gad7_score]]="","Answer Not Provided",stdsurvey[[#This Row],[gad7_score]]&lt;=4,"Minimal",stdsurvey[[#This Row],[gad7_score]]&lt;=9,"Mild",stdsurvey[[#This Row],[gad7_score]]&lt;=14,"Moderate",stdsurvey[[#This Row],[gad7_score]]&lt;=21,"Severe")</f>
        <v>Mild</v>
      </c>
      <c r="N266">
        <v>15.4</v>
      </c>
      <c r="O266" s="4" t="str" cm="1">
        <f t="array" ref="O266">_xlfn.IFS(stdsurvey[[#This Row],[perceived_stress_scale]]="","Answer Not Provided",stdsurvey[[#This Row],[perceived_stress_scale]]&lt;=13,"Low Stress",stdsurvey[[#This Row],[perceived_stress_scale]]&lt;=26,"Moderate Stress",stdsurvey[[#This Row],[perceived_stress_scale]]&lt;=40,"High Stress")</f>
        <v>Moderate Stress</v>
      </c>
      <c r="P266">
        <v>100</v>
      </c>
      <c r="Q266">
        <v>1</v>
      </c>
      <c r="R266" s="4" t="str" cm="1">
        <f t="array" ref="R266">_xlfn.IFS(stdsurvey[[#This Row],[class_attendance_percent]]&lt;60,"Less than 0%",stdsurvey[[#This Row],[class_attendance_percent]]&lt;70,"60-70 %",stdsurvey[[#This Row],[class_attendance_percent]]&lt;80, "70-80%",stdsurvey[[#This Row],[class_attendance_percent]]&lt;90,"80-90%",TRUE,"More than 90%")</f>
        <v>More than 90%</v>
      </c>
      <c r="S266" t="s">
        <v>22</v>
      </c>
      <c r="T266">
        <v>5</v>
      </c>
      <c r="U266" t="s">
        <v>23</v>
      </c>
      <c r="V266">
        <v>3.26</v>
      </c>
      <c r="W266" s="4" t="str" cm="1">
        <f t="array" ref="W26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6" s="4" t="str" cm="1">
        <f t="array" ref="X266">_xlfn.IFS(stdsurvey[[#This Row],[daily_sleep_hours]]&lt;4,"&lt; 4 hrs",stdsurvey[[#This Row],[daily_sleep_hours]]&lt;=6,"4-6 hrs",stdsurvey[[#This Row],[daily_sleep_hours]]&lt;=8,"6-8 hrs",TRUE,"&gt; 8 hrs")</f>
        <v>6-8 hrs</v>
      </c>
      <c r="Y266" t="s">
        <v>20</v>
      </c>
    </row>
    <row r="267" spans="1:25" x14ac:dyDescent="0.3">
      <c r="A267" t="s">
        <v>301</v>
      </c>
      <c r="B267">
        <v>22</v>
      </c>
      <c r="C267" t="s">
        <v>20</v>
      </c>
      <c r="D267">
        <v>4</v>
      </c>
      <c r="E267" t="s">
        <v>35</v>
      </c>
      <c r="F267">
        <v>5.8</v>
      </c>
      <c r="G267">
        <v>2.7</v>
      </c>
      <c r="H267">
        <v>3</v>
      </c>
      <c r="I267">
        <v>12</v>
      </c>
      <c r="J267">
        <v>11</v>
      </c>
      <c r="K267" s="4" t="str" cm="1">
        <f t="array" ref="K267">_xlfn.IFS(stdsurvey[[#This Row],[phq9_score]]="","Answer Not Provided",stdsurvey[[#This Row],[phq9_score]]&lt;=4,"Minimal",stdsurvey[[#This Row],[phq9_score]]&lt;=9,"Mild",stdsurvey[[#This Row],[phq9_score]]&lt;=14,"Moderate",stdsurvey[[#This Row],[phq9_score]]&lt;=19,"Moderately Severe",stdsurvey[[#This Row],[phq9_score]]&lt;=27,"Severe")</f>
        <v>Moderate</v>
      </c>
      <c r="L267">
        <v>18</v>
      </c>
      <c r="M267" s="4" t="str" cm="1">
        <f t="array" ref="M267">_xlfn.IFS(stdsurvey[[#This Row],[gad7_score]]="","Answer Not Provided",stdsurvey[[#This Row],[gad7_score]]&lt;=4,"Minimal",stdsurvey[[#This Row],[gad7_score]]&lt;=9,"Mild",stdsurvey[[#This Row],[gad7_score]]&lt;=14,"Moderate",stdsurvey[[#This Row],[gad7_score]]&lt;=21,"Severe")</f>
        <v>Moderate</v>
      </c>
      <c r="N267">
        <v>7.7</v>
      </c>
      <c r="O267" s="4" t="str" cm="1">
        <f t="array" ref="O267">_xlfn.IFS(stdsurvey[[#This Row],[perceived_stress_scale]]="","Answer Not Provided",stdsurvey[[#This Row],[perceived_stress_scale]]&lt;=13,"Low Stress",stdsurvey[[#This Row],[perceived_stress_scale]]&lt;=26,"Moderate Stress",stdsurvey[[#This Row],[perceived_stress_scale]]&lt;=40,"High Stress")</f>
        <v>Moderate Stress</v>
      </c>
      <c r="P267">
        <v>92.5</v>
      </c>
      <c r="Q267">
        <v>2</v>
      </c>
      <c r="R267" s="4" t="str" cm="1">
        <f t="array" ref="R267">_xlfn.IFS(stdsurvey[[#This Row],[class_attendance_percent]]&lt;60,"Less than 0%",stdsurvey[[#This Row],[class_attendance_percent]]&lt;70,"60-70 %",stdsurvey[[#This Row],[class_attendance_percent]]&lt;80, "70-80%",stdsurvey[[#This Row],[class_attendance_percent]]&lt;90,"80-90%",TRUE,"More than 90%")</f>
        <v>More than 90%</v>
      </c>
      <c r="S267" t="s">
        <v>22</v>
      </c>
      <c r="T267">
        <v>4</v>
      </c>
      <c r="U267" t="s">
        <v>26</v>
      </c>
      <c r="V267">
        <v>2.95</v>
      </c>
      <c r="W267" s="4" t="str" cm="1">
        <f t="array" ref="W26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7" s="4" t="str" cm="1">
        <f t="array" ref="X267">_xlfn.IFS(stdsurvey[[#This Row],[daily_sleep_hours]]&lt;4,"&lt; 4 hrs",stdsurvey[[#This Row],[daily_sleep_hours]]&lt;=6,"4-6 hrs",stdsurvey[[#This Row],[daily_sleep_hours]]&lt;=8,"6-8 hrs",TRUE,"&gt; 8 hrs")</f>
        <v>4-6 hrs</v>
      </c>
      <c r="Y267" t="s">
        <v>20</v>
      </c>
    </row>
    <row r="268" spans="1:25" x14ac:dyDescent="0.3">
      <c r="A268" t="s">
        <v>302</v>
      </c>
      <c r="B268">
        <v>20</v>
      </c>
      <c r="C268" t="s">
        <v>27</v>
      </c>
      <c r="D268">
        <v>2</v>
      </c>
      <c r="E268" t="s">
        <v>30</v>
      </c>
      <c r="F268">
        <v>6.1</v>
      </c>
      <c r="G268">
        <v>6.3</v>
      </c>
      <c r="H268">
        <v>3</v>
      </c>
      <c r="I268">
        <v>3</v>
      </c>
      <c r="J268">
        <v>5</v>
      </c>
      <c r="K268" s="4" t="str" cm="1">
        <f t="array" ref="K268">_xlfn.IFS(stdsurvey[[#This Row],[phq9_score]]="","Answer Not Provided",stdsurvey[[#This Row],[phq9_score]]&lt;=4,"Minimal",stdsurvey[[#This Row],[phq9_score]]&lt;=9,"Mild",stdsurvey[[#This Row],[phq9_score]]&lt;=14,"Moderate",stdsurvey[[#This Row],[phq9_score]]&lt;=19,"Moderately Severe",stdsurvey[[#This Row],[phq9_score]]&lt;=27,"Severe")</f>
        <v>Minimal</v>
      </c>
      <c r="L268">
        <v>13</v>
      </c>
      <c r="M268" s="4" t="str" cm="1">
        <f t="array" ref="M268">_xlfn.IFS(stdsurvey[[#This Row],[gad7_score]]="","Answer Not Provided",stdsurvey[[#This Row],[gad7_score]]&lt;=4,"Minimal",stdsurvey[[#This Row],[gad7_score]]&lt;=9,"Mild",stdsurvey[[#This Row],[gad7_score]]&lt;=14,"Moderate",stdsurvey[[#This Row],[gad7_score]]&lt;=21,"Severe")</f>
        <v>Mild</v>
      </c>
      <c r="N268">
        <v>15.7</v>
      </c>
      <c r="O268" s="4" t="str" cm="1">
        <f t="array" ref="O268">_xlfn.IFS(stdsurvey[[#This Row],[perceived_stress_scale]]="","Answer Not Provided",stdsurvey[[#This Row],[perceived_stress_scale]]&lt;=13,"Low Stress",stdsurvey[[#This Row],[perceived_stress_scale]]&lt;=26,"Moderate Stress",stdsurvey[[#This Row],[perceived_stress_scale]]&lt;=40,"High Stress")</f>
        <v>Low Stress</v>
      </c>
      <c r="P268">
        <v>86.4</v>
      </c>
      <c r="Q268">
        <v>4</v>
      </c>
      <c r="R268" s="4" t="str" cm="1">
        <f t="array" ref="R268">_xlfn.IFS(stdsurvey[[#This Row],[class_attendance_percent]]&lt;60,"Less than 0%",stdsurvey[[#This Row],[class_attendance_percent]]&lt;70,"60-70 %",stdsurvey[[#This Row],[class_attendance_percent]]&lt;80, "70-80%",stdsurvey[[#This Row],[class_attendance_percent]]&lt;90,"80-90%",TRUE,"More than 90%")</f>
        <v>80-90%</v>
      </c>
      <c r="S268" t="s">
        <v>22</v>
      </c>
      <c r="T268">
        <v>4</v>
      </c>
      <c r="U268" t="s">
        <v>26</v>
      </c>
      <c r="V268">
        <v>3.64</v>
      </c>
      <c r="W268" s="4" t="str" cm="1">
        <f t="array" ref="W26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68" s="4" t="str" cm="1">
        <f t="array" ref="X268">_xlfn.IFS(stdsurvey[[#This Row],[daily_sleep_hours]]&lt;4,"&lt; 4 hrs",stdsurvey[[#This Row],[daily_sleep_hours]]&lt;=6,"4-6 hrs",stdsurvey[[#This Row],[daily_sleep_hours]]&lt;=8,"6-8 hrs",TRUE,"&gt; 8 hrs")</f>
        <v>6-8 hrs</v>
      </c>
      <c r="Y268" t="s">
        <v>27</v>
      </c>
    </row>
    <row r="269" spans="1:25" x14ac:dyDescent="0.3">
      <c r="A269" t="s">
        <v>303</v>
      </c>
      <c r="B269">
        <v>22</v>
      </c>
      <c r="C269" t="s">
        <v>27</v>
      </c>
      <c r="D269">
        <v>4</v>
      </c>
      <c r="E269" t="s">
        <v>32</v>
      </c>
      <c r="F269">
        <v>9.1999999999999993</v>
      </c>
      <c r="G269">
        <v>3</v>
      </c>
      <c r="H269">
        <v>5</v>
      </c>
      <c r="I269">
        <v>5</v>
      </c>
      <c r="J269">
        <v>5</v>
      </c>
      <c r="K269" s="4" t="str" cm="1">
        <f t="array" ref="K269">_xlfn.IFS(stdsurvey[[#This Row],[phq9_score]]="","Answer Not Provided",stdsurvey[[#This Row],[phq9_score]]&lt;=4,"Minimal",stdsurvey[[#This Row],[phq9_score]]&lt;=9,"Mild",stdsurvey[[#This Row],[phq9_score]]&lt;=14,"Moderate",stdsurvey[[#This Row],[phq9_score]]&lt;=19,"Moderately Severe",stdsurvey[[#This Row],[phq9_score]]&lt;=27,"Severe")</f>
        <v>Mild</v>
      </c>
      <c r="L269">
        <v>7</v>
      </c>
      <c r="M269" s="4" t="str" cm="1">
        <f t="array" ref="M269">_xlfn.IFS(stdsurvey[[#This Row],[gad7_score]]="","Answer Not Provided",stdsurvey[[#This Row],[gad7_score]]&lt;=4,"Minimal",stdsurvey[[#This Row],[gad7_score]]&lt;=9,"Mild",stdsurvey[[#This Row],[gad7_score]]&lt;=14,"Moderate",stdsurvey[[#This Row],[gad7_score]]&lt;=21,"Severe")</f>
        <v>Mild</v>
      </c>
      <c r="N269">
        <v>8.6999999999999993</v>
      </c>
      <c r="O269" s="4" t="str" cm="1">
        <f t="array" ref="O269">_xlfn.IFS(stdsurvey[[#This Row],[perceived_stress_scale]]="","Answer Not Provided",stdsurvey[[#This Row],[perceived_stress_scale]]&lt;=13,"Low Stress",stdsurvey[[#This Row],[perceived_stress_scale]]&lt;=26,"Moderate Stress",stdsurvey[[#This Row],[perceived_stress_scale]]&lt;=40,"High Stress")</f>
        <v>Low Stress</v>
      </c>
      <c r="P269">
        <v>92.9</v>
      </c>
      <c r="Q269">
        <v>1</v>
      </c>
      <c r="R269" s="4" t="str" cm="1">
        <f t="array" ref="R269">_xlfn.IFS(stdsurvey[[#This Row],[class_attendance_percent]]&lt;60,"Less than 0%",stdsurvey[[#This Row],[class_attendance_percent]]&lt;70,"60-70 %",stdsurvey[[#This Row],[class_attendance_percent]]&lt;80, "70-80%",stdsurvey[[#This Row],[class_attendance_percent]]&lt;90,"80-90%",TRUE,"More than 90%")</f>
        <v>More than 90%</v>
      </c>
      <c r="S269" t="s">
        <v>33</v>
      </c>
      <c r="T269">
        <v>3</v>
      </c>
      <c r="U269" t="s">
        <v>26</v>
      </c>
      <c r="V269">
        <v>3.23</v>
      </c>
      <c r="W269" s="4" t="str" cm="1">
        <f t="array" ref="W26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69" s="4" t="str" cm="1">
        <f t="array" ref="X269">_xlfn.IFS(stdsurvey[[#This Row],[daily_sleep_hours]]&lt;4,"&lt; 4 hrs",stdsurvey[[#This Row],[daily_sleep_hours]]&lt;=6,"4-6 hrs",stdsurvey[[#This Row],[daily_sleep_hours]]&lt;=8,"6-8 hrs",TRUE,"&gt; 8 hrs")</f>
        <v>&gt; 8 hrs</v>
      </c>
      <c r="Y269" t="s">
        <v>27</v>
      </c>
    </row>
    <row r="270" spans="1:25" x14ac:dyDescent="0.3">
      <c r="A270" t="s">
        <v>304</v>
      </c>
      <c r="B270">
        <v>24</v>
      </c>
      <c r="C270" t="s">
        <v>61</v>
      </c>
      <c r="D270">
        <v>2</v>
      </c>
      <c r="E270" t="s">
        <v>21</v>
      </c>
      <c r="F270">
        <v>5.2</v>
      </c>
      <c r="G270">
        <v>8.1999999999999993</v>
      </c>
      <c r="H270">
        <v>7</v>
      </c>
      <c r="I270">
        <v>5</v>
      </c>
      <c r="J270">
        <v>6</v>
      </c>
      <c r="K270" s="4" t="str" cm="1">
        <f t="array" ref="K270">_xlfn.IFS(stdsurvey[[#This Row],[phq9_score]]="","Answer Not Provided",stdsurvey[[#This Row],[phq9_score]]&lt;=4,"Minimal",stdsurvey[[#This Row],[phq9_score]]&lt;=9,"Mild",stdsurvey[[#This Row],[phq9_score]]&lt;=14,"Moderate",stdsurvey[[#This Row],[phq9_score]]&lt;=19,"Moderately Severe",stdsurvey[[#This Row],[phq9_score]]&lt;=27,"Severe")</f>
        <v>Mild</v>
      </c>
      <c r="L270">
        <v>10</v>
      </c>
      <c r="M270" s="4" t="str" cm="1">
        <f t="array" ref="M270">_xlfn.IFS(stdsurvey[[#This Row],[gad7_score]]="","Answer Not Provided",stdsurvey[[#This Row],[gad7_score]]&lt;=4,"Minimal",stdsurvey[[#This Row],[gad7_score]]&lt;=9,"Mild",stdsurvey[[#This Row],[gad7_score]]&lt;=14,"Moderate",stdsurvey[[#This Row],[gad7_score]]&lt;=21,"Severe")</f>
        <v>Mild</v>
      </c>
      <c r="N270">
        <v>1.9</v>
      </c>
      <c r="O270" s="4" t="str" cm="1">
        <f t="array" ref="O270">_xlfn.IFS(stdsurvey[[#This Row],[perceived_stress_scale]]="","Answer Not Provided",stdsurvey[[#This Row],[perceived_stress_scale]]&lt;=13,"Low Stress",stdsurvey[[#This Row],[perceived_stress_scale]]&lt;=26,"Moderate Stress",stdsurvey[[#This Row],[perceived_stress_scale]]&lt;=40,"High Stress")</f>
        <v>Low Stress</v>
      </c>
      <c r="P270">
        <v>68.5</v>
      </c>
      <c r="Q270">
        <v>3</v>
      </c>
      <c r="R270" s="4" t="str" cm="1">
        <f t="array" ref="R270">_xlfn.IFS(stdsurvey[[#This Row],[class_attendance_percent]]&lt;60,"Less than 0%",stdsurvey[[#This Row],[class_attendance_percent]]&lt;70,"60-70 %",stdsurvey[[#This Row],[class_attendance_percent]]&lt;80, "70-80%",stdsurvey[[#This Row],[class_attendance_percent]]&lt;90,"80-90%",TRUE,"More than 90%")</f>
        <v>60-70 %</v>
      </c>
      <c r="S270" t="s">
        <v>22</v>
      </c>
      <c r="T270">
        <v>2</v>
      </c>
      <c r="U270" t="s">
        <v>23</v>
      </c>
      <c r="V270">
        <v>2.52</v>
      </c>
      <c r="W270" s="4" t="str" cm="1">
        <f t="array" ref="W27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70" s="4" t="str" cm="1">
        <f t="array" ref="X270">_xlfn.IFS(stdsurvey[[#This Row],[daily_sleep_hours]]&lt;4,"&lt; 4 hrs",stdsurvey[[#This Row],[daily_sleep_hours]]&lt;=6,"4-6 hrs",stdsurvey[[#This Row],[daily_sleep_hours]]&lt;=8,"6-8 hrs",TRUE,"&gt; 8 hrs")</f>
        <v>4-6 hrs</v>
      </c>
      <c r="Y270" t="s">
        <v>61</v>
      </c>
    </row>
    <row r="271" spans="1:25" x14ac:dyDescent="0.3">
      <c r="A271" t="s">
        <v>305</v>
      </c>
      <c r="B271">
        <v>22</v>
      </c>
      <c r="C271" t="s">
        <v>27</v>
      </c>
      <c r="D271">
        <v>3</v>
      </c>
      <c r="E271" t="s">
        <v>49</v>
      </c>
      <c r="F271">
        <v>6.9</v>
      </c>
      <c r="G271">
        <v>4.5</v>
      </c>
      <c r="H271">
        <v>0</v>
      </c>
      <c r="I271">
        <v>9</v>
      </c>
      <c r="J271">
        <v>8</v>
      </c>
      <c r="K271" s="4" t="str" cm="1">
        <f t="array" ref="K271">_xlfn.IFS(stdsurvey[[#This Row],[phq9_score]]="","Answer Not Provided",stdsurvey[[#This Row],[phq9_score]]&lt;=4,"Minimal",stdsurvey[[#This Row],[phq9_score]]&lt;=9,"Mild",stdsurvey[[#This Row],[phq9_score]]&lt;=14,"Moderate",stdsurvey[[#This Row],[phq9_score]]&lt;=19,"Moderately Severe",stdsurvey[[#This Row],[phq9_score]]&lt;=27,"Severe")</f>
        <v>Mild</v>
      </c>
      <c r="L271">
        <v>19</v>
      </c>
      <c r="M271" s="4" t="str" cm="1">
        <f t="array" ref="M271">_xlfn.IFS(stdsurvey[[#This Row],[gad7_score]]="","Answer Not Provided",stdsurvey[[#This Row],[gad7_score]]&lt;=4,"Minimal",stdsurvey[[#This Row],[gad7_score]]&lt;=9,"Mild",stdsurvey[[#This Row],[gad7_score]]&lt;=14,"Moderate",stdsurvey[[#This Row],[gad7_score]]&lt;=21,"Severe")</f>
        <v>Mild</v>
      </c>
      <c r="N271">
        <v>7.4</v>
      </c>
      <c r="O271" s="4" t="str" cm="1">
        <f t="array" ref="O271">_xlfn.IFS(stdsurvey[[#This Row],[perceived_stress_scale]]="","Answer Not Provided",stdsurvey[[#This Row],[perceived_stress_scale]]&lt;=13,"Low Stress",stdsurvey[[#This Row],[perceived_stress_scale]]&lt;=26,"Moderate Stress",stdsurvey[[#This Row],[perceived_stress_scale]]&lt;=40,"High Stress")</f>
        <v>Moderate Stress</v>
      </c>
      <c r="P271">
        <v>74.400000000000006</v>
      </c>
      <c r="Q271">
        <v>1</v>
      </c>
      <c r="R271" s="4" t="str" cm="1">
        <f t="array" ref="R271">_xlfn.IFS(stdsurvey[[#This Row],[class_attendance_percent]]&lt;60,"Less than 0%",stdsurvey[[#This Row],[class_attendance_percent]]&lt;70,"60-70 %",stdsurvey[[#This Row],[class_attendance_percent]]&lt;80, "70-80%",stdsurvey[[#This Row],[class_attendance_percent]]&lt;90,"80-90%",TRUE,"More than 90%")</f>
        <v>70-80%</v>
      </c>
      <c r="S271" t="s">
        <v>22</v>
      </c>
      <c r="T271">
        <v>1</v>
      </c>
      <c r="U271" t="s">
        <v>26</v>
      </c>
      <c r="V271">
        <v>2.76</v>
      </c>
      <c r="W271" s="4" t="str" cm="1">
        <f t="array" ref="W27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71" s="4" t="str" cm="1">
        <f t="array" ref="X271">_xlfn.IFS(stdsurvey[[#This Row],[daily_sleep_hours]]&lt;4,"&lt; 4 hrs",stdsurvey[[#This Row],[daily_sleep_hours]]&lt;=6,"4-6 hrs",stdsurvey[[#This Row],[daily_sleep_hours]]&lt;=8,"6-8 hrs",TRUE,"&gt; 8 hrs")</f>
        <v>6-8 hrs</v>
      </c>
      <c r="Y271" t="s">
        <v>27</v>
      </c>
    </row>
    <row r="272" spans="1:25" x14ac:dyDescent="0.3">
      <c r="A272" t="s">
        <v>306</v>
      </c>
      <c r="B272">
        <v>22</v>
      </c>
      <c r="C272" t="s">
        <v>20</v>
      </c>
      <c r="D272">
        <v>2</v>
      </c>
      <c r="E272" t="s">
        <v>21</v>
      </c>
      <c r="F272">
        <v>7.4</v>
      </c>
      <c r="G272">
        <v>4.7</v>
      </c>
      <c r="H272">
        <v>2</v>
      </c>
      <c r="I272">
        <v>3</v>
      </c>
      <c r="J272">
        <v>3</v>
      </c>
      <c r="K272" s="4" t="str" cm="1">
        <f t="array" ref="K272">_xlfn.IFS(stdsurvey[[#This Row],[phq9_score]]="","Answer Not Provided",stdsurvey[[#This Row],[phq9_score]]&lt;=4,"Minimal",stdsurvey[[#This Row],[phq9_score]]&lt;=9,"Mild",stdsurvey[[#This Row],[phq9_score]]&lt;=14,"Moderate",stdsurvey[[#This Row],[phq9_score]]&lt;=19,"Moderately Severe",stdsurvey[[#This Row],[phq9_score]]&lt;=27,"Severe")</f>
        <v>Minimal</v>
      </c>
      <c r="L272">
        <v>3</v>
      </c>
      <c r="M272" s="4" t="str" cm="1">
        <f t="array" ref="M272">_xlfn.IFS(stdsurvey[[#This Row],[gad7_score]]="","Answer Not Provided",stdsurvey[[#This Row],[gad7_score]]&lt;=4,"Minimal",stdsurvey[[#This Row],[gad7_score]]&lt;=9,"Mild",stdsurvey[[#This Row],[gad7_score]]&lt;=14,"Moderate",stdsurvey[[#This Row],[gad7_score]]&lt;=21,"Severe")</f>
        <v>Minimal</v>
      </c>
      <c r="N272">
        <v>30.4</v>
      </c>
      <c r="O272" s="4" t="str" cm="1">
        <f t="array" ref="O272">_xlfn.IFS(stdsurvey[[#This Row],[perceived_stress_scale]]="","Answer Not Provided",stdsurvey[[#This Row],[perceived_stress_scale]]&lt;=13,"Low Stress",stdsurvey[[#This Row],[perceived_stress_scale]]&lt;=26,"Moderate Stress",stdsurvey[[#This Row],[perceived_stress_scale]]&lt;=40,"High Stress")</f>
        <v>Low Stress</v>
      </c>
      <c r="P272">
        <v>99.6</v>
      </c>
      <c r="Q272">
        <v>3</v>
      </c>
      <c r="R272" s="4" t="str" cm="1">
        <f t="array" ref="R272">_xlfn.IFS(stdsurvey[[#This Row],[class_attendance_percent]]&lt;60,"Less than 0%",stdsurvey[[#This Row],[class_attendance_percent]]&lt;70,"60-70 %",stdsurvey[[#This Row],[class_attendance_percent]]&lt;80, "70-80%",stdsurvey[[#This Row],[class_attendance_percent]]&lt;90,"80-90%",TRUE,"More than 90%")</f>
        <v>More than 90%</v>
      </c>
      <c r="S272" t="s">
        <v>22</v>
      </c>
      <c r="T272">
        <v>3</v>
      </c>
      <c r="U272" t="s">
        <v>23</v>
      </c>
      <c r="V272">
        <v>3.33</v>
      </c>
      <c r="W272" s="4" t="str" cm="1">
        <f t="array" ref="W27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72" s="4" t="str" cm="1">
        <f t="array" ref="X272">_xlfn.IFS(stdsurvey[[#This Row],[daily_sleep_hours]]&lt;4,"&lt; 4 hrs",stdsurvey[[#This Row],[daily_sleep_hours]]&lt;=6,"4-6 hrs",stdsurvey[[#This Row],[daily_sleep_hours]]&lt;=8,"6-8 hrs",TRUE,"&gt; 8 hrs")</f>
        <v>6-8 hrs</v>
      </c>
      <c r="Y272" t="s">
        <v>20</v>
      </c>
    </row>
    <row r="273" spans="1:25" x14ac:dyDescent="0.3">
      <c r="A273" t="s">
        <v>307</v>
      </c>
      <c r="B273">
        <v>22</v>
      </c>
      <c r="C273" t="s">
        <v>29</v>
      </c>
      <c r="D273">
        <v>1</v>
      </c>
      <c r="E273" t="s">
        <v>49</v>
      </c>
      <c r="F273">
        <v>8</v>
      </c>
      <c r="G273">
        <v>2.4</v>
      </c>
      <c r="H273">
        <v>2</v>
      </c>
      <c r="I273">
        <v>4</v>
      </c>
      <c r="J273">
        <v>5</v>
      </c>
      <c r="K273" s="4" t="str" cm="1">
        <f t="array" ref="K273">_xlfn.IFS(stdsurvey[[#This Row],[phq9_score]]="","Answer Not Provided",stdsurvey[[#This Row],[phq9_score]]&lt;=4,"Minimal",stdsurvey[[#This Row],[phq9_score]]&lt;=9,"Mild",stdsurvey[[#This Row],[phq9_score]]&lt;=14,"Moderate",stdsurvey[[#This Row],[phq9_score]]&lt;=19,"Moderately Severe",stdsurvey[[#This Row],[phq9_score]]&lt;=27,"Severe")</f>
        <v>Minimal</v>
      </c>
      <c r="L273">
        <v>11</v>
      </c>
      <c r="M273" s="4" t="str" cm="1">
        <f t="array" ref="M273">_xlfn.IFS(stdsurvey[[#This Row],[gad7_score]]="","Answer Not Provided",stdsurvey[[#This Row],[gad7_score]]&lt;=4,"Minimal",stdsurvey[[#This Row],[gad7_score]]&lt;=9,"Mild",stdsurvey[[#This Row],[gad7_score]]&lt;=14,"Moderate",stdsurvey[[#This Row],[gad7_score]]&lt;=21,"Severe")</f>
        <v>Mild</v>
      </c>
      <c r="N273">
        <v>16.7</v>
      </c>
      <c r="O273" s="4" t="str" cm="1">
        <f t="array" ref="O273">_xlfn.IFS(stdsurvey[[#This Row],[perceived_stress_scale]]="","Answer Not Provided",stdsurvey[[#This Row],[perceived_stress_scale]]&lt;=13,"Low Stress",stdsurvey[[#This Row],[perceived_stress_scale]]&lt;=26,"Moderate Stress",stdsurvey[[#This Row],[perceived_stress_scale]]&lt;=40,"High Stress")</f>
        <v>Low Stress</v>
      </c>
      <c r="P273">
        <v>99</v>
      </c>
      <c r="Q273">
        <v>1</v>
      </c>
      <c r="R273" s="4" t="str" cm="1">
        <f t="array" ref="R273">_xlfn.IFS(stdsurvey[[#This Row],[class_attendance_percent]]&lt;60,"Less than 0%",stdsurvey[[#This Row],[class_attendance_percent]]&lt;70,"60-70 %",stdsurvey[[#This Row],[class_attendance_percent]]&lt;80, "70-80%",stdsurvey[[#This Row],[class_attendance_percent]]&lt;90,"80-90%",TRUE,"More than 90%")</f>
        <v>More than 90%</v>
      </c>
      <c r="S273" t="s">
        <v>22</v>
      </c>
      <c r="T273">
        <v>2</v>
      </c>
      <c r="U273" t="s">
        <v>23</v>
      </c>
      <c r="V273">
        <v>3.29</v>
      </c>
      <c r="W273" s="4" t="str" cm="1">
        <f t="array" ref="W27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73" s="4" t="str" cm="1">
        <f t="array" ref="X273">_xlfn.IFS(stdsurvey[[#This Row],[daily_sleep_hours]]&lt;4,"&lt; 4 hrs",stdsurvey[[#This Row],[daily_sleep_hours]]&lt;=6,"4-6 hrs",stdsurvey[[#This Row],[daily_sleep_hours]]&lt;=8,"6-8 hrs",TRUE,"&gt; 8 hrs")</f>
        <v>6-8 hrs</v>
      </c>
      <c r="Y273" t="s">
        <v>29</v>
      </c>
    </row>
    <row r="274" spans="1:25" x14ac:dyDescent="0.3">
      <c r="A274" t="s">
        <v>308</v>
      </c>
      <c r="B274">
        <v>22</v>
      </c>
      <c r="C274" t="s">
        <v>27</v>
      </c>
      <c r="D274">
        <v>4</v>
      </c>
      <c r="E274" t="s">
        <v>30</v>
      </c>
      <c r="F274">
        <v>5.6</v>
      </c>
      <c r="G274">
        <v>9</v>
      </c>
      <c r="H274">
        <v>3</v>
      </c>
      <c r="I274">
        <v>7</v>
      </c>
      <c r="J274">
        <v>7</v>
      </c>
      <c r="K274" s="4" t="str" cm="1">
        <f t="array" ref="K274">_xlfn.IFS(stdsurvey[[#This Row],[phq9_score]]="","Answer Not Provided",stdsurvey[[#This Row],[phq9_score]]&lt;=4,"Minimal",stdsurvey[[#This Row],[phq9_score]]&lt;=9,"Mild",stdsurvey[[#This Row],[phq9_score]]&lt;=14,"Moderate",stdsurvey[[#This Row],[phq9_score]]&lt;=19,"Moderately Severe",stdsurvey[[#This Row],[phq9_score]]&lt;=27,"Severe")</f>
        <v>Mild</v>
      </c>
      <c r="L274">
        <v>14</v>
      </c>
      <c r="M274" s="4" t="str" cm="1">
        <f t="array" ref="M274">_xlfn.IFS(stdsurvey[[#This Row],[gad7_score]]="","Answer Not Provided",stdsurvey[[#This Row],[gad7_score]]&lt;=4,"Minimal",stdsurvey[[#This Row],[gad7_score]]&lt;=9,"Mild",stdsurvey[[#This Row],[gad7_score]]&lt;=14,"Moderate",stdsurvey[[#This Row],[gad7_score]]&lt;=21,"Severe")</f>
        <v>Mild</v>
      </c>
      <c r="N274">
        <v>23.8</v>
      </c>
      <c r="O274" s="4" t="str" cm="1">
        <f t="array" ref="O274">_xlfn.IFS(stdsurvey[[#This Row],[perceived_stress_scale]]="","Answer Not Provided",stdsurvey[[#This Row],[perceived_stress_scale]]&lt;=13,"Low Stress",stdsurvey[[#This Row],[perceived_stress_scale]]&lt;=26,"Moderate Stress",stdsurvey[[#This Row],[perceived_stress_scale]]&lt;=40,"High Stress")</f>
        <v>Moderate Stress</v>
      </c>
      <c r="P274">
        <v>72.599999999999994</v>
      </c>
      <c r="Q274">
        <v>4</v>
      </c>
      <c r="R274" s="4" t="str" cm="1">
        <f t="array" ref="R274">_xlfn.IFS(stdsurvey[[#This Row],[class_attendance_percent]]&lt;60,"Less than 0%",stdsurvey[[#This Row],[class_attendance_percent]]&lt;70,"60-70 %",stdsurvey[[#This Row],[class_attendance_percent]]&lt;80, "70-80%",stdsurvey[[#This Row],[class_attendance_percent]]&lt;90,"80-90%",TRUE,"More than 90%")</f>
        <v>70-80%</v>
      </c>
      <c r="S274" t="s">
        <v>22</v>
      </c>
      <c r="T274">
        <v>4</v>
      </c>
      <c r="U274" t="s">
        <v>23</v>
      </c>
      <c r="V274">
        <v>3.04</v>
      </c>
      <c r="W274" s="4" t="str" cm="1">
        <f t="array" ref="W27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74" s="4" t="str" cm="1">
        <f t="array" ref="X274">_xlfn.IFS(stdsurvey[[#This Row],[daily_sleep_hours]]&lt;4,"&lt; 4 hrs",stdsurvey[[#This Row],[daily_sleep_hours]]&lt;=6,"4-6 hrs",stdsurvey[[#This Row],[daily_sleep_hours]]&lt;=8,"6-8 hrs",TRUE,"&gt; 8 hrs")</f>
        <v>4-6 hrs</v>
      </c>
      <c r="Y274" t="s">
        <v>27</v>
      </c>
    </row>
    <row r="275" spans="1:25" x14ac:dyDescent="0.3">
      <c r="A275" t="s">
        <v>309</v>
      </c>
      <c r="B275">
        <v>20</v>
      </c>
      <c r="C275" t="s">
        <v>27</v>
      </c>
      <c r="D275">
        <v>3</v>
      </c>
      <c r="E275" t="s">
        <v>35</v>
      </c>
      <c r="F275">
        <v>3.5</v>
      </c>
      <c r="G275">
        <v>7.1</v>
      </c>
      <c r="H275">
        <v>3</v>
      </c>
      <c r="I275">
        <v>7</v>
      </c>
      <c r="J275">
        <v>6</v>
      </c>
      <c r="K275" s="4" t="str" cm="1">
        <f t="array" ref="K275">_xlfn.IFS(stdsurvey[[#This Row],[phq9_score]]="","Answer Not Provided",stdsurvey[[#This Row],[phq9_score]]&lt;=4,"Minimal",stdsurvey[[#This Row],[phq9_score]]&lt;=9,"Mild",stdsurvey[[#This Row],[phq9_score]]&lt;=14,"Moderate",stdsurvey[[#This Row],[phq9_score]]&lt;=19,"Moderately Severe",stdsurvey[[#This Row],[phq9_score]]&lt;=27,"Severe")</f>
        <v>Mild</v>
      </c>
      <c r="L275">
        <v>18</v>
      </c>
      <c r="M275" s="4" t="str" cm="1">
        <f t="array" ref="M275">_xlfn.IFS(stdsurvey[[#This Row],[gad7_score]]="","Answer Not Provided",stdsurvey[[#This Row],[gad7_score]]&lt;=4,"Minimal",stdsurvey[[#This Row],[gad7_score]]&lt;=9,"Mild",stdsurvey[[#This Row],[gad7_score]]&lt;=14,"Moderate",stdsurvey[[#This Row],[gad7_score]]&lt;=21,"Severe")</f>
        <v>Mild</v>
      </c>
      <c r="N275">
        <v>16.5</v>
      </c>
      <c r="O275" s="4" t="str" cm="1">
        <f t="array" ref="O275">_xlfn.IFS(stdsurvey[[#This Row],[perceived_stress_scale]]="","Answer Not Provided",stdsurvey[[#This Row],[perceived_stress_scale]]&lt;=13,"Low Stress",stdsurvey[[#This Row],[perceived_stress_scale]]&lt;=26,"Moderate Stress",stdsurvey[[#This Row],[perceived_stress_scale]]&lt;=40,"High Stress")</f>
        <v>Moderate Stress</v>
      </c>
      <c r="P275">
        <v>75.099999999999994</v>
      </c>
      <c r="Q275">
        <v>4</v>
      </c>
      <c r="R275" s="4" t="str" cm="1">
        <f t="array" ref="R275">_xlfn.IFS(stdsurvey[[#This Row],[class_attendance_percent]]&lt;60,"Less than 0%",stdsurvey[[#This Row],[class_attendance_percent]]&lt;70,"60-70 %",stdsurvey[[#This Row],[class_attendance_percent]]&lt;80, "70-80%",stdsurvey[[#This Row],[class_attendance_percent]]&lt;90,"80-90%",TRUE,"More than 90%")</f>
        <v>70-80%</v>
      </c>
      <c r="S275" t="s">
        <v>33</v>
      </c>
      <c r="T275">
        <v>5</v>
      </c>
      <c r="U275" t="s">
        <v>26</v>
      </c>
      <c r="V275">
        <v>2.95</v>
      </c>
      <c r="W275" s="4" t="str" cm="1">
        <f t="array" ref="W27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75" s="4" t="str" cm="1">
        <f t="array" ref="X275">_xlfn.IFS(stdsurvey[[#This Row],[daily_sleep_hours]]&lt;4,"&lt; 4 hrs",stdsurvey[[#This Row],[daily_sleep_hours]]&lt;=6,"4-6 hrs",stdsurvey[[#This Row],[daily_sleep_hours]]&lt;=8,"6-8 hrs",TRUE,"&gt; 8 hrs")</f>
        <v>&lt; 4 hrs</v>
      </c>
      <c r="Y275" t="s">
        <v>27</v>
      </c>
    </row>
    <row r="276" spans="1:25" x14ac:dyDescent="0.3">
      <c r="A276" t="s">
        <v>310</v>
      </c>
      <c r="B276">
        <v>22</v>
      </c>
      <c r="C276" t="s">
        <v>29</v>
      </c>
      <c r="D276">
        <v>3</v>
      </c>
      <c r="E276" t="s">
        <v>21</v>
      </c>
      <c r="F276">
        <v>6.7</v>
      </c>
      <c r="G276">
        <v>6.9</v>
      </c>
      <c r="H276">
        <v>5</v>
      </c>
      <c r="I276">
        <v>2</v>
      </c>
      <c r="J276">
        <v>5</v>
      </c>
      <c r="K276" s="4" t="str" cm="1">
        <f t="array" ref="K276">_xlfn.IFS(stdsurvey[[#This Row],[phq9_score]]="","Answer Not Provided",stdsurvey[[#This Row],[phq9_score]]&lt;=4,"Minimal",stdsurvey[[#This Row],[phq9_score]]&lt;=9,"Mild",stdsurvey[[#This Row],[phq9_score]]&lt;=14,"Moderate",stdsurvey[[#This Row],[phq9_score]]&lt;=19,"Moderately Severe",stdsurvey[[#This Row],[phq9_score]]&lt;=27,"Severe")</f>
        <v>Minimal</v>
      </c>
      <c r="L276">
        <v>4</v>
      </c>
      <c r="M276" s="4" t="str" cm="1">
        <f t="array" ref="M276">_xlfn.IFS(stdsurvey[[#This Row],[gad7_score]]="","Answer Not Provided",stdsurvey[[#This Row],[gad7_score]]&lt;=4,"Minimal",stdsurvey[[#This Row],[gad7_score]]&lt;=9,"Mild",stdsurvey[[#This Row],[gad7_score]]&lt;=14,"Moderate",stdsurvey[[#This Row],[gad7_score]]&lt;=21,"Severe")</f>
        <v>Mild</v>
      </c>
      <c r="N276">
        <v>3.6</v>
      </c>
      <c r="O276" s="4" t="str" cm="1">
        <f t="array" ref="O276">_xlfn.IFS(stdsurvey[[#This Row],[perceived_stress_scale]]="","Answer Not Provided",stdsurvey[[#This Row],[perceived_stress_scale]]&lt;=13,"Low Stress",stdsurvey[[#This Row],[perceived_stress_scale]]&lt;=26,"Moderate Stress",stdsurvey[[#This Row],[perceived_stress_scale]]&lt;=40,"High Stress")</f>
        <v>Low Stress</v>
      </c>
      <c r="P276">
        <v>100</v>
      </c>
      <c r="Q276">
        <v>4</v>
      </c>
      <c r="R276" s="4" t="str" cm="1">
        <f t="array" ref="R276">_xlfn.IFS(stdsurvey[[#This Row],[class_attendance_percent]]&lt;60,"Less than 0%",stdsurvey[[#This Row],[class_attendance_percent]]&lt;70,"60-70 %",stdsurvey[[#This Row],[class_attendance_percent]]&lt;80, "70-80%",stdsurvey[[#This Row],[class_attendance_percent]]&lt;90,"80-90%",TRUE,"More than 90%")</f>
        <v>More than 90%</v>
      </c>
      <c r="S276" t="s">
        <v>22</v>
      </c>
      <c r="T276">
        <v>2</v>
      </c>
      <c r="U276" t="s">
        <v>23</v>
      </c>
      <c r="V276">
        <v>3.1</v>
      </c>
      <c r="W276" s="4" t="str" cm="1">
        <f t="array" ref="W27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76" s="4" t="str" cm="1">
        <f t="array" ref="X276">_xlfn.IFS(stdsurvey[[#This Row],[daily_sleep_hours]]&lt;4,"&lt; 4 hrs",stdsurvey[[#This Row],[daily_sleep_hours]]&lt;=6,"4-6 hrs",stdsurvey[[#This Row],[daily_sleep_hours]]&lt;=8,"6-8 hrs",TRUE,"&gt; 8 hrs")</f>
        <v>6-8 hrs</v>
      </c>
      <c r="Y276" t="s">
        <v>29</v>
      </c>
    </row>
    <row r="277" spans="1:25" x14ac:dyDescent="0.3">
      <c r="A277" t="s">
        <v>311</v>
      </c>
      <c r="B277">
        <v>21</v>
      </c>
      <c r="C277" t="s">
        <v>20</v>
      </c>
      <c r="D277">
        <v>5</v>
      </c>
      <c r="E277" t="s">
        <v>49</v>
      </c>
      <c r="F277">
        <v>4</v>
      </c>
      <c r="G277">
        <v>3.9</v>
      </c>
      <c r="H277">
        <v>4</v>
      </c>
      <c r="I277">
        <v>2</v>
      </c>
      <c r="J277">
        <v>6</v>
      </c>
      <c r="K277" s="4" t="str" cm="1">
        <f t="array" ref="K277">_xlfn.IFS(stdsurvey[[#This Row],[phq9_score]]="","Answer Not Provided",stdsurvey[[#This Row],[phq9_score]]&lt;=4,"Minimal",stdsurvey[[#This Row],[phq9_score]]&lt;=9,"Mild",stdsurvey[[#This Row],[phq9_score]]&lt;=14,"Moderate",stdsurvey[[#This Row],[phq9_score]]&lt;=19,"Moderately Severe",stdsurvey[[#This Row],[phq9_score]]&lt;=27,"Severe")</f>
        <v>Minimal</v>
      </c>
      <c r="L277">
        <v>14</v>
      </c>
      <c r="M277" s="4" t="str" cm="1">
        <f t="array" ref="M277">_xlfn.IFS(stdsurvey[[#This Row],[gad7_score]]="","Answer Not Provided",stdsurvey[[#This Row],[gad7_score]]&lt;=4,"Minimal",stdsurvey[[#This Row],[gad7_score]]&lt;=9,"Mild",stdsurvey[[#This Row],[gad7_score]]&lt;=14,"Moderate",stdsurvey[[#This Row],[gad7_score]]&lt;=21,"Severe")</f>
        <v>Mild</v>
      </c>
      <c r="N277">
        <v>27.3</v>
      </c>
      <c r="O277" s="4" t="str" cm="1">
        <f t="array" ref="O277">_xlfn.IFS(stdsurvey[[#This Row],[perceived_stress_scale]]="","Answer Not Provided",stdsurvey[[#This Row],[perceived_stress_scale]]&lt;=13,"Low Stress",stdsurvey[[#This Row],[perceived_stress_scale]]&lt;=26,"Moderate Stress",stdsurvey[[#This Row],[perceived_stress_scale]]&lt;=40,"High Stress")</f>
        <v>Moderate Stress</v>
      </c>
      <c r="P277">
        <v>79.2</v>
      </c>
      <c r="Q277">
        <v>2</v>
      </c>
      <c r="R277" s="4" t="str" cm="1">
        <f t="array" ref="R277">_xlfn.IFS(stdsurvey[[#This Row],[class_attendance_percent]]&lt;60,"Less than 0%",stdsurvey[[#This Row],[class_attendance_percent]]&lt;70,"60-70 %",stdsurvey[[#This Row],[class_attendance_percent]]&lt;80, "70-80%",stdsurvey[[#This Row],[class_attendance_percent]]&lt;90,"80-90%",TRUE,"More than 90%")</f>
        <v>70-80%</v>
      </c>
      <c r="S277" t="s">
        <v>33</v>
      </c>
      <c r="T277">
        <v>3</v>
      </c>
      <c r="U277" t="s">
        <v>26</v>
      </c>
      <c r="V277">
        <v>2.94</v>
      </c>
      <c r="W277" s="4" t="str" cm="1">
        <f t="array" ref="W27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77" s="4" t="str" cm="1">
        <f t="array" ref="X277">_xlfn.IFS(stdsurvey[[#This Row],[daily_sleep_hours]]&lt;4,"&lt; 4 hrs",stdsurvey[[#This Row],[daily_sleep_hours]]&lt;=6,"4-6 hrs",stdsurvey[[#This Row],[daily_sleep_hours]]&lt;=8,"6-8 hrs",TRUE,"&gt; 8 hrs")</f>
        <v>4-6 hrs</v>
      </c>
      <c r="Y277" t="s">
        <v>20</v>
      </c>
    </row>
    <row r="278" spans="1:25" x14ac:dyDescent="0.3">
      <c r="A278" t="s">
        <v>312</v>
      </c>
      <c r="B278">
        <v>26</v>
      </c>
      <c r="C278" t="s">
        <v>27</v>
      </c>
      <c r="D278">
        <v>5</v>
      </c>
      <c r="E278" t="s">
        <v>47</v>
      </c>
      <c r="F278">
        <v>8.1</v>
      </c>
      <c r="G278">
        <v>1.6</v>
      </c>
      <c r="H278">
        <v>0</v>
      </c>
      <c r="I278">
        <v>0</v>
      </c>
      <c r="J278">
        <v>4</v>
      </c>
      <c r="K278" s="4" t="str" cm="1">
        <f t="array" ref="K278">_xlfn.IFS(stdsurvey[[#This Row],[phq9_score]]="","Answer Not Provided",stdsurvey[[#This Row],[phq9_score]]&lt;=4,"Minimal",stdsurvey[[#This Row],[phq9_score]]&lt;=9,"Mild",stdsurvey[[#This Row],[phq9_score]]&lt;=14,"Moderate",stdsurvey[[#This Row],[phq9_score]]&lt;=19,"Moderately Severe",stdsurvey[[#This Row],[phq9_score]]&lt;=27,"Severe")</f>
        <v>Minimal</v>
      </c>
      <c r="L278">
        <v>5</v>
      </c>
      <c r="M278" s="4" t="str" cm="1">
        <f t="array" ref="M278">_xlfn.IFS(stdsurvey[[#This Row],[gad7_score]]="","Answer Not Provided",stdsurvey[[#This Row],[gad7_score]]&lt;=4,"Minimal",stdsurvey[[#This Row],[gad7_score]]&lt;=9,"Mild",stdsurvey[[#This Row],[gad7_score]]&lt;=14,"Moderate",stdsurvey[[#This Row],[gad7_score]]&lt;=21,"Severe")</f>
        <v>Minimal</v>
      </c>
      <c r="N278">
        <v>2.9</v>
      </c>
      <c r="O278" s="4" t="str" cm="1">
        <f t="array" ref="O278">_xlfn.IFS(stdsurvey[[#This Row],[perceived_stress_scale]]="","Answer Not Provided",stdsurvey[[#This Row],[perceived_stress_scale]]&lt;=13,"Low Stress",stdsurvey[[#This Row],[perceived_stress_scale]]&lt;=26,"Moderate Stress",stdsurvey[[#This Row],[perceived_stress_scale]]&lt;=40,"High Stress")</f>
        <v>Low Stress</v>
      </c>
      <c r="P278">
        <v>100</v>
      </c>
      <c r="Q278">
        <v>5</v>
      </c>
      <c r="R278" s="4" t="str" cm="1">
        <f t="array" ref="R278">_xlfn.IFS(stdsurvey[[#This Row],[class_attendance_percent]]&lt;60,"Less than 0%",stdsurvey[[#This Row],[class_attendance_percent]]&lt;70,"60-70 %",stdsurvey[[#This Row],[class_attendance_percent]]&lt;80, "70-80%",stdsurvey[[#This Row],[class_attendance_percent]]&lt;90,"80-90%",TRUE,"More than 90%")</f>
        <v>More than 90%</v>
      </c>
      <c r="S278" t="s">
        <v>33</v>
      </c>
      <c r="T278">
        <v>4</v>
      </c>
      <c r="U278" t="s">
        <v>51</v>
      </c>
      <c r="V278">
        <v>3.05</v>
      </c>
      <c r="W278" s="4" t="str" cm="1">
        <f t="array" ref="W27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78" s="4" t="str" cm="1">
        <f t="array" ref="X278">_xlfn.IFS(stdsurvey[[#This Row],[daily_sleep_hours]]&lt;4,"&lt; 4 hrs",stdsurvey[[#This Row],[daily_sleep_hours]]&lt;=6,"4-6 hrs",stdsurvey[[#This Row],[daily_sleep_hours]]&lt;=8,"6-8 hrs",TRUE,"&gt; 8 hrs")</f>
        <v>&gt; 8 hrs</v>
      </c>
      <c r="Y278" t="s">
        <v>27</v>
      </c>
    </row>
    <row r="279" spans="1:25" x14ac:dyDescent="0.3">
      <c r="A279" t="s">
        <v>313</v>
      </c>
      <c r="B279">
        <v>25</v>
      </c>
      <c r="C279" t="s">
        <v>45</v>
      </c>
      <c r="D279">
        <v>4</v>
      </c>
      <c r="E279" t="s">
        <v>63</v>
      </c>
      <c r="F279">
        <v>6.4</v>
      </c>
      <c r="G279">
        <v>4.9000000000000004</v>
      </c>
      <c r="H279">
        <v>2</v>
      </c>
      <c r="I279">
        <v>2</v>
      </c>
      <c r="J279">
        <v>3</v>
      </c>
      <c r="K279" s="4" t="str" cm="1">
        <f t="array" ref="K279">_xlfn.IFS(stdsurvey[[#This Row],[phq9_score]]="","Answer Not Provided",stdsurvey[[#This Row],[phq9_score]]&lt;=4,"Minimal",stdsurvey[[#This Row],[phq9_score]]&lt;=9,"Mild",stdsurvey[[#This Row],[phq9_score]]&lt;=14,"Moderate",stdsurvey[[#This Row],[phq9_score]]&lt;=19,"Moderately Severe",stdsurvey[[#This Row],[phq9_score]]&lt;=27,"Severe")</f>
        <v>Minimal</v>
      </c>
      <c r="L279">
        <v>6</v>
      </c>
      <c r="M279" s="4" t="str" cm="1">
        <f t="array" ref="M279">_xlfn.IFS(stdsurvey[[#This Row],[gad7_score]]="","Answer Not Provided",stdsurvey[[#This Row],[gad7_score]]&lt;=4,"Minimal",stdsurvey[[#This Row],[gad7_score]]&lt;=9,"Mild",stdsurvey[[#This Row],[gad7_score]]&lt;=14,"Moderate",stdsurvey[[#This Row],[gad7_score]]&lt;=21,"Severe")</f>
        <v>Minimal</v>
      </c>
      <c r="N279">
        <v>15.3</v>
      </c>
      <c r="O279" s="4" t="str" cm="1">
        <f t="array" ref="O279">_xlfn.IFS(stdsurvey[[#This Row],[perceived_stress_scale]]="","Answer Not Provided",stdsurvey[[#This Row],[perceived_stress_scale]]&lt;=13,"Low Stress",stdsurvey[[#This Row],[perceived_stress_scale]]&lt;=26,"Moderate Stress",stdsurvey[[#This Row],[perceived_stress_scale]]&lt;=40,"High Stress")</f>
        <v>Low Stress</v>
      </c>
      <c r="P279">
        <v>85.8</v>
      </c>
      <c r="Q279">
        <v>4</v>
      </c>
      <c r="R279" s="4" t="str" cm="1">
        <f t="array" ref="R279">_xlfn.IFS(stdsurvey[[#This Row],[class_attendance_percent]]&lt;60,"Less than 0%",stdsurvey[[#This Row],[class_attendance_percent]]&lt;70,"60-70 %",stdsurvey[[#This Row],[class_attendance_percent]]&lt;80, "70-80%",stdsurvey[[#This Row],[class_attendance_percent]]&lt;90,"80-90%",TRUE,"More than 90%")</f>
        <v>80-90%</v>
      </c>
      <c r="S279" t="s">
        <v>33</v>
      </c>
      <c r="T279">
        <v>2</v>
      </c>
      <c r="U279" t="s">
        <v>23</v>
      </c>
      <c r="V279">
        <v>3.44</v>
      </c>
      <c r="W279" s="4" t="str" cm="1">
        <f t="array" ref="W27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79" s="4" t="str" cm="1">
        <f t="array" ref="X279">_xlfn.IFS(stdsurvey[[#This Row],[daily_sleep_hours]]&lt;4,"&lt; 4 hrs",stdsurvey[[#This Row],[daily_sleep_hours]]&lt;=6,"4-6 hrs",stdsurvey[[#This Row],[daily_sleep_hours]]&lt;=8,"6-8 hrs",TRUE,"&gt; 8 hrs")</f>
        <v>6-8 hrs</v>
      </c>
      <c r="Y279" t="s">
        <v>20</v>
      </c>
    </row>
    <row r="280" spans="1:25" x14ac:dyDescent="0.3">
      <c r="A280" t="s">
        <v>314</v>
      </c>
      <c r="B280">
        <v>22</v>
      </c>
      <c r="C280" t="s">
        <v>45</v>
      </c>
      <c r="D280">
        <v>1</v>
      </c>
      <c r="E280" t="s">
        <v>30</v>
      </c>
      <c r="F280">
        <v>7</v>
      </c>
      <c r="G280">
        <v>6.1</v>
      </c>
      <c r="H280">
        <v>3</v>
      </c>
      <c r="I280">
        <v>17</v>
      </c>
      <c r="J280">
        <v>15</v>
      </c>
      <c r="K280" s="4" t="str" cm="1">
        <f t="array" ref="K280">_xlfn.IFS(stdsurvey[[#This Row],[phq9_score]]="","Answer Not Provided",stdsurvey[[#This Row],[phq9_score]]&lt;=4,"Minimal",stdsurvey[[#This Row],[phq9_score]]&lt;=9,"Mild",stdsurvey[[#This Row],[phq9_score]]&lt;=14,"Moderate",stdsurvey[[#This Row],[phq9_score]]&lt;=19,"Moderately Severe",stdsurvey[[#This Row],[phq9_score]]&lt;=27,"Severe")</f>
        <v>Moderately Severe</v>
      </c>
      <c r="L280">
        <v>19</v>
      </c>
      <c r="M280" s="4" t="str" cm="1">
        <f t="array" ref="M280">_xlfn.IFS(stdsurvey[[#This Row],[gad7_score]]="","Answer Not Provided",stdsurvey[[#This Row],[gad7_score]]&lt;=4,"Minimal",stdsurvey[[#This Row],[gad7_score]]&lt;=9,"Mild",stdsurvey[[#This Row],[gad7_score]]&lt;=14,"Moderate",stdsurvey[[#This Row],[gad7_score]]&lt;=21,"Severe")</f>
        <v>Severe</v>
      </c>
      <c r="N280">
        <v>17.100000000000001</v>
      </c>
      <c r="O280" s="4" t="str" cm="1">
        <f t="array" ref="O280">_xlfn.IFS(stdsurvey[[#This Row],[perceived_stress_scale]]="","Answer Not Provided",stdsurvey[[#This Row],[perceived_stress_scale]]&lt;=13,"Low Stress",stdsurvey[[#This Row],[perceived_stress_scale]]&lt;=26,"Moderate Stress",stdsurvey[[#This Row],[perceived_stress_scale]]&lt;=40,"High Stress")</f>
        <v>Moderate Stress</v>
      </c>
      <c r="P280">
        <v>71.8</v>
      </c>
      <c r="Q280">
        <v>1</v>
      </c>
      <c r="R280" s="4" t="str" cm="1">
        <f t="array" ref="R280">_xlfn.IFS(stdsurvey[[#This Row],[class_attendance_percent]]&lt;60,"Less than 0%",stdsurvey[[#This Row],[class_attendance_percent]]&lt;70,"60-70 %",stdsurvey[[#This Row],[class_attendance_percent]]&lt;80, "70-80%",stdsurvey[[#This Row],[class_attendance_percent]]&lt;90,"80-90%",TRUE,"More than 90%")</f>
        <v>70-80%</v>
      </c>
      <c r="S280" t="s">
        <v>33</v>
      </c>
      <c r="T280">
        <v>5</v>
      </c>
      <c r="U280" t="s">
        <v>26</v>
      </c>
      <c r="V280">
        <v>2.98</v>
      </c>
      <c r="W280" s="4" t="str" cm="1">
        <f t="array" ref="W28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80" s="4" t="str" cm="1">
        <f t="array" ref="X280">_xlfn.IFS(stdsurvey[[#This Row],[daily_sleep_hours]]&lt;4,"&lt; 4 hrs",stdsurvey[[#This Row],[daily_sleep_hours]]&lt;=6,"4-6 hrs",stdsurvey[[#This Row],[daily_sleep_hours]]&lt;=8,"6-8 hrs",TRUE,"&gt; 8 hrs")</f>
        <v>6-8 hrs</v>
      </c>
      <c r="Y280" t="s">
        <v>20</v>
      </c>
    </row>
    <row r="281" spans="1:25" x14ac:dyDescent="0.3">
      <c r="A281" t="s">
        <v>315</v>
      </c>
      <c r="B281">
        <v>20</v>
      </c>
      <c r="C281" t="s">
        <v>20</v>
      </c>
      <c r="D281">
        <v>3</v>
      </c>
      <c r="E281" t="s">
        <v>30</v>
      </c>
      <c r="F281">
        <v>4.8</v>
      </c>
      <c r="G281">
        <v>6.2</v>
      </c>
      <c r="H281">
        <v>3</v>
      </c>
      <c r="I281">
        <v>3</v>
      </c>
      <c r="J281">
        <v>4</v>
      </c>
      <c r="K281" s="4" t="str" cm="1">
        <f t="array" ref="K281">_xlfn.IFS(stdsurvey[[#This Row],[phq9_score]]="","Answer Not Provided",stdsurvey[[#This Row],[phq9_score]]&lt;=4,"Minimal",stdsurvey[[#This Row],[phq9_score]]&lt;=9,"Mild",stdsurvey[[#This Row],[phq9_score]]&lt;=14,"Moderate",stdsurvey[[#This Row],[phq9_score]]&lt;=19,"Moderately Severe",stdsurvey[[#This Row],[phq9_score]]&lt;=27,"Severe")</f>
        <v>Minimal</v>
      </c>
      <c r="L281">
        <v>5</v>
      </c>
      <c r="M281" s="4" t="str" cm="1">
        <f t="array" ref="M281">_xlfn.IFS(stdsurvey[[#This Row],[gad7_score]]="","Answer Not Provided",stdsurvey[[#This Row],[gad7_score]]&lt;=4,"Minimal",stdsurvey[[#This Row],[gad7_score]]&lt;=9,"Mild",stdsurvey[[#This Row],[gad7_score]]&lt;=14,"Moderate",stdsurvey[[#This Row],[gad7_score]]&lt;=21,"Severe")</f>
        <v>Minimal</v>
      </c>
      <c r="N281">
        <v>20.3</v>
      </c>
      <c r="O281" s="4" t="str" cm="1">
        <f t="array" ref="O281">_xlfn.IFS(stdsurvey[[#This Row],[perceived_stress_scale]]="","Answer Not Provided",stdsurvey[[#This Row],[perceived_stress_scale]]&lt;=13,"Low Stress",stdsurvey[[#This Row],[perceived_stress_scale]]&lt;=26,"Moderate Stress",stdsurvey[[#This Row],[perceived_stress_scale]]&lt;=40,"High Stress")</f>
        <v>Low Stress</v>
      </c>
      <c r="P281">
        <v>78.400000000000006</v>
      </c>
      <c r="Q281">
        <v>3</v>
      </c>
      <c r="R281" s="4" t="str" cm="1">
        <f t="array" ref="R281">_xlfn.IFS(stdsurvey[[#This Row],[class_attendance_percent]]&lt;60,"Less than 0%",stdsurvey[[#This Row],[class_attendance_percent]]&lt;70,"60-70 %",stdsurvey[[#This Row],[class_attendance_percent]]&lt;80, "70-80%",stdsurvey[[#This Row],[class_attendance_percent]]&lt;90,"80-90%",TRUE,"More than 90%")</f>
        <v>70-80%</v>
      </c>
      <c r="S281" t="s">
        <v>33</v>
      </c>
      <c r="T281">
        <v>3</v>
      </c>
      <c r="U281" t="s">
        <v>23</v>
      </c>
      <c r="V281">
        <v>2.88</v>
      </c>
      <c r="W281" s="4" t="str" cm="1">
        <f t="array" ref="W28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81" s="4" t="str" cm="1">
        <f t="array" ref="X281">_xlfn.IFS(stdsurvey[[#This Row],[daily_sleep_hours]]&lt;4,"&lt; 4 hrs",stdsurvey[[#This Row],[daily_sleep_hours]]&lt;=6,"4-6 hrs",stdsurvey[[#This Row],[daily_sleep_hours]]&lt;=8,"6-8 hrs",TRUE,"&gt; 8 hrs")</f>
        <v>4-6 hrs</v>
      </c>
      <c r="Y281" t="s">
        <v>20</v>
      </c>
    </row>
    <row r="282" spans="1:25" x14ac:dyDescent="0.3">
      <c r="A282" t="s">
        <v>316</v>
      </c>
      <c r="B282">
        <v>19</v>
      </c>
      <c r="C282" t="s">
        <v>20</v>
      </c>
      <c r="D282">
        <v>4</v>
      </c>
      <c r="E282" t="s">
        <v>30</v>
      </c>
      <c r="F282">
        <v>4.2</v>
      </c>
      <c r="G282">
        <v>5.7</v>
      </c>
      <c r="H282">
        <v>1</v>
      </c>
      <c r="I282">
        <v>4</v>
      </c>
      <c r="J282">
        <v>2</v>
      </c>
      <c r="K282" s="4" t="str" cm="1">
        <f t="array" ref="K282">_xlfn.IFS(stdsurvey[[#This Row],[phq9_score]]="","Answer Not Provided",stdsurvey[[#This Row],[phq9_score]]&lt;=4,"Minimal",stdsurvey[[#This Row],[phq9_score]]&lt;=9,"Mild",stdsurvey[[#This Row],[phq9_score]]&lt;=14,"Moderate",stdsurvey[[#This Row],[phq9_score]]&lt;=19,"Moderately Severe",stdsurvey[[#This Row],[phq9_score]]&lt;=27,"Severe")</f>
        <v>Minimal</v>
      </c>
      <c r="L282">
        <v>10</v>
      </c>
      <c r="M282" s="4" t="str" cm="1">
        <f t="array" ref="M282">_xlfn.IFS(stdsurvey[[#This Row],[gad7_score]]="","Answer Not Provided",stdsurvey[[#This Row],[gad7_score]]&lt;=4,"Minimal",stdsurvey[[#This Row],[gad7_score]]&lt;=9,"Mild",stdsurvey[[#This Row],[gad7_score]]&lt;=14,"Moderate",stdsurvey[[#This Row],[gad7_score]]&lt;=21,"Severe")</f>
        <v>Minimal</v>
      </c>
      <c r="N282">
        <v>16.5</v>
      </c>
      <c r="O282" s="4" t="str" cm="1">
        <f t="array" ref="O282">_xlfn.IFS(stdsurvey[[#This Row],[perceived_stress_scale]]="","Answer Not Provided",stdsurvey[[#This Row],[perceived_stress_scale]]&lt;=13,"Low Stress",stdsurvey[[#This Row],[perceived_stress_scale]]&lt;=26,"Moderate Stress",stdsurvey[[#This Row],[perceived_stress_scale]]&lt;=40,"High Stress")</f>
        <v>Low Stress</v>
      </c>
      <c r="P282">
        <v>96.5</v>
      </c>
      <c r="Q282">
        <v>4</v>
      </c>
      <c r="R282" s="4" t="str" cm="1">
        <f t="array" ref="R282">_xlfn.IFS(stdsurvey[[#This Row],[class_attendance_percent]]&lt;60,"Less than 0%",stdsurvey[[#This Row],[class_attendance_percent]]&lt;70,"60-70 %",stdsurvey[[#This Row],[class_attendance_percent]]&lt;80, "70-80%",stdsurvey[[#This Row],[class_attendance_percent]]&lt;90,"80-90%",TRUE,"More than 90%")</f>
        <v>More than 90%</v>
      </c>
      <c r="S282" t="s">
        <v>22</v>
      </c>
      <c r="T282">
        <v>1</v>
      </c>
      <c r="U282" t="s">
        <v>23</v>
      </c>
      <c r="V282">
        <v>2.85</v>
      </c>
      <c r="W282" s="4" t="str" cm="1">
        <f t="array" ref="W28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82" s="4" t="str" cm="1">
        <f t="array" ref="X282">_xlfn.IFS(stdsurvey[[#This Row],[daily_sleep_hours]]&lt;4,"&lt; 4 hrs",stdsurvey[[#This Row],[daily_sleep_hours]]&lt;=6,"4-6 hrs",stdsurvey[[#This Row],[daily_sleep_hours]]&lt;=8,"6-8 hrs",TRUE,"&gt; 8 hrs")</f>
        <v>4-6 hrs</v>
      </c>
      <c r="Y282" t="s">
        <v>20</v>
      </c>
    </row>
    <row r="283" spans="1:25" x14ac:dyDescent="0.3">
      <c r="A283" t="s">
        <v>317</v>
      </c>
      <c r="B283">
        <v>24</v>
      </c>
      <c r="C283" t="s">
        <v>27</v>
      </c>
      <c r="D283">
        <v>2</v>
      </c>
      <c r="E283" t="s">
        <v>30</v>
      </c>
      <c r="F283">
        <v>6.2</v>
      </c>
      <c r="G283">
        <v>5.5</v>
      </c>
      <c r="H283">
        <v>2</v>
      </c>
      <c r="I283">
        <v>4</v>
      </c>
      <c r="J283">
        <v>6</v>
      </c>
      <c r="K283" s="4" t="str" cm="1">
        <f t="array" ref="K283">_xlfn.IFS(stdsurvey[[#This Row],[phq9_score]]="","Answer Not Provided",stdsurvey[[#This Row],[phq9_score]]&lt;=4,"Minimal",stdsurvey[[#This Row],[phq9_score]]&lt;=9,"Mild",stdsurvey[[#This Row],[phq9_score]]&lt;=14,"Moderate",stdsurvey[[#This Row],[phq9_score]]&lt;=19,"Moderately Severe",stdsurvey[[#This Row],[phq9_score]]&lt;=27,"Severe")</f>
        <v>Minimal</v>
      </c>
      <c r="L283">
        <v>7</v>
      </c>
      <c r="M283" s="4" t="str" cm="1">
        <f t="array" ref="M283">_xlfn.IFS(stdsurvey[[#This Row],[gad7_score]]="","Answer Not Provided",stdsurvey[[#This Row],[gad7_score]]&lt;=4,"Minimal",stdsurvey[[#This Row],[gad7_score]]&lt;=9,"Mild",stdsurvey[[#This Row],[gad7_score]]&lt;=14,"Moderate",stdsurvey[[#This Row],[gad7_score]]&lt;=21,"Severe")</f>
        <v>Mild</v>
      </c>
      <c r="N283">
        <v>9.4</v>
      </c>
      <c r="O283" s="4" t="str" cm="1">
        <f t="array" ref="O283">_xlfn.IFS(stdsurvey[[#This Row],[perceived_stress_scale]]="","Answer Not Provided",stdsurvey[[#This Row],[perceived_stress_scale]]&lt;=13,"Low Stress",stdsurvey[[#This Row],[perceived_stress_scale]]&lt;=26,"Moderate Stress",stdsurvey[[#This Row],[perceived_stress_scale]]&lt;=40,"High Stress")</f>
        <v>Low Stress</v>
      </c>
      <c r="P283">
        <v>96</v>
      </c>
      <c r="Q283">
        <v>3</v>
      </c>
      <c r="R283" s="4" t="str" cm="1">
        <f t="array" ref="R283">_xlfn.IFS(stdsurvey[[#This Row],[class_attendance_percent]]&lt;60,"Less than 0%",stdsurvey[[#This Row],[class_attendance_percent]]&lt;70,"60-70 %",stdsurvey[[#This Row],[class_attendance_percent]]&lt;80, "70-80%",stdsurvey[[#This Row],[class_attendance_percent]]&lt;90,"80-90%",TRUE,"More than 90%")</f>
        <v>More than 90%</v>
      </c>
      <c r="S283" t="s">
        <v>22</v>
      </c>
      <c r="T283">
        <v>2</v>
      </c>
      <c r="U283" t="s">
        <v>23</v>
      </c>
      <c r="V283">
        <v>2.89</v>
      </c>
      <c r="W283" s="4" t="str" cm="1">
        <f t="array" ref="W28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83" s="4" t="str" cm="1">
        <f t="array" ref="X283">_xlfn.IFS(stdsurvey[[#This Row],[daily_sleep_hours]]&lt;4,"&lt; 4 hrs",stdsurvey[[#This Row],[daily_sleep_hours]]&lt;=6,"4-6 hrs",stdsurvey[[#This Row],[daily_sleep_hours]]&lt;=8,"6-8 hrs",TRUE,"&gt; 8 hrs")</f>
        <v>6-8 hrs</v>
      </c>
      <c r="Y283" t="s">
        <v>27</v>
      </c>
    </row>
    <row r="284" spans="1:25" x14ac:dyDescent="0.3">
      <c r="A284" t="s">
        <v>318</v>
      </c>
      <c r="B284">
        <v>22</v>
      </c>
      <c r="C284" t="s">
        <v>27</v>
      </c>
      <c r="D284">
        <v>1</v>
      </c>
      <c r="E284" t="s">
        <v>32</v>
      </c>
      <c r="F284">
        <v>6.1</v>
      </c>
      <c r="G284">
        <v>2.6</v>
      </c>
      <c r="H284">
        <v>2</v>
      </c>
      <c r="I284">
        <v>2</v>
      </c>
      <c r="J284">
        <v>4</v>
      </c>
      <c r="K284" s="4" t="str" cm="1">
        <f t="array" ref="K284">_xlfn.IFS(stdsurvey[[#This Row],[phq9_score]]="","Answer Not Provided",stdsurvey[[#This Row],[phq9_score]]&lt;=4,"Minimal",stdsurvey[[#This Row],[phq9_score]]&lt;=9,"Mild",stdsurvey[[#This Row],[phq9_score]]&lt;=14,"Moderate",stdsurvey[[#This Row],[phq9_score]]&lt;=19,"Moderately Severe",stdsurvey[[#This Row],[phq9_score]]&lt;=27,"Severe")</f>
        <v>Minimal</v>
      </c>
      <c r="L284">
        <v>10</v>
      </c>
      <c r="M284" s="4" t="str" cm="1">
        <f t="array" ref="M284">_xlfn.IFS(stdsurvey[[#This Row],[gad7_score]]="","Answer Not Provided",stdsurvey[[#This Row],[gad7_score]]&lt;=4,"Minimal",stdsurvey[[#This Row],[gad7_score]]&lt;=9,"Mild",stdsurvey[[#This Row],[gad7_score]]&lt;=14,"Moderate",stdsurvey[[#This Row],[gad7_score]]&lt;=21,"Severe")</f>
        <v>Minimal</v>
      </c>
      <c r="N284">
        <v>13.9</v>
      </c>
      <c r="O284" s="4" t="str" cm="1">
        <f t="array" ref="O284">_xlfn.IFS(stdsurvey[[#This Row],[perceived_stress_scale]]="","Answer Not Provided",stdsurvey[[#This Row],[perceived_stress_scale]]&lt;=13,"Low Stress",stdsurvey[[#This Row],[perceived_stress_scale]]&lt;=26,"Moderate Stress",stdsurvey[[#This Row],[perceived_stress_scale]]&lt;=40,"High Stress")</f>
        <v>Low Stress</v>
      </c>
      <c r="P284">
        <v>64.400000000000006</v>
      </c>
      <c r="Q284">
        <v>3</v>
      </c>
      <c r="R284" s="4" t="str" cm="1">
        <f t="array" ref="R284">_xlfn.IFS(stdsurvey[[#This Row],[class_attendance_percent]]&lt;60,"Less than 0%",stdsurvey[[#This Row],[class_attendance_percent]]&lt;70,"60-70 %",stdsurvey[[#This Row],[class_attendance_percent]]&lt;80, "70-80%",stdsurvey[[#This Row],[class_attendance_percent]]&lt;90,"80-90%",TRUE,"More than 90%")</f>
        <v>60-70 %</v>
      </c>
      <c r="S284" t="s">
        <v>22</v>
      </c>
      <c r="T284">
        <v>5</v>
      </c>
      <c r="U284" t="s">
        <v>23</v>
      </c>
      <c r="V284">
        <v>2.83</v>
      </c>
      <c r="W284" s="4" t="str" cm="1">
        <f t="array" ref="W28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84" s="4" t="str" cm="1">
        <f t="array" ref="X284">_xlfn.IFS(stdsurvey[[#This Row],[daily_sleep_hours]]&lt;4,"&lt; 4 hrs",stdsurvey[[#This Row],[daily_sleep_hours]]&lt;=6,"4-6 hrs",stdsurvey[[#This Row],[daily_sleep_hours]]&lt;=8,"6-8 hrs",TRUE,"&gt; 8 hrs")</f>
        <v>6-8 hrs</v>
      </c>
      <c r="Y284" t="s">
        <v>27</v>
      </c>
    </row>
    <row r="285" spans="1:25" x14ac:dyDescent="0.3">
      <c r="A285" t="s">
        <v>319</v>
      </c>
      <c r="B285">
        <v>23</v>
      </c>
      <c r="C285" t="s">
        <v>20</v>
      </c>
      <c r="D285">
        <v>4</v>
      </c>
      <c r="E285" t="s">
        <v>63</v>
      </c>
      <c r="F285">
        <v>5.5</v>
      </c>
      <c r="G285">
        <v>2.7</v>
      </c>
      <c r="H285">
        <v>1</v>
      </c>
      <c r="I285">
        <v>10</v>
      </c>
      <c r="J285">
        <v>14</v>
      </c>
      <c r="K285" s="4" t="str" cm="1">
        <f t="array" ref="K285">_xlfn.IFS(stdsurvey[[#This Row],[phq9_score]]="","Answer Not Provided",stdsurvey[[#This Row],[phq9_score]]&lt;=4,"Minimal",stdsurvey[[#This Row],[phq9_score]]&lt;=9,"Mild",stdsurvey[[#This Row],[phq9_score]]&lt;=14,"Moderate",stdsurvey[[#This Row],[phq9_score]]&lt;=19,"Moderately Severe",stdsurvey[[#This Row],[phq9_score]]&lt;=27,"Severe")</f>
        <v>Moderate</v>
      </c>
      <c r="L285">
        <v>16</v>
      </c>
      <c r="M285" s="4" t="str" cm="1">
        <f t="array" ref="M285">_xlfn.IFS(stdsurvey[[#This Row],[gad7_score]]="","Answer Not Provided",stdsurvey[[#This Row],[gad7_score]]&lt;=4,"Minimal",stdsurvey[[#This Row],[gad7_score]]&lt;=9,"Mild",stdsurvey[[#This Row],[gad7_score]]&lt;=14,"Moderate",stdsurvey[[#This Row],[gad7_score]]&lt;=21,"Severe")</f>
        <v>Moderate</v>
      </c>
      <c r="N285">
        <v>11.7</v>
      </c>
      <c r="O285" s="4" t="str" cm="1">
        <f t="array" ref="O285">_xlfn.IFS(stdsurvey[[#This Row],[perceived_stress_scale]]="","Answer Not Provided",stdsurvey[[#This Row],[perceived_stress_scale]]&lt;=13,"Low Stress",stdsurvey[[#This Row],[perceived_stress_scale]]&lt;=26,"Moderate Stress",stdsurvey[[#This Row],[perceived_stress_scale]]&lt;=40,"High Stress")</f>
        <v>Moderate Stress</v>
      </c>
      <c r="P285">
        <v>69.2</v>
      </c>
      <c r="Q285">
        <v>4</v>
      </c>
      <c r="R285" s="4" t="str" cm="1">
        <f t="array" ref="R285">_xlfn.IFS(stdsurvey[[#This Row],[class_attendance_percent]]&lt;60,"Less than 0%",stdsurvey[[#This Row],[class_attendance_percent]]&lt;70,"60-70 %",stdsurvey[[#This Row],[class_attendance_percent]]&lt;80, "70-80%",stdsurvey[[#This Row],[class_attendance_percent]]&lt;90,"80-90%",TRUE,"More than 90%")</f>
        <v>60-70 %</v>
      </c>
      <c r="S285" t="s">
        <v>22</v>
      </c>
      <c r="T285">
        <v>2</v>
      </c>
      <c r="U285" t="s">
        <v>23</v>
      </c>
      <c r="V285">
        <v>2.65</v>
      </c>
      <c r="W285" s="4" t="str" cm="1">
        <f t="array" ref="W28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85" s="4" t="str" cm="1">
        <f t="array" ref="X285">_xlfn.IFS(stdsurvey[[#This Row],[daily_sleep_hours]]&lt;4,"&lt; 4 hrs",stdsurvey[[#This Row],[daily_sleep_hours]]&lt;=6,"4-6 hrs",stdsurvey[[#This Row],[daily_sleep_hours]]&lt;=8,"6-8 hrs",TRUE,"&gt; 8 hrs")</f>
        <v>4-6 hrs</v>
      </c>
      <c r="Y285" t="s">
        <v>20</v>
      </c>
    </row>
    <row r="286" spans="1:25" x14ac:dyDescent="0.3">
      <c r="A286" t="s">
        <v>320</v>
      </c>
      <c r="B286">
        <v>18</v>
      </c>
      <c r="C286" t="s">
        <v>27</v>
      </c>
      <c r="D286">
        <v>3</v>
      </c>
      <c r="E286" t="s">
        <v>63</v>
      </c>
      <c r="F286">
        <v>6</v>
      </c>
      <c r="G286">
        <v>1.8</v>
      </c>
      <c r="H286">
        <v>4</v>
      </c>
      <c r="I286">
        <v>6</v>
      </c>
      <c r="J286">
        <v>9</v>
      </c>
      <c r="K286" s="4" t="str" cm="1">
        <f t="array" ref="K286">_xlfn.IFS(stdsurvey[[#This Row],[phq9_score]]="","Answer Not Provided",stdsurvey[[#This Row],[phq9_score]]&lt;=4,"Minimal",stdsurvey[[#This Row],[phq9_score]]&lt;=9,"Mild",stdsurvey[[#This Row],[phq9_score]]&lt;=14,"Moderate",stdsurvey[[#This Row],[phq9_score]]&lt;=19,"Moderately Severe",stdsurvey[[#This Row],[phq9_score]]&lt;=27,"Severe")</f>
        <v>Mild</v>
      </c>
      <c r="L286">
        <v>9</v>
      </c>
      <c r="M286" s="4" t="str" cm="1">
        <f t="array" ref="M286">_xlfn.IFS(stdsurvey[[#This Row],[gad7_score]]="","Answer Not Provided",stdsurvey[[#This Row],[gad7_score]]&lt;=4,"Minimal",stdsurvey[[#This Row],[gad7_score]]&lt;=9,"Mild",stdsurvey[[#This Row],[gad7_score]]&lt;=14,"Moderate",stdsurvey[[#This Row],[gad7_score]]&lt;=21,"Severe")</f>
        <v>Mild</v>
      </c>
      <c r="N286">
        <v>12</v>
      </c>
      <c r="O286" s="4" t="str" cm="1">
        <f t="array" ref="O286">_xlfn.IFS(stdsurvey[[#This Row],[perceived_stress_scale]]="","Answer Not Provided",stdsurvey[[#This Row],[perceived_stress_scale]]&lt;=13,"Low Stress",stdsurvey[[#This Row],[perceived_stress_scale]]&lt;=26,"Moderate Stress",stdsurvey[[#This Row],[perceived_stress_scale]]&lt;=40,"High Stress")</f>
        <v>Low Stress</v>
      </c>
      <c r="P286">
        <v>89.8</v>
      </c>
      <c r="Q286">
        <v>1</v>
      </c>
      <c r="R286" s="4" t="str" cm="1">
        <f t="array" ref="R286">_xlfn.IFS(stdsurvey[[#This Row],[class_attendance_percent]]&lt;60,"Less than 0%",stdsurvey[[#This Row],[class_attendance_percent]]&lt;70,"60-70 %",stdsurvey[[#This Row],[class_attendance_percent]]&lt;80, "70-80%",stdsurvey[[#This Row],[class_attendance_percent]]&lt;90,"80-90%",TRUE,"More than 90%")</f>
        <v>80-90%</v>
      </c>
      <c r="S286" t="s">
        <v>33</v>
      </c>
      <c r="T286">
        <v>4</v>
      </c>
      <c r="U286" t="s">
        <v>23</v>
      </c>
      <c r="V286">
        <v>3.12</v>
      </c>
      <c r="W286" s="4" t="str" cm="1">
        <f t="array" ref="W28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86" s="4" t="str" cm="1">
        <f t="array" ref="X286">_xlfn.IFS(stdsurvey[[#This Row],[daily_sleep_hours]]&lt;4,"&lt; 4 hrs",stdsurvey[[#This Row],[daily_sleep_hours]]&lt;=6,"4-6 hrs",stdsurvey[[#This Row],[daily_sleep_hours]]&lt;=8,"6-8 hrs",TRUE,"&gt; 8 hrs")</f>
        <v>4-6 hrs</v>
      </c>
      <c r="Y286" t="s">
        <v>27</v>
      </c>
    </row>
    <row r="287" spans="1:25" x14ac:dyDescent="0.3">
      <c r="A287" t="s">
        <v>321</v>
      </c>
      <c r="B287">
        <v>23</v>
      </c>
      <c r="C287" t="s">
        <v>61</v>
      </c>
      <c r="D287">
        <v>3</v>
      </c>
      <c r="E287" t="s">
        <v>32</v>
      </c>
      <c r="F287">
        <v>8.8000000000000007</v>
      </c>
      <c r="G287">
        <v>8.3000000000000007</v>
      </c>
      <c r="H287">
        <v>2</v>
      </c>
      <c r="I287">
        <v>9</v>
      </c>
      <c r="J287">
        <v>9</v>
      </c>
      <c r="K287" s="4" t="str" cm="1">
        <f t="array" ref="K287">_xlfn.IFS(stdsurvey[[#This Row],[phq9_score]]="","Answer Not Provided",stdsurvey[[#This Row],[phq9_score]]&lt;=4,"Minimal",stdsurvey[[#This Row],[phq9_score]]&lt;=9,"Mild",stdsurvey[[#This Row],[phq9_score]]&lt;=14,"Moderate",stdsurvey[[#This Row],[phq9_score]]&lt;=19,"Moderately Severe",stdsurvey[[#This Row],[phq9_score]]&lt;=27,"Severe")</f>
        <v>Mild</v>
      </c>
      <c r="L287">
        <v>13</v>
      </c>
      <c r="M287" s="4" t="str" cm="1">
        <f t="array" ref="M287">_xlfn.IFS(stdsurvey[[#This Row],[gad7_score]]="","Answer Not Provided",stdsurvey[[#This Row],[gad7_score]]&lt;=4,"Minimal",stdsurvey[[#This Row],[gad7_score]]&lt;=9,"Mild",stdsurvey[[#This Row],[gad7_score]]&lt;=14,"Moderate",stdsurvey[[#This Row],[gad7_score]]&lt;=21,"Severe")</f>
        <v>Mild</v>
      </c>
      <c r="N287">
        <v>24.5</v>
      </c>
      <c r="O287" s="4" t="str" cm="1">
        <f t="array" ref="O287">_xlfn.IFS(stdsurvey[[#This Row],[perceived_stress_scale]]="","Answer Not Provided",stdsurvey[[#This Row],[perceived_stress_scale]]&lt;=13,"Low Stress",stdsurvey[[#This Row],[perceived_stress_scale]]&lt;=26,"Moderate Stress",stdsurvey[[#This Row],[perceived_stress_scale]]&lt;=40,"High Stress")</f>
        <v>Low Stress</v>
      </c>
      <c r="P287">
        <v>76.900000000000006</v>
      </c>
      <c r="Q287">
        <v>5</v>
      </c>
      <c r="R287" s="4" t="str" cm="1">
        <f t="array" ref="R287">_xlfn.IFS(stdsurvey[[#This Row],[class_attendance_percent]]&lt;60,"Less than 0%",stdsurvey[[#This Row],[class_attendance_percent]]&lt;70,"60-70 %",stdsurvey[[#This Row],[class_attendance_percent]]&lt;80, "70-80%",stdsurvey[[#This Row],[class_attendance_percent]]&lt;90,"80-90%",TRUE,"More than 90%")</f>
        <v>70-80%</v>
      </c>
      <c r="S287" t="s">
        <v>33</v>
      </c>
      <c r="T287">
        <v>2</v>
      </c>
      <c r="U287" t="s">
        <v>51</v>
      </c>
      <c r="V287">
        <v>2.69</v>
      </c>
      <c r="W287" s="4" t="str" cm="1">
        <f t="array" ref="W28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287" s="4" t="str" cm="1">
        <f t="array" ref="X287">_xlfn.IFS(stdsurvey[[#This Row],[daily_sleep_hours]]&lt;4,"&lt; 4 hrs",stdsurvey[[#This Row],[daily_sleep_hours]]&lt;=6,"4-6 hrs",stdsurvey[[#This Row],[daily_sleep_hours]]&lt;=8,"6-8 hrs",TRUE,"&gt; 8 hrs")</f>
        <v>&gt; 8 hrs</v>
      </c>
      <c r="Y287" t="s">
        <v>61</v>
      </c>
    </row>
    <row r="288" spans="1:25" x14ac:dyDescent="0.3">
      <c r="A288" t="s">
        <v>322</v>
      </c>
      <c r="B288">
        <v>22</v>
      </c>
      <c r="C288" t="s">
        <v>25</v>
      </c>
      <c r="D288">
        <v>5</v>
      </c>
      <c r="E288" t="s">
        <v>49</v>
      </c>
      <c r="F288">
        <v>6.4</v>
      </c>
      <c r="G288">
        <v>13.1</v>
      </c>
      <c r="H288">
        <v>3</v>
      </c>
      <c r="I288">
        <v>4</v>
      </c>
      <c r="J288">
        <v>5</v>
      </c>
      <c r="K288" s="4" t="str" cm="1">
        <f t="array" ref="K288">_xlfn.IFS(stdsurvey[[#This Row],[phq9_score]]="","Answer Not Provided",stdsurvey[[#This Row],[phq9_score]]&lt;=4,"Minimal",stdsurvey[[#This Row],[phq9_score]]&lt;=9,"Mild",stdsurvey[[#This Row],[phq9_score]]&lt;=14,"Moderate",stdsurvey[[#This Row],[phq9_score]]&lt;=19,"Moderately Severe",stdsurvey[[#This Row],[phq9_score]]&lt;=27,"Severe")</f>
        <v>Minimal</v>
      </c>
      <c r="L288">
        <v>11</v>
      </c>
      <c r="M288" s="4" t="str" cm="1">
        <f t="array" ref="M288">_xlfn.IFS(stdsurvey[[#This Row],[gad7_score]]="","Answer Not Provided",stdsurvey[[#This Row],[gad7_score]]&lt;=4,"Minimal",stdsurvey[[#This Row],[gad7_score]]&lt;=9,"Mild",stdsurvey[[#This Row],[gad7_score]]&lt;=14,"Moderate",stdsurvey[[#This Row],[gad7_score]]&lt;=21,"Severe")</f>
        <v>Mild</v>
      </c>
      <c r="N288">
        <v>9.5</v>
      </c>
      <c r="O288" s="4" t="str" cm="1">
        <f t="array" ref="O288">_xlfn.IFS(stdsurvey[[#This Row],[perceived_stress_scale]]="","Answer Not Provided",stdsurvey[[#This Row],[perceived_stress_scale]]&lt;=13,"Low Stress",stdsurvey[[#This Row],[perceived_stress_scale]]&lt;=26,"Moderate Stress",stdsurvey[[#This Row],[perceived_stress_scale]]&lt;=40,"High Stress")</f>
        <v>Low Stress</v>
      </c>
      <c r="P288">
        <v>69.7</v>
      </c>
      <c r="Q288">
        <v>2</v>
      </c>
      <c r="R288" s="4" t="str" cm="1">
        <f t="array" ref="R288">_xlfn.IFS(stdsurvey[[#This Row],[class_attendance_percent]]&lt;60,"Less than 0%",stdsurvey[[#This Row],[class_attendance_percent]]&lt;70,"60-70 %",stdsurvey[[#This Row],[class_attendance_percent]]&lt;80, "70-80%",stdsurvey[[#This Row],[class_attendance_percent]]&lt;90,"80-90%",TRUE,"More than 90%")</f>
        <v>60-70 %</v>
      </c>
      <c r="S288" t="s">
        <v>22</v>
      </c>
      <c r="T288">
        <v>2</v>
      </c>
      <c r="U288" t="s">
        <v>26</v>
      </c>
      <c r="V288">
        <v>2.78</v>
      </c>
      <c r="W288" s="4" t="str" cm="1">
        <f t="array" ref="W28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288" s="4" t="str" cm="1">
        <f t="array" ref="X288">_xlfn.IFS(stdsurvey[[#This Row],[daily_sleep_hours]]&lt;4,"&lt; 4 hrs",stdsurvey[[#This Row],[daily_sleep_hours]]&lt;=6,"4-6 hrs",stdsurvey[[#This Row],[daily_sleep_hours]]&lt;=8,"6-8 hrs",TRUE,"&gt; 8 hrs")</f>
        <v>6-8 hrs</v>
      </c>
      <c r="Y288" t="s">
        <v>27</v>
      </c>
    </row>
    <row r="289" spans="1:25" x14ac:dyDescent="0.3">
      <c r="A289" t="s">
        <v>323</v>
      </c>
      <c r="B289">
        <v>19</v>
      </c>
      <c r="C289" t="s">
        <v>27</v>
      </c>
      <c r="D289">
        <v>3</v>
      </c>
      <c r="E289" t="s">
        <v>47</v>
      </c>
      <c r="F289">
        <v>5.7</v>
      </c>
      <c r="G289">
        <v>16</v>
      </c>
      <c r="H289">
        <v>3</v>
      </c>
      <c r="I289">
        <v>1</v>
      </c>
      <c r="J289">
        <v>3</v>
      </c>
      <c r="K289" s="4" t="str" cm="1">
        <f t="array" ref="K289">_xlfn.IFS(stdsurvey[[#This Row],[phq9_score]]="","Answer Not Provided",stdsurvey[[#This Row],[phq9_score]]&lt;=4,"Minimal",stdsurvey[[#This Row],[phq9_score]]&lt;=9,"Mild",stdsurvey[[#This Row],[phq9_score]]&lt;=14,"Moderate",stdsurvey[[#This Row],[phq9_score]]&lt;=19,"Moderately Severe",stdsurvey[[#This Row],[phq9_score]]&lt;=27,"Severe")</f>
        <v>Minimal</v>
      </c>
      <c r="L289">
        <v>6</v>
      </c>
      <c r="M289" s="4" t="str" cm="1">
        <f t="array" ref="M289">_xlfn.IFS(stdsurvey[[#This Row],[gad7_score]]="","Answer Not Provided",stdsurvey[[#This Row],[gad7_score]]&lt;=4,"Minimal",stdsurvey[[#This Row],[gad7_score]]&lt;=9,"Mild",stdsurvey[[#This Row],[gad7_score]]&lt;=14,"Moderate",stdsurvey[[#This Row],[gad7_score]]&lt;=21,"Severe")</f>
        <v>Minimal</v>
      </c>
      <c r="N289">
        <v>24</v>
      </c>
      <c r="O289" s="4" t="str" cm="1">
        <f t="array" ref="O289">_xlfn.IFS(stdsurvey[[#This Row],[perceived_stress_scale]]="","Answer Not Provided",stdsurvey[[#This Row],[perceived_stress_scale]]&lt;=13,"Low Stress",stdsurvey[[#This Row],[perceived_stress_scale]]&lt;=26,"Moderate Stress",stdsurvey[[#This Row],[perceived_stress_scale]]&lt;=40,"High Stress")</f>
        <v>Low Stress</v>
      </c>
      <c r="P289">
        <v>94.4</v>
      </c>
      <c r="Q289">
        <v>1</v>
      </c>
      <c r="R289" s="4" t="str" cm="1">
        <f t="array" ref="R289">_xlfn.IFS(stdsurvey[[#This Row],[class_attendance_percent]]&lt;60,"Less than 0%",stdsurvey[[#This Row],[class_attendance_percent]]&lt;70,"60-70 %",stdsurvey[[#This Row],[class_attendance_percent]]&lt;80, "70-80%",stdsurvey[[#This Row],[class_attendance_percent]]&lt;90,"80-90%",TRUE,"More than 90%")</f>
        <v>More than 90%</v>
      </c>
      <c r="S289" t="s">
        <v>22</v>
      </c>
      <c r="T289">
        <v>5</v>
      </c>
      <c r="U289" t="s">
        <v>23</v>
      </c>
      <c r="V289">
        <v>3.23</v>
      </c>
      <c r="W289" s="4" t="str" cm="1">
        <f t="array" ref="W28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289" s="4" t="str" cm="1">
        <f t="array" ref="X289">_xlfn.IFS(stdsurvey[[#This Row],[daily_sleep_hours]]&lt;4,"&lt; 4 hrs",stdsurvey[[#This Row],[daily_sleep_hours]]&lt;=6,"4-6 hrs",stdsurvey[[#This Row],[daily_sleep_hours]]&lt;=8,"6-8 hrs",TRUE,"&gt; 8 hrs")</f>
        <v>4-6 hrs</v>
      </c>
      <c r="Y289" t="s">
        <v>27</v>
      </c>
    </row>
    <row r="290" spans="1:25" x14ac:dyDescent="0.3">
      <c r="A290" t="s">
        <v>324</v>
      </c>
      <c r="B290">
        <v>21</v>
      </c>
      <c r="C290" t="s">
        <v>20</v>
      </c>
      <c r="D290">
        <v>2</v>
      </c>
      <c r="E290" t="s">
        <v>35</v>
      </c>
      <c r="F290">
        <v>6.8</v>
      </c>
      <c r="G290">
        <v>5.0999999999999996</v>
      </c>
      <c r="H290">
        <v>5</v>
      </c>
      <c r="I290">
        <v>3</v>
      </c>
      <c r="J290">
        <v>2</v>
      </c>
      <c r="K290" s="4" t="str" cm="1">
        <f t="array" ref="K290">_xlfn.IFS(stdsurvey[[#This Row],[phq9_score]]="","Answer Not Provided",stdsurvey[[#This Row],[phq9_score]]&lt;=4,"Minimal",stdsurvey[[#This Row],[phq9_score]]&lt;=9,"Mild",stdsurvey[[#This Row],[phq9_score]]&lt;=14,"Moderate",stdsurvey[[#This Row],[phq9_score]]&lt;=19,"Moderately Severe",stdsurvey[[#This Row],[phq9_score]]&lt;=27,"Severe")</f>
        <v>Minimal</v>
      </c>
      <c r="L290">
        <v>8</v>
      </c>
      <c r="M290" s="4" t="str" cm="1">
        <f t="array" ref="M290">_xlfn.IFS(stdsurvey[[#This Row],[gad7_score]]="","Answer Not Provided",stdsurvey[[#This Row],[gad7_score]]&lt;=4,"Minimal",stdsurvey[[#This Row],[gad7_score]]&lt;=9,"Mild",stdsurvey[[#This Row],[gad7_score]]&lt;=14,"Moderate",stdsurvey[[#This Row],[gad7_score]]&lt;=21,"Severe")</f>
        <v>Minimal</v>
      </c>
      <c r="N290">
        <v>19.100000000000001</v>
      </c>
      <c r="O290" s="4" t="str" cm="1">
        <f t="array" ref="O290">_xlfn.IFS(stdsurvey[[#This Row],[perceived_stress_scale]]="","Answer Not Provided",stdsurvey[[#This Row],[perceived_stress_scale]]&lt;=13,"Low Stress",stdsurvey[[#This Row],[perceived_stress_scale]]&lt;=26,"Moderate Stress",stdsurvey[[#This Row],[perceived_stress_scale]]&lt;=40,"High Stress")</f>
        <v>Low Stress</v>
      </c>
      <c r="P290">
        <v>95.6</v>
      </c>
      <c r="Q290">
        <v>1</v>
      </c>
      <c r="R290" s="4" t="str" cm="1">
        <f t="array" ref="R290">_xlfn.IFS(stdsurvey[[#This Row],[class_attendance_percent]]&lt;60,"Less than 0%",stdsurvey[[#This Row],[class_attendance_percent]]&lt;70,"60-70 %",stdsurvey[[#This Row],[class_attendance_percent]]&lt;80, "70-80%",stdsurvey[[#This Row],[class_attendance_percent]]&lt;90,"80-90%",TRUE,"More than 90%")</f>
        <v>More than 90%</v>
      </c>
      <c r="S290" t="s">
        <v>22</v>
      </c>
      <c r="T290">
        <v>2</v>
      </c>
      <c r="U290" t="s">
        <v>23</v>
      </c>
      <c r="V290">
        <v>3.11</v>
      </c>
      <c r="W290" s="4" t="str" cm="1">
        <f t="array" ref="W29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90" s="4" t="str" cm="1">
        <f t="array" ref="X290">_xlfn.IFS(stdsurvey[[#This Row],[daily_sleep_hours]]&lt;4,"&lt; 4 hrs",stdsurvey[[#This Row],[daily_sleep_hours]]&lt;=6,"4-6 hrs",stdsurvey[[#This Row],[daily_sleep_hours]]&lt;=8,"6-8 hrs",TRUE,"&gt; 8 hrs")</f>
        <v>6-8 hrs</v>
      </c>
      <c r="Y290" t="s">
        <v>20</v>
      </c>
    </row>
    <row r="291" spans="1:25" x14ac:dyDescent="0.3">
      <c r="A291" t="s">
        <v>325</v>
      </c>
      <c r="B291">
        <v>22</v>
      </c>
      <c r="C291" t="s">
        <v>27</v>
      </c>
      <c r="D291">
        <v>2</v>
      </c>
      <c r="E291" t="s">
        <v>30</v>
      </c>
      <c r="F291">
        <v>8.5</v>
      </c>
      <c r="G291">
        <v>5.5</v>
      </c>
      <c r="H291">
        <v>1</v>
      </c>
      <c r="I291">
        <v>6</v>
      </c>
      <c r="J291">
        <v>2</v>
      </c>
      <c r="K291" s="4" t="str" cm="1">
        <f t="array" ref="K291">_xlfn.IFS(stdsurvey[[#This Row],[phq9_score]]="","Answer Not Provided",stdsurvey[[#This Row],[phq9_score]]&lt;=4,"Minimal",stdsurvey[[#This Row],[phq9_score]]&lt;=9,"Mild",stdsurvey[[#This Row],[phq9_score]]&lt;=14,"Moderate",stdsurvey[[#This Row],[phq9_score]]&lt;=19,"Moderately Severe",stdsurvey[[#This Row],[phq9_score]]&lt;=27,"Severe")</f>
        <v>Mild</v>
      </c>
      <c r="L291">
        <v>12</v>
      </c>
      <c r="M291" s="4" t="str" cm="1">
        <f t="array" ref="M291">_xlfn.IFS(stdsurvey[[#This Row],[gad7_score]]="","Answer Not Provided",stdsurvey[[#This Row],[gad7_score]]&lt;=4,"Minimal",stdsurvey[[#This Row],[gad7_score]]&lt;=9,"Mild",stdsurvey[[#This Row],[gad7_score]]&lt;=14,"Moderate",stdsurvey[[#This Row],[gad7_score]]&lt;=21,"Severe")</f>
        <v>Minimal</v>
      </c>
      <c r="N291">
        <v>28.5</v>
      </c>
      <c r="O291" s="4" t="str" cm="1">
        <f t="array" ref="O291">_xlfn.IFS(stdsurvey[[#This Row],[perceived_stress_scale]]="","Answer Not Provided",stdsurvey[[#This Row],[perceived_stress_scale]]&lt;=13,"Low Stress",stdsurvey[[#This Row],[perceived_stress_scale]]&lt;=26,"Moderate Stress",stdsurvey[[#This Row],[perceived_stress_scale]]&lt;=40,"High Stress")</f>
        <v>Low Stress</v>
      </c>
      <c r="P291">
        <v>74.8</v>
      </c>
      <c r="Q291">
        <v>3</v>
      </c>
      <c r="R291" s="4" t="str" cm="1">
        <f t="array" ref="R291">_xlfn.IFS(stdsurvey[[#This Row],[class_attendance_percent]]&lt;60,"Less than 0%",stdsurvey[[#This Row],[class_attendance_percent]]&lt;70,"60-70 %",stdsurvey[[#This Row],[class_attendance_percent]]&lt;80, "70-80%",stdsurvey[[#This Row],[class_attendance_percent]]&lt;90,"80-90%",TRUE,"More than 90%")</f>
        <v>70-80%</v>
      </c>
      <c r="S291" t="s">
        <v>33</v>
      </c>
      <c r="T291">
        <v>1</v>
      </c>
      <c r="U291" t="s">
        <v>23</v>
      </c>
      <c r="V291">
        <v>3.27</v>
      </c>
      <c r="W291" s="4" t="str" cm="1">
        <f t="array" ref="W29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91" s="4" t="str" cm="1">
        <f t="array" ref="X291">_xlfn.IFS(stdsurvey[[#This Row],[daily_sleep_hours]]&lt;4,"&lt; 4 hrs",stdsurvey[[#This Row],[daily_sleep_hours]]&lt;=6,"4-6 hrs",stdsurvey[[#This Row],[daily_sleep_hours]]&lt;=8,"6-8 hrs",TRUE,"&gt; 8 hrs")</f>
        <v>&gt; 8 hrs</v>
      </c>
      <c r="Y291" t="s">
        <v>27</v>
      </c>
    </row>
    <row r="292" spans="1:25" x14ac:dyDescent="0.3">
      <c r="A292" t="s">
        <v>326</v>
      </c>
      <c r="B292">
        <v>22</v>
      </c>
      <c r="C292" t="s">
        <v>45</v>
      </c>
      <c r="D292">
        <v>2</v>
      </c>
      <c r="E292" t="s">
        <v>32</v>
      </c>
      <c r="F292">
        <v>5.9</v>
      </c>
      <c r="G292">
        <v>4</v>
      </c>
      <c r="H292">
        <v>0</v>
      </c>
      <c r="I292">
        <v>4</v>
      </c>
      <c r="J292">
        <v>3</v>
      </c>
      <c r="K292" s="4" t="str" cm="1">
        <f t="array" ref="K292">_xlfn.IFS(stdsurvey[[#This Row],[phq9_score]]="","Answer Not Provided",stdsurvey[[#This Row],[phq9_score]]&lt;=4,"Minimal",stdsurvey[[#This Row],[phq9_score]]&lt;=9,"Mild",stdsurvey[[#This Row],[phq9_score]]&lt;=14,"Moderate",stdsurvey[[#This Row],[phq9_score]]&lt;=19,"Moderately Severe",stdsurvey[[#This Row],[phq9_score]]&lt;=27,"Severe")</f>
        <v>Minimal</v>
      </c>
      <c r="L292">
        <v>12</v>
      </c>
      <c r="M292" s="4" t="str" cm="1">
        <f t="array" ref="M292">_xlfn.IFS(stdsurvey[[#This Row],[gad7_score]]="","Answer Not Provided",stdsurvey[[#This Row],[gad7_score]]&lt;=4,"Minimal",stdsurvey[[#This Row],[gad7_score]]&lt;=9,"Mild",stdsurvey[[#This Row],[gad7_score]]&lt;=14,"Moderate",stdsurvey[[#This Row],[gad7_score]]&lt;=21,"Severe")</f>
        <v>Minimal</v>
      </c>
      <c r="N292">
        <v>13.2</v>
      </c>
      <c r="O292" s="4" t="str" cm="1">
        <f t="array" ref="O292">_xlfn.IFS(stdsurvey[[#This Row],[perceived_stress_scale]]="","Answer Not Provided",stdsurvey[[#This Row],[perceived_stress_scale]]&lt;=13,"Low Stress",stdsurvey[[#This Row],[perceived_stress_scale]]&lt;=26,"Moderate Stress",stdsurvey[[#This Row],[perceived_stress_scale]]&lt;=40,"High Stress")</f>
        <v>Low Stress</v>
      </c>
      <c r="P292">
        <v>88</v>
      </c>
      <c r="Q292">
        <v>5</v>
      </c>
      <c r="R292" s="4" t="str" cm="1">
        <f t="array" ref="R292">_xlfn.IFS(stdsurvey[[#This Row],[class_attendance_percent]]&lt;60,"Less than 0%",stdsurvey[[#This Row],[class_attendance_percent]]&lt;70,"60-70 %",stdsurvey[[#This Row],[class_attendance_percent]]&lt;80, "70-80%",stdsurvey[[#This Row],[class_attendance_percent]]&lt;90,"80-90%",TRUE,"More than 90%")</f>
        <v>80-90%</v>
      </c>
      <c r="S292" t="s">
        <v>22</v>
      </c>
      <c r="T292">
        <v>3</v>
      </c>
      <c r="U292" t="s">
        <v>23</v>
      </c>
      <c r="V292">
        <v>2.85</v>
      </c>
      <c r="W292" s="4" t="str" cm="1">
        <f t="array" ref="W29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92" s="4" t="str" cm="1">
        <f t="array" ref="X292">_xlfn.IFS(stdsurvey[[#This Row],[daily_sleep_hours]]&lt;4,"&lt; 4 hrs",stdsurvey[[#This Row],[daily_sleep_hours]]&lt;=6,"4-6 hrs",stdsurvey[[#This Row],[daily_sleep_hours]]&lt;=8,"6-8 hrs",TRUE,"&gt; 8 hrs")</f>
        <v>4-6 hrs</v>
      </c>
      <c r="Y292" t="s">
        <v>20</v>
      </c>
    </row>
    <row r="293" spans="1:25" x14ac:dyDescent="0.3">
      <c r="A293" t="s">
        <v>327</v>
      </c>
      <c r="B293">
        <v>21</v>
      </c>
      <c r="C293" t="s">
        <v>27</v>
      </c>
      <c r="D293">
        <v>1</v>
      </c>
      <c r="E293" t="s">
        <v>47</v>
      </c>
      <c r="F293">
        <v>3.8</v>
      </c>
      <c r="G293">
        <v>5.0999999999999996</v>
      </c>
      <c r="H293">
        <v>2</v>
      </c>
      <c r="I293">
        <v>2</v>
      </c>
      <c r="J293">
        <v>3</v>
      </c>
      <c r="K293" s="4" t="str" cm="1">
        <f t="array" ref="K293">_xlfn.IFS(stdsurvey[[#This Row],[phq9_score]]="","Answer Not Provided",stdsurvey[[#This Row],[phq9_score]]&lt;=4,"Minimal",stdsurvey[[#This Row],[phq9_score]]&lt;=9,"Mild",stdsurvey[[#This Row],[phq9_score]]&lt;=14,"Moderate",stdsurvey[[#This Row],[phq9_score]]&lt;=19,"Moderately Severe",stdsurvey[[#This Row],[phq9_score]]&lt;=27,"Severe")</f>
        <v>Minimal</v>
      </c>
      <c r="L293">
        <v>7</v>
      </c>
      <c r="M293" s="4" t="str" cm="1">
        <f t="array" ref="M293">_xlfn.IFS(stdsurvey[[#This Row],[gad7_score]]="","Answer Not Provided",stdsurvey[[#This Row],[gad7_score]]&lt;=4,"Minimal",stdsurvey[[#This Row],[gad7_score]]&lt;=9,"Mild",stdsurvey[[#This Row],[gad7_score]]&lt;=14,"Moderate",stdsurvey[[#This Row],[gad7_score]]&lt;=21,"Severe")</f>
        <v>Minimal</v>
      </c>
      <c r="N293">
        <v>26</v>
      </c>
      <c r="O293" s="4" t="str" cm="1">
        <f t="array" ref="O293">_xlfn.IFS(stdsurvey[[#This Row],[perceived_stress_scale]]="","Answer Not Provided",stdsurvey[[#This Row],[perceived_stress_scale]]&lt;=13,"Low Stress",stdsurvey[[#This Row],[perceived_stress_scale]]&lt;=26,"Moderate Stress",stdsurvey[[#This Row],[perceived_stress_scale]]&lt;=40,"High Stress")</f>
        <v>Low Stress</v>
      </c>
      <c r="P293">
        <v>64.5</v>
      </c>
      <c r="Q293">
        <v>4</v>
      </c>
      <c r="R293" s="4" t="str" cm="1">
        <f t="array" ref="R293">_xlfn.IFS(stdsurvey[[#This Row],[class_attendance_percent]]&lt;60,"Less than 0%",stdsurvey[[#This Row],[class_attendance_percent]]&lt;70,"60-70 %",stdsurvey[[#This Row],[class_attendance_percent]]&lt;80, "70-80%",stdsurvey[[#This Row],[class_attendance_percent]]&lt;90,"80-90%",TRUE,"More than 90%")</f>
        <v>60-70 %</v>
      </c>
      <c r="S293" t="s">
        <v>22</v>
      </c>
      <c r="T293">
        <v>5</v>
      </c>
      <c r="U293" t="s">
        <v>26</v>
      </c>
      <c r="V293">
        <v>2.76</v>
      </c>
      <c r="W293" s="4" t="str" cm="1">
        <f t="array" ref="W29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93" s="4" t="str" cm="1">
        <f t="array" ref="X293">_xlfn.IFS(stdsurvey[[#This Row],[daily_sleep_hours]]&lt;4,"&lt; 4 hrs",stdsurvey[[#This Row],[daily_sleep_hours]]&lt;=6,"4-6 hrs",stdsurvey[[#This Row],[daily_sleep_hours]]&lt;=8,"6-8 hrs",TRUE,"&gt; 8 hrs")</f>
        <v>&lt; 4 hrs</v>
      </c>
      <c r="Y293" t="s">
        <v>27</v>
      </c>
    </row>
    <row r="294" spans="1:25" x14ac:dyDescent="0.3">
      <c r="A294" t="s">
        <v>328</v>
      </c>
      <c r="B294">
        <v>21</v>
      </c>
      <c r="C294" t="s">
        <v>20</v>
      </c>
      <c r="D294">
        <v>4</v>
      </c>
      <c r="E294" t="s">
        <v>30</v>
      </c>
      <c r="F294">
        <v>6.5</v>
      </c>
      <c r="G294">
        <v>2.2000000000000002</v>
      </c>
      <c r="H294">
        <v>2</v>
      </c>
      <c r="I294">
        <v>4</v>
      </c>
      <c r="J294">
        <v>0</v>
      </c>
      <c r="K294" s="4" t="str" cm="1">
        <f t="array" ref="K294">_xlfn.IFS(stdsurvey[[#This Row],[phq9_score]]="","Answer Not Provided",stdsurvey[[#This Row],[phq9_score]]&lt;=4,"Minimal",stdsurvey[[#This Row],[phq9_score]]&lt;=9,"Mild",stdsurvey[[#This Row],[phq9_score]]&lt;=14,"Moderate",stdsurvey[[#This Row],[phq9_score]]&lt;=19,"Moderately Severe",stdsurvey[[#This Row],[phq9_score]]&lt;=27,"Severe")</f>
        <v>Minimal</v>
      </c>
      <c r="L294">
        <v>5</v>
      </c>
      <c r="M294" s="4" t="str" cm="1">
        <f t="array" ref="M294">_xlfn.IFS(stdsurvey[[#This Row],[gad7_score]]="","Answer Not Provided",stdsurvey[[#This Row],[gad7_score]]&lt;=4,"Minimal",stdsurvey[[#This Row],[gad7_score]]&lt;=9,"Mild",stdsurvey[[#This Row],[gad7_score]]&lt;=14,"Moderate",stdsurvey[[#This Row],[gad7_score]]&lt;=21,"Severe")</f>
        <v>Minimal</v>
      </c>
      <c r="N294">
        <v>16.399999999999999</v>
      </c>
      <c r="O294" s="4" t="str" cm="1">
        <f t="array" ref="O294">_xlfn.IFS(stdsurvey[[#This Row],[perceived_stress_scale]]="","Answer Not Provided",stdsurvey[[#This Row],[perceived_stress_scale]]&lt;=13,"Low Stress",stdsurvey[[#This Row],[perceived_stress_scale]]&lt;=26,"Moderate Stress",stdsurvey[[#This Row],[perceived_stress_scale]]&lt;=40,"High Stress")</f>
        <v>Low Stress</v>
      </c>
      <c r="P294">
        <v>68.599999999999994</v>
      </c>
      <c r="Q294">
        <v>5</v>
      </c>
      <c r="R294" s="4" t="str" cm="1">
        <f t="array" ref="R294">_xlfn.IFS(stdsurvey[[#This Row],[class_attendance_percent]]&lt;60,"Less than 0%",stdsurvey[[#This Row],[class_attendance_percent]]&lt;70,"60-70 %",stdsurvey[[#This Row],[class_attendance_percent]]&lt;80, "70-80%",stdsurvey[[#This Row],[class_attendance_percent]]&lt;90,"80-90%",TRUE,"More than 90%")</f>
        <v>60-70 %</v>
      </c>
      <c r="S294" t="s">
        <v>22</v>
      </c>
      <c r="T294">
        <v>3</v>
      </c>
      <c r="U294" t="s">
        <v>23</v>
      </c>
      <c r="V294">
        <v>3.09</v>
      </c>
      <c r="W294" s="4" t="str" cm="1">
        <f t="array" ref="W29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94" s="4" t="str" cm="1">
        <f t="array" ref="X294">_xlfn.IFS(stdsurvey[[#This Row],[daily_sleep_hours]]&lt;4,"&lt; 4 hrs",stdsurvey[[#This Row],[daily_sleep_hours]]&lt;=6,"4-6 hrs",stdsurvey[[#This Row],[daily_sleep_hours]]&lt;=8,"6-8 hrs",TRUE,"&gt; 8 hrs")</f>
        <v>6-8 hrs</v>
      </c>
      <c r="Y294" t="s">
        <v>20</v>
      </c>
    </row>
    <row r="295" spans="1:25" x14ac:dyDescent="0.3">
      <c r="A295" t="s">
        <v>329</v>
      </c>
      <c r="B295">
        <v>21</v>
      </c>
      <c r="C295" t="s">
        <v>20</v>
      </c>
      <c r="D295">
        <v>4</v>
      </c>
      <c r="E295" t="s">
        <v>21</v>
      </c>
      <c r="F295">
        <v>7.5</v>
      </c>
      <c r="G295">
        <v>4</v>
      </c>
      <c r="H295">
        <v>2</v>
      </c>
      <c r="I295">
        <v>0</v>
      </c>
      <c r="J295">
        <v>1</v>
      </c>
      <c r="K295" s="4" t="str" cm="1">
        <f t="array" ref="K295">_xlfn.IFS(stdsurvey[[#This Row],[phq9_score]]="","Answer Not Provided",stdsurvey[[#This Row],[phq9_score]]&lt;=4,"Minimal",stdsurvey[[#This Row],[phq9_score]]&lt;=9,"Mild",stdsurvey[[#This Row],[phq9_score]]&lt;=14,"Moderate",stdsurvey[[#This Row],[phq9_score]]&lt;=19,"Moderately Severe",stdsurvey[[#This Row],[phq9_score]]&lt;=27,"Severe")</f>
        <v>Minimal</v>
      </c>
      <c r="L295">
        <v>6</v>
      </c>
      <c r="M295" s="4" t="str" cm="1">
        <f t="array" ref="M295">_xlfn.IFS(stdsurvey[[#This Row],[gad7_score]]="","Answer Not Provided",stdsurvey[[#This Row],[gad7_score]]&lt;=4,"Minimal",stdsurvey[[#This Row],[gad7_score]]&lt;=9,"Mild",stdsurvey[[#This Row],[gad7_score]]&lt;=14,"Moderate",stdsurvey[[#This Row],[gad7_score]]&lt;=21,"Severe")</f>
        <v>Minimal</v>
      </c>
      <c r="N295">
        <v>21.6</v>
      </c>
      <c r="O295" s="4" t="str" cm="1">
        <f t="array" ref="O295">_xlfn.IFS(stdsurvey[[#This Row],[perceived_stress_scale]]="","Answer Not Provided",stdsurvey[[#This Row],[perceived_stress_scale]]&lt;=13,"Low Stress",stdsurvey[[#This Row],[perceived_stress_scale]]&lt;=26,"Moderate Stress",stdsurvey[[#This Row],[perceived_stress_scale]]&lt;=40,"High Stress")</f>
        <v>Low Stress</v>
      </c>
      <c r="P295">
        <v>82.3</v>
      </c>
      <c r="Q295">
        <v>3</v>
      </c>
      <c r="R295" s="4" t="str" cm="1">
        <f t="array" ref="R295">_xlfn.IFS(stdsurvey[[#This Row],[class_attendance_percent]]&lt;60,"Less than 0%",stdsurvey[[#This Row],[class_attendance_percent]]&lt;70,"60-70 %",stdsurvey[[#This Row],[class_attendance_percent]]&lt;80, "70-80%",stdsurvey[[#This Row],[class_attendance_percent]]&lt;90,"80-90%",TRUE,"More than 90%")</f>
        <v>80-90%</v>
      </c>
      <c r="S295" t="s">
        <v>33</v>
      </c>
      <c r="T295">
        <v>2</v>
      </c>
      <c r="U295" t="s">
        <v>26</v>
      </c>
      <c r="V295">
        <v>3.32</v>
      </c>
      <c r="W295" s="4" t="str" cm="1">
        <f t="array" ref="W29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95" s="4" t="str" cm="1">
        <f t="array" ref="X295">_xlfn.IFS(stdsurvey[[#This Row],[daily_sleep_hours]]&lt;4,"&lt; 4 hrs",stdsurvey[[#This Row],[daily_sleep_hours]]&lt;=6,"4-6 hrs",stdsurvey[[#This Row],[daily_sleep_hours]]&lt;=8,"6-8 hrs",TRUE,"&gt; 8 hrs")</f>
        <v>6-8 hrs</v>
      </c>
      <c r="Y295" t="s">
        <v>20</v>
      </c>
    </row>
    <row r="296" spans="1:25" x14ac:dyDescent="0.3">
      <c r="A296" t="s">
        <v>330</v>
      </c>
      <c r="B296">
        <v>22</v>
      </c>
      <c r="C296" t="s">
        <v>20</v>
      </c>
      <c r="D296">
        <v>2</v>
      </c>
      <c r="E296" t="s">
        <v>63</v>
      </c>
      <c r="F296">
        <v>4.9000000000000004</v>
      </c>
      <c r="G296">
        <v>2.4</v>
      </c>
      <c r="H296">
        <v>4</v>
      </c>
      <c r="I296">
        <v>14</v>
      </c>
      <c r="J296">
        <v>11</v>
      </c>
      <c r="K296" s="4" t="str" cm="1">
        <f t="array" ref="K296">_xlfn.IFS(stdsurvey[[#This Row],[phq9_score]]="","Answer Not Provided",stdsurvey[[#This Row],[phq9_score]]&lt;=4,"Minimal",stdsurvey[[#This Row],[phq9_score]]&lt;=9,"Mild",stdsurvey[[#This Row],[phq9_score]]&lt;=14,"Moderate",stdsurvey[[#This Row],[phq9_score]]&lt;=19,"Moderately Severe",stdsurvey[[#This Row],[phq9_score]]&lt;=27,"Severe")</f>
        <v>Moderate</v>
      </c>
      <c r="L296">
        <v>21</v>
      </c>
      <c r="M296" s="4" t="str" cm="1">
        <f t="array" ref="M296">_xlfn.IFS(stdsurvey[[#This Row],[gad7_score]]="","Answer Not Provided",stdsurvey[[#This Row],[gad7_score]]&lt;=4,"Minimal",stdsurvey[[#This Row],[gad7_score]]&lt;=9,"Mild",stdsurvey[[#This Row],[gad7_score]]&lt;=14,"Moderate",stdsurvey[[#This Row],[gad7_score]]&lt;=21,"Severe")</f>
        <v>Moderate</v>
      </c>
      <c r="N296">
        <v>8.6999999999999993</v>
      </c>
      <c r="O296" s="4" t="str" cm="1">
        <f t="array" ref="O296">_xlfn.IFS(stdsurvey[[#This Row],[perceived_stress_scale]]="","Answer Not Provided",stdsurvey[[#This Row],[perceived_stress_scale]]&lt;=13,"Low Stress",stdsurvey[[#This Row],[perceived_stress_scale]]&lt;=26,"Moderate Stress",stdsurvey[[#This Row],[perceived_stress_scale]]&lt;=40,"High Stress")</f>
        <v>Moderate Stress</v>
      </c>
      <c r="P296">
        <v>74.2</v>
      </c>
      <c r="Q296">
        <v>3</v>
      </c>
      <c r="R296" s="4" t="str" cm="1">
        <f t="array" ref="R296">_xlfn.IFS(stdsurvey[[#This Row],[class_attendance_percent]]&lt;60,"Less than 0%",stdsurvey[[#This Row],[class_attendance_percent]]&lt;70,"60-70 %",stdsurvey[[#This Row],[class_attendance_percent]]&lt;80, "70-80%",stdsurvey[[#This Row],[class_attendance_percent]]&lt;90,"80-90%",TRUE,"More than 90%")</f>
        <v>70-80%</v>
      </c>
      <c r="S296" t="s">
        <v>22</v>
      </c>
      <c r="T296">
        <v>5</v>
      </c>
      <c r="U296" t="s">
        <v>26</v>
      </c>
      <c r="V296">
        <v>2.31</v>
      </c>
      <c r="W296" s="4" t="str" cm="1">
        <f t="array" ref="W29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96" s="4" t="str" cm="1">
        <f t="array" ref="X296">_xlfn.IFS(stdsurvey[[#This Row],[daily_sleep_hours]]&lt;4,"&lt; 4 hrs",stdsurvey[[#This Row],[daily_sleep_hours]]&lt;=6,"4-6 hrs",stdsurvey[[#This Row],[daily_sleep_hours]]&lt;=8,"6-8 hrs",TRUE,"&gt; 8 hrs")</f>
        <v>4-6 hrs</v>
      </c>
      <c r="Y296" t="s">
        <v>20</v>
      </c>
    </row>
    <row r="297" spans="1:25" x14ac:dyDescent="0.3">
      <c r="A297" t="s">
        <v>331</v>
      </c>
      <c r="B297">
        <v>25</v>
      </c>
      <c r="C297" t="s">
        <v>61</v>
      </c>
      <c r="D297">
        <v>2</v>
      </c>
      <c r="E297" t="s">
        <v>63</v>
      </c>
      <c r="F297">
        <v>6.1</v>
      </c>
      <c r="G297">
        <v>3.6</v>
      </c>
      <c r="H297">
        <v>1</v>
      </c>
      <c r="I297">
        <v>5</v>
      </c>
      <c r="J297">
        <v>5</v>
      </c>
      <c r="K297" s="4" t="str" cm="1">
        <f t="array" ref="K297">_xlfn.IFS(stdsurvey[[#This Row],[phq9_score]]="","Answer Not Provided",stdsurvey[[#This Row],[phq9_score]]&lt;=4,"Minimal",stdsurvey[[#This Row],[phq9_score]]&lt;=9,"Mild",stdsurvey[[#This Row],[phq9_score]]&lt;=14,"Moderate",stdsurvey[[#This Row],[phq9_score]]&lt;=19,"Moderately Severe",stdsurvey[[#This Row],[phq9_score]]&lt;=27,"Severe")</f>
        <v>Mild</v>
      </c>
      <c r="L297">
        <v>6</v>
      </c>
      <c r="M297" s="4" t="str" cm="1">
        <f t="array" ref="M297">_xlfn.IFS(stdsurvey[[#This Row],[gad7_score]]="","Answer Not Provided",stdsurvey[[#This Row],[gad7_score]]&lt;=4,"Minimal",stdsurvey[[#This Row],[gad7_score]]&lt;=9,"Mild",stdsurvey[[#This Row],[gad7_score]]&lt;=14,"Moderate",stdsurvey[[#This Row],[gad7_score]]&lt;=21,"Severe")</f>
        <v>Mild</v>
      </c>
      <c r="N297">
        <v>1</v>
      </c>
      <c r="O297" s="4" t="str" cm="1">
        <f t="array" ref="O297">_xlfn.IFS(stdsurvey[[#This Row],[perceived_stress_scale]]="","Answer Not Provided",stdsurvey[[#This Row],[perceived_stress_scale]]&lt;=13,"Low Stress",stdsurvey[[#This Row],[perceived_stress_scale]]&lt;=26,"Moderate Stress",stdsurvey[[#This Row],[perceived_stress_scale]]&lt;=40,"High Stress")</f>
        <v>Low Stress</v>
      </c>
      <c r="P297">
        <v>58.1</v>
      </c>
      <c r="Q297">
        <v>3</v>
      </c>
      <c r="R297" s="4" t="str" cm="1">
        <f t="array" ref="R297">_xlfn.IFS(stdsurvey[[#This Row],[class_attendance_percent]]&lt;60,"Less than 0%",stdsurvey[[#This Row],[class_attendance_percent]]&lt;70,"60-70 %",stdsurvey[[#This Row],[class_attendance_percent]]&lt;80, "70-80%",stdsurvey[[#This Row],[class_attendance_percent]]&lt;90,"80-90%",TRUE,"More than 90%")</f>
        <v>Less than 0%</v>
      </c>
      <c r="S297" t="s">
        <v>22</v>
      </c>
      <c r="T297">
        <v>4</v>
      </c>
      <c r="U297" t="s">
        <v>23</v>
      </c>
      <c r="V297">
        <v>2.2799999999999998</v>
      </c>
      <c r="W297" s="4" t="str" cm="1">
        <f t="array" ref="W29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97" s="4" t="str" cm="1">
        <f t="array" ref="X297">_xlfn.IFS(stdsurvey[[#This Row],[daily_sleep_hours]]&lt;4,"&lt; 4 hrs",stdsurvey[[#This Row],[daily_sleep_hours]]&lt;=6,"4-6 hrs",stdsurvey[[#This Row],[daily_sleep_hours]]&lt;=8,"6-8 hrs",TRUE,"&gt; 8 hrs")</f>
        <v>6-8 hrs</v>
      </c>
      <c r="Y297" t="s">
        <v>61</v>
      </c>
    </row>
    <row r="298" spans="1:25" x14ac:dyDescent="0.3">
      <c r="A298" t="s">
        <v>332</v>
      </c>
      <c r="B298">
        <v>17</v>
      </c>
      <c r="C298" t="s">
        <v>39</v>
      </c>
      <c r="D298">
        <v>4</v>
      </c>
      <c r="E298" t="s">
        <v>35</v>
      </c>
      <c r="F298">
        <v>5.2</v>
      </c>
      <c r="G298">
        <v>2.6</v>
      </c>
      <c r="H298">
        <v>0</v>
      </c>
      <c r="I298">
        <v>5</v>
      </c>
      <c r="J298">
        <v>4</v>
      </c>
      <c r="K298" s="4" t="str" cm="1">
        <f t="array" ref="K298">_xlfn.IFS(stdsurvey[[#This Row],[phq9_score]]="","Answer Not Provided",stdsurvey[[#This Row],[phq9_score]]&lt;=4,"Minimal",stdsurvey[[#This Row],[phq9_score]]&lt;=9,"Mild",stdsurvey[[#This Row],[phq9_score]]&lt;=14,"Moderate",stdsurvey[[#This Row],[phq9_score]]&lt;=19,"Moderately Severe",stdsurvey[[#This Row],[phq9_score]]&lt;=27,"Severe")</f>
        <v>Mild</v>
      </c>
      <c r="L298">
        <v>7</v>
      </c>
      <c r="M298" s="4" t="str" cm="1">
        <f t="array" ref="M298">_xlfn.IFS(stdsurvey[[#This Row],[gad7_score]]="","Answer Not Provided",stdsurvey[[#This Row],[gad7_score]]&lt;=4,"Minimal",stdsurvey[[#This Row],[gad7_score]]&lt;=9,"Mild",stdsurvey[[#This Row],[gad7_score]]&lt;=14,"Moderate",stdsurvey[[#This Row],[gad7_score]]&lt;=21,"Severe")</f>
        <v>Minimal</v>
      </c>
      <c r="N298">
        <v>20.100000000000001</v>
      </c>
      <c r="O298" s="4" t="str" cm="1">
        <f t="array" ref="O298">_xlfn.IFS(stdsurvey[[#This Row],[perceived_stress_scale]]="","Answer Not Provided",stdsurvey[[#This Row],[perceived_stress_scale]]&lt;=13,"Low Stress",stdsurvey[[#This Row],[perceived_stress_scale]]&lt;=26,"Moderate Stress",stdsurvey[[#This Row],[perceived_stress_scale]]&lt;=40,"High Stress")</f>
        <v>Low Stress</v>
      </c>
      <c r="P298">
        <v>65.8</v>
      </c>
      <c r="Q298">
        <v>1</v>
      </c>
      <c r="R298" s="4" t="str" cm="1">
        <f t="array" ref="R298">_xlfn.IFS(stdsurvey[[#This Row],[class_attendance_percent]]&lt;60,"Less than 0%",stdsurvey[[#This Row],[class_attendance_percent]]&lt;70,"60-70 %",stdsurvey[[#This Row],[class_attendance_percent]]&lt;80, "70-80%",stdsurvey[[#This Row],[class_attendance_percent]]&lt;90,"80-90%",TRUE,"More than 90%")</f>
        <v>60-70 %</v>
      </c>
      <c r="S298" t="s">
        <v>22</v>
      </c>
      <c r="T298">
        <v>4</v>
      </c>
      <c r="U298" t="s">
        <v>26</v>
      </c>
      <c r="V298">
        <v>2.96</v>
      </c>
      <c r="W298" s="4" t="str" cm="1">
        <f t="array" ref="W29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298" s="4" t="str" cm="1">
        <f t="array" ref="X298">_xlfn.IFS(stdsurvey[[#This Row],[daily_sleep_hours]]&lt;4,"&lt; 4 hrs",stdsurvey[[#This Row],[daily_sleep_hours]]&lt;=6,"4-6 hrs",stdsurvey[[#This Row],[daily_sleep_hours]]&lt;=8,"6-8 hrs",TRUE,"&gt; 8 hrs")</f>
        <v>4-6 hrs</v>
      </c>
      <c r="Y298" t="s">
        <v>27</v>
      </c>
    </row>
    <row r="299" spans="1:25" x14ac:dyDescent="0.3">
      <c r="A299" t="s">
        <v>333</v>
      </c>
      <c r="B299">
        <v>21</v>
      </c>
      <c r="C299" t="s">
        <v>20</v>
      </c>
      <c r="D299">
        <v>1</v>
      </c>
      <c r="E299" t="s">
        <v>47</v>
      </c>
      <c r="F299">
        <v>8.6</v>
      </c>
      <c r="G299">
        <v>6.2</v>
      </c>
      <c r="H299">
        <v>2</v>
      </c>
      <c r="I299">
        <v>19</v>
      </c>
      <c r="J299">
        <v>14</v>
      </c>
      <c r="K299" s="4" t="str" cm="1">
        <f t="array" ref="K299">_xlfn.IFS(stdsurvey[[#This Row],[phq9_score]]="","Answer Not Provided",stdsurvey[[#This Row],[phq9_score]]&lt;=4,"Minimal",stdsurvey[[#This Row],[phq9_score]]&lt;=9,"Mild",stdsurvey[[#This Row],[phq9_score]]&lt;=14,"Moderate",stdsurvey[[#This Row],[phq9_score]]&lt;=19,"Moderately Severe",stdsurvey[[#This Row],[phq9_score]]&lt;=27,"Severe")</f>
        <v>Moderately Severe</v>
      </c>
      <c r="L299">
        <v>22</v>
      </c>
      <c r="M299" s="4" t="str" cm="1">
        <f t="array" ref="M299">_xlfn.IFS(stdsurvey[[#This Row],[gad7_score]]="","Answer Not Provided",stdsurvey[[#This Row],[gad7_score]]&lt;=4,"Minimal",stdsurvey[[#This Row],[gad7_score]]&lt;=9,"Mild",stdsurvey[[#This Row],[gad7_score]]&lt;=14,"Moderate",stdsurvey[[#This Row],[gad7_score]]&lt;=21,"Severe")</f>
        <v>Moderate</v>
      </c>
      <c r="N299">
        <v>22.7</v>
      </c>
      <c r="O299" s="4" t="str" cm="1">
        <f t="array" ref="O299">_xlfn.IFS(stdsurvey[[#This Row],[perceived_stress_scale]]="","Answer Not Provided",stdsurvey[[#This Row],[perceived_stress_scale]]&lt;=13,"Low Stress",stdsurvey[[#This Row],[perceived_stress_scale]]&lt;=26,"Moderate Stress",stdsurvey[[#This Row],[perceived_stress_scale]]&lt;=40,"High Stress")</f>
        <v>Moderate Stress</v>
      </c>
      <c r="P299">
        <v>58.3</v>
      </c>
      <c r="Q299">
        <v>5</v>
      </c>
      <c r="R299" s="4" t="str" cm="1">
        <f t="array" ref="R299">_xlfn.IFS(stdsurvey[[#This Row],[class_attendance_percent]]&lt;60,"Less than 0%",stdsurvey[[#This Row],[class_attendance_percent]]&lt;70,"60-70 %",stdsurvey[[#This Row],[class_attendance_percent]]&lt;80, "70-80%",stdsurvey[[#This Row],[class_attendance_percent]]&lt;90,"80-90%",TRUE,"More than 90%")</f>
        <v>Less than 0%</v>
      </c>
      <c r="S299" t="s">
        <v>22</v>
      </c>
      <c r="T299">
        <v>4</v>
      </c>
      <c r="U299" t="s">
        <v>26</v>
      </c>
      <c r="V299">
        <v>2.6</v>
      </c>
      <c r="W299" s="4" t="str" cm="1">
        <f t="array" ref="W29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299" s="4" t="str" cm="1">
        <f t="array" ref="X299">_xlfn.IFS(stdsurvey[[#This Row],[daily_sleep_hours]]&lt;4,"&lt; 4 hrs",stdsurvey[[#This Row],[daily_sleep_hours]]&lt;=6,"4-6 hrs",stdsurvey[[#This Row],[daily_sleep_hours]]&lt;=8,"6-8 hrs",TRUE,"&gt; 8 hrs")</f>
        <v>&gt; 8 hrs</v>
      </c>
      <c r="Y299" t="s">
        <v>20</v>
      </c>
    </row>
    <row r="300" spans="1:25" x14ac:dyDescent="0.3">
      <c r="A300" t="s">
        <v>334</v>
      </c>
      <c r="B300">
        <v>22</v>
      </c>
      <c r="C300" t="s">
        <v>39</v>
      </c>
      <c r="D300">
        <v>3</v>
      </c>
      <c r="E300" t="s">
        <v>30</v>
      </c>
      <c r="F300">
        <v>6.4</v>
      </c>
      <c r="G300">
        <v>6.6</v>
      </c>
      <c r="H300">
        <v>4</v>
      </c>
      <c r="I300">
        <v>3</v>
      </c>
      <c r="J300">
        <v>7</v>
      </c>
      <c r="K300" s="4" t="str" cm="1">
        <f t="array" ref="K300">_xlfn.IFS(stdsurvey[[#This Row],[phq9_score]]="","Answer Not Provided",stdsurvey[[#This Row],[phq9_score]]&lt;=4,"Minimal",stdsurvey[[#This Row],[phq9_score]]&lt;=9,"Mild",stdsurvey[[#This Row],[phq9_score]]&lt;=14,"Moderate",stdsurvey[[#This Row],[phq9_score]]&lt;=19,"Moderately Severe",stdsurvey[[#This Row],[phq9_score]]&lt;=27,"Severe")</f>
        <v>Minimal</v>
      </c>
      <c r="L300">
        <v>9</v>
      </c>
      <c r="M300" s="4" t="str" cm="1">
        <f t="array" ref="M300">_xlfn.IFS(stdsurvey[[#This Row],[gad7_score]]="","Answer Not Provided",stdsurvey[[#This Row],[gad7_score]]&lt;=4,"Minimal",stdsurvey[[#This Row],[gad7_score]]&lt;=9,"Mild",stdsurvey[[#This Row],[gad7_score]]&lt;=14,"Moderate",stdsurvey[[#This Row],[gad7_score]]&lt;=21,"Severe")</f>
        <v>Mild</v>
      </c>
      <c r="N300">
        <v>19.7</v>
      </c>
      <c r="O300" s="4" t="str" cm="1">
        <f t="array" ref="O300">_xlfn.IFS(stdsurvey[[#This Row],[perceived_stress_scale]]="","Answer Not Provided",stdsurvey[[#This Row],[perceived_stress_scale]]&lt;=13,"Low Stress",stdsurvey[[#This Row],[perceived_stress_scale]]&lt;=26,"Moderate Stress",stdsurvey[[#This Row],[perceived_stress_scale]]&lt;=40,"High Stress")</f>
        <v>Low Stress</v>
      </c>
      <c r="P300">
        <v>88</v>
      </c>
      <c r="Q300">
        <v>3</v>
      </c>
      <c r="R300" s="4" t="str" cm="1">
        <f t="array" ref="R300">_xlfn.IFS(stdsurvey[[#This Row],[class_attendance_percent]]&lt;60,"Less than 0%",stdsurvey[[#This Row],[class_attendance_percent]]&lt;70,"60-70 %",stdsurvey[[#This Row],[class_attendance_percent]]&lt;80, "70-80%",stdsurvey[[#This Row],[class_attendance_percent]]&lt;90,"80-90%",TRUE,"More than 90%")</f>
        <v>80-90%</v>
      </c>
      <c r="S300" t="s">
        <v>22</v>
      </c>
      <c r="T300">
        <v>4</v>
      </c>
      <c r="U300" t="s">
        <v>26</v>
      </c>
      <c r="V300">
        <v>2.83</v>
      </c>
      <c r="W300" s="4" t="str" cm="1">
        <f t="array" ref="W30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00" s="4" t="str" cm="1">
        <f t="array" ref="X300">_xlfn.IFS(stdsurvey[[#This Row],[daily_sleep_hours]]&lt;4,"&lt; 4 hrs",stdsurvey[[#This Row],[daily_sleep_hours]]&lt;=6,"4-6 hrs",stdsurvey[[#This Row],[daily_sleep_hours]]&lt;=8,"6-8 hrs",TRUE,"&gt; 8 hrs")</f>
        <v>6-8 hrs</v>
      </c>
      <c r="Y300" t="s">
        <v>27</v>
      </c>
    </row>
    <row r="301" spans="1:25" x14ac:dyDescent="0.3">
      <c r="A301" t="s">
        <v>335</v>
      </c>
      <c r="B301">
        <v>22</v>
      </c>
      <c r="C301" t="s">
        <v>29</v>
      </c>
      <c r="D301">
        <v>2</v>
      </c>
      <c r="E301" t="s">
        <v>21</v>
      </c>
      <c r="F301">
        <v>6.6</v>
      </c>
      <c r="G301">
        <v>5.4</v>
      </c>
      <c r="H301">
        <v>5</v>
      </c>
      <c r="I301">
        <v>4</v>
      </c>
      <c r="J301">
        <v>6</v>
      </c>
      <c r="K301" s="4" t="str" cm="1">
        <f t="array" ref="K301">_xlfn.IFS(stdsurvey[[#This Row],[phq9_score]]="","Answer Not Provided",stdsurvey[[#This Row],[phq9_score]]&lt;=4,"Minimal",stdsurvey[[#This Row],[phq9_score]]&lt;=9,"Mild",stdsurvey[[#This Row],[phq9_score]]&lt;=14,"Moderate",stdsurvey[[#This Row],[phq9_score]]&lt;=19,"Moderately Severe",stdsurvey[[#This Row],[phq9_score]]&lt;=27,"Severe")</f>
        <v>Minimal</v>
      </c>
      <c r="L301">
        <v>8</v>
      </c>
      <c r="M301" s="4" t="str" cm="1">
        <f t="array" ref="M301">_xlfn.IFS(stdsurvey[[#This Row],[gad7_score]]="","Answer Not Provided",stdsurvey[[#This Row],[gad7_score]]&lt;=4,"Minimal",stdsurvey[[#This Row],[gad7_score]]&lt;=9,"Mild",stdsurvey[[#This Row],[gad7_score]]&lt;=14,"Moderate",stdsurvey[[#This Row],[gad7_score]]&lt;=21,"Severe")</f>
        <v>Mild</v>
      </c>
      <c r="N301">
        <v>12.7</v>
      </c>
      <c r="O301" s="4" t="str" cm="1">
        <f t="array" ref="O301">_xlfn.IFS(stdsurvey[[#This Row],[perceived_stress_scale]]="","Answer Not Provided",stdsurvey[[#This Row],[perceived_stress_scale]]&lt;=13,"Low Stress",stdsurvey[[#This Row],[perceived_stress_scale]]&lt;=26,"Moderate Stress",stdsurvey[[#This Row],[perceived_stress_scale]]&lt;=40,"High Stress")</f>
        <v>Low Stress</v>
      </c>
      <c r="P301">
        <v>55</v>
      </c>
      <c r="R301" s="4" t="str" cm="1">
        <f t="array" ref="R301">_xlfn.IFS(stdsurvey[[#This Row],[class_attendance_percent]]&lt;60,"Less than 0%",stdsurvey[[#This Row],[class_attendance_percent]]&lt;70,"60-70 %",stdsurvey[[#This Row],[class_attendance_percent]]&lt;80, "70-80%",stdsurvey[[#This Row],[class_attendance_percent]]&lt;90,"80-90%",TRUE,"More than 90%")</f>
        <v>Less than 0%</v>
      </c>
      <c r="S301" t="s">
        <v>33</v>
      </c>
      <c r="T301">
        <v>3</v>
      </c>
      <c r="U301" t="s">
        <v>23</v>
      </c>
      <c r="V301">
        <v>2.39</v>
      </c>
      <c r="W301" s="4" t="str" cm="1">
        <f t="array" ref="W30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01" s="4" t="str" cm="1">
        <f t="array" ref="X301">_xlfn.IFS(stdsurvey[[#This Row],[daily_sleep_hours]]&lt;4,"&lt; 4 hrs",stdsurvey[[#This Row],[daily_sleep_hours]]&lt;=6,"4-6 hrs",stdsurvey[[#This Row],[daily_sleep_hours]]&lt;=8,"6-8 hrs",TRUE,"&gt; 8 hrs")</f>
        <v>6-8 hrs</v>
      </c>
      <c r="Y301" t="s">
        <v>29</v>
      </c>
    </row>
    <row r="302" spans="1:25" x14ac:dyDescent="0.3">
      <c r="A302" t="s">
        <v>336</v>
      </c>
      <c r="B302">
        <v>21</v>
      </c>
      <c r="C302" t="s">
        <v>20</v>
      </c>
      <c r="D302">
        <v>3</v>
      </c>
      <c r="E302" t="s">
        <v>32</v>
      </c>
      <c r="F302">
        <v>6.9</v>
      </c>
      <c r="G302">
        <v>2.8</v>
      </c>
      <c r="H302">
        <v>4</v>
      </c>
      <c r="I302">
        <v>4</v>
      </c>
      <c r="J302">
        <v>3</v>
      </c>
      <c r="K302" s="4" t="str" cm="1">
        <f t="array" ref="K302">_xlfn.IFS(stdsurvey[[#This Row],[phq9_score]]="","Answer Not Provided",stdsurvey[[#This Row],[phq9_score]]&lt;=4,"Minimal",stdsurvey[[#This Row],[phq9_score]]&lt;=9,"Mild",stdsurvey[[#This Row],[phq9_score]]&lt;=14,"Moderate",stdsurvey[[#This Row],[phq9_score]]&lt;=19,"Moderately Severe",stdsurvey[[#This Row],[phq9_score]]&lt;=27,"Severe")</f>
        <v>Minimal</v>
      </c>
      <c r="L302">
        <v>11</v>
      </c>
      <c r="M302" s="4" t="str" cm="1">
        <f t="array" ref="M302">_xlfn.IFS(stdsurvey[[#This Row],[gad7_score]]="","Answer Not Provided",stdsurvey[[#This Row],[gad7_score]]&lt;=4,"Minimal",stdsurvey[[#This Row],[gad7_score]]&lt;=9,"Mild",stdsurvey[[#This Row],[gad7_score]]&lt;=14,"Moderate",stdsurvey[[#This Row],[gad7_score]]&lt;=21,"Severe")</f>
        <v>Minimal</v>
      </c>
      <c r="N302">
        <v>28.6</v>
      </c>
      <c r="O302" s="4" t="str" cm="1">
        <f t="array" ref="O302">_xlfn.IFS(stdsurvey[[#This Row],[perceived_stress_scale]]="","Answer Not Provided",stdsurvey[[#This Row],[perceived_stress_scale]]&lt;=13,"Low Stress",stdsurvey[[#This Row],[perceived_stress_scale]]&lt;=26,"Moderate Stress",stdsurvey[[#This Row],[perceived_stress_scale]]&lt;=40,"High Stress")</f>
        <v>Low Stress</v>
      </c>
      <c r="P302">
        <v>63</v>
      </c>
      <c r="Q302">
        <v>3</v>
      </c>
      <c r="R302" s="4" t="str" cm="1">
        <f t="array" ref="R302">_xlfn.IFS(stdsurvey[[#This Row],[class_attendance_percent]]&lt;60,"Less than 0%",stdsurvey[[#This Row],[class_attendance_percent]]&lt;70,"60-70 %",stdsurvey[[#This Row],[class_attendance_percent]]&lt;80, "70-80%",stdsurvey[[#This Row],[class_attendance_percent]]&lt;90,"80-90%",TRUE,"More than 90%")</f>
        <v>60-70 %</v>
      </c>
      <c r="S302" t="s">
        <v>22</v>
      </c>
      <c r="T302">
        <v>3</v>
      </c>
      <c r="U302" t="s">
        <v>51</v>
      </c>
      <c r="V302">
        <v>3.06</v>
      </c>
      <c r="W302" s="4" t="str" cm="1">
        <f t="array" ref="W30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02" s="4" t="str" cm="1">
        <f t="array" ref="X302">_xlfn.IFS(stdsurvey[[#This Row],[daily_sleep_hours]]&lt;4,"&lt; 4 hrs",stdsurvey[[#This Row],[daily_sleep_hours]]&lt;=6,"4-6 hrs",stdsurvey[[#This Row],[daily_sleep_hours]]&lt;=8,"6-8 hrs",TRUE,"&gt; 8 hrs")</f>
        <v>6-8 hrs</v>
      </c>
      <c r="Y302" t="s">
        <v>20</v>
      </c>
    </row>
    <row r="303" spans="1:25" x14ac:dyDescent="0.3">
      <c r="A303" t="s">
        <v>337</v>
      </c>
      <c r="B303">
        <v>18</v>
      </c>
      <c r="C303" t="s">
        <v>20</v>
      </c>
      <c r="D303">
        <v>1</v>
      </c>
      <c r="E303" t="s">
        <v>32</v>
      </c>
      <c r="F303">
        <v>6.1</v>
      </c>
      <c r="G303">
        <v>1.7</v>
      </c>
      <c r="H303">
        <v>3</v>
      </c>
      <c r="I303">
        <v>15</v>
      </c>
      <c r="J303">
        <v>12</v>
      </c>
      <c r="K303" s="4" t="str" cm="1">
        <f t="array" ref="K303">_xlfn.IFS(stdsurvey[[#This Row],[phq9_score]]="","Answer Not Provided",stdsurvey[[#This Row],[phq9_score]]&lt;=4,"Minimal",stdsurvey[[#This Row],[phq9_score]]&lt;=9,"Mild",stdsurvey[[#This Row],[phq9_score]]&lt;=14,"Moderate",stdsurvey[[#This Row],[phq9_score]]&lt;=19,"Moderately Severe",stdsurvey[[#This Row],[phq9_score]]&lt;=27,"Severe")</f>
        <v>Moderately Severe</v>
      </c>
      <c r="L303">
        <v>15</v>
      </c>
      <c r="M303" s="4" t="str" cm="1">
        <f t="array" ref="M303">_xlfn.IFS(stdsurvey[[#This Row],[gad7_score]]="","Answer Not Provided",stdsurvey[[#This Row],[gad7_score]]&lt;=4,"Minimal",stdsurvey[[#This Row],[gad7_score]]&lt;=9,"Mild",stdsurvey[[#This Row],[gad7_score]]&lt;=14,"Moderate",stdsurvey[[#This Row],[gad7_score]]&lt;=21,"Severe")</f>
        <v>Moderate</v>
      </c>
      <c r="N303">
        <v>6.7</v>
      </c>
      <c r="O303" s="4" t="str" cm="1">
        <f t="array" ref="O303">_xlfn.IFS(stdsurvey[[#This Row],[perceived_stress_scale]]="","Answer Not Provided",stdsurvey[[#This Row],[perceived_stress_scale]]&lt;=13,"Low Stress",stdsurvey[[#This Row],[perceived_stress_scale]]&lt;=26,"Moderate Stress",stdsurvey[[#This Row],[perceived_stress_scale]]&lt;=40,"High Stress")</f>
        <v>Moderate Stress</v>
      </c>
      <c r="P303">
        <v>47.1</v>
      </c>
      <c r="Q303">
        <v>4</v>
      </c>
      <c r="R303" s="4" t="str" cm="1">
        <f t="array" ref="R303">_xlfn.IFS(stdsurvey[[#This Row],[class_attendance_percent]]&lt;60,"Less than 0%",stdsurvey[[#This Row],[class_attendance_percent]]&lt;70,"60-70 %",stdsurvey[[#This Row],[class_attendance_percent]]&lt;80, "70-80%",stdsurvey[[#This Row],[class_attendance_percent]]&lt;90,"80-90%",TRUE,"More than 90%")</f>
        <v>Less than 0%</v>
      </c>
      <c r="S303" t="s">
        <v>33</v>
      </c>
      <c r="T303">
        <v>4</v>
      </c>
      <c r="U303" t="s">
        <v>23</v>
      </c>
      <c r="V303">
        <v>2.04</v>
      </c>
      <c r="W303" s="4" t="str" cm="1">
        <f t="array" ref="W30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03" s="4" t="str" cm="1">
        <f t="array" ref="X303">_xlfn.IFS(stdsurvey[[#This Row],[daily_sleep_hours]]&lt;4,"&lt; 4 hrs",stdsurvey[[#This Row],[daily_sleep_hours]]&lt;=6,"4-6 hrs",stdsurvey[[#This Row],[daily_sleep_hours]]&lt;=8,"6-8 hrs",TRUE,"&gt; 8 hrs")</f>
        <v>6-8 hrs</v>
      </c>
      <c r="Y303" t="s">
        <v>20</v>
      </c>
    </row>
    <row r="304" spans="1:25" x14ac:dyDescent="0.3">
      <c r="A304" t="s">
        <v>338</v>
      </c>
      <c r="B304">
        <v>22</v>
      </c>
      <c r="C304" t="s">
        <v>27</v>
      </c>
      <c r="D304">
        <v>3</v>
      </c>
      <c r="E304" t="s">
        <v>21</v>
      </c>
      <c r="F304">
        <v>6.6</v>
      </c>
      <c r="G304">
        <v>6.7</v>
      </c>
      <c r="H304">
        <v>4</v>
      </c>
      <c r="I304">
        <v>10</v>
      </c>
      <c r="J304">
        <v>8</v>
      </c>
      <c r="K304" s="4" t="str" cm="1">
        <f t="array" ref="K304">_xlfn.IFS(stdsurvey[[#This Row],[phq9_score]]="","Answer Not Provided",stdsurvey[[#This Row],[phq9_score]]&lt;=4,"Minimal",stdsurvey[[#This Row],[phq9_score]]&lt;=9,"Mild",stdsurvey[[#This Row],[phq9_score]]&lt;=14,"Moderate",stdsurvey[[#This Row],[phq9_score]]&lt;=19,"Moderately Severe",stdsurvey[[#This Row],[phq9_score]]&lt;=27,"Severe")</f>
        <v>Moderate</v>
      </c>
      <c r="L304">
        <v>10</v>
      </c>
      <c r="M304" s="4" t="str" cm="1">
        <f t="array" ref="M304">_xlfn.IFS(stdsurvey[[#This Row],[gad7_score]]="","Answer Not Provided",stdsurvey[[#This Row],[gad7_score]]&lt;=4,"Minimal",stdsurvey[[#This Row],[gad7_score]]&lt;=9,"Mild",stdsurvey[[#This Row],[gad7_score]]&lt;=14,"Moderate",stdsurvey[[#This Row],[gad7_score]]&lt;=21,"Severe")</f>
        <v>Mild</v>
      </c>
      <c r="N304">
        <v>17.5</v>
      </c>
      <c r="O304" s="4" t="str" cm="1">
        <f t="array" ref="O304">_xlfn.IFS(stdsurvey[[#This Row],[perceived_stress_scale]]="","Answer Not Provided",stdsurvey[[#This Row],[perceived_stress_scale]]&lt;=13,"Low Stress",stdsurvey[[#This Row],[perceived_stress_scale]]&lt;=26,"Moderate Stress",stdsurvey[[#This Row],[perceived_stress_scale]]&lt;=40,"High Stress")</f>
        <v>Low Stress</v>
      </c>
      <c r="P304">
        <v>80.3</v>
      </c>
      <c r="Q304">
        <v>2</v>
      </c>
      <c r="R304" s="4" t="str" cm="1">
        <f t="array" ref="R304">_xlfn.IFS(stdsurvey[[#This Row],[class_attendance_percent]]&lt;60,"Less than 0%",stdsurvey[[#This Row],[class_attendance_percent]]&lt;70,"60-70 %",stdsurvey[[#This Row],[class_attendance_percent]]&lt;80, "70-80%",stdsurvey[[#This Row],[class_attendance_percent]]&lt;90,"80-90%",TRUE,"More than 90%")</f>
        <v>80-90%</v>
      </c>
      <c r="S304" t="s">
        <v>22</v>
      </c>
      <c r="T304">
        <v>4</v>
      </c>
      <c r="U304" t="s">
        <v>26</v>
      </c>
      <c r="V304">
        <v>2.97</v>
      </c>
      <c r="W304" s="4" t="str" cm="1">
        <f t="array" ref="W30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04" s="4" t="str" cm="1">
        <f t="array" ref="X304">_xlfn.IFS(stdsurvey[[#This Row],[daily_sleep_hours]]&lt;4,"&lt; 4 hrs",stdsurvey[[#This Row],[daily_sleep_hours]]&lt;=6,"4-6 hrs",stdsurvey[[#This Row],[daily_sleep_hours]]&lt;=8,"6-8 hrs",TRUE,"&gt; 8 hrs")</f>
        <v>6-8 hrs</v>
      </c>
      <c r="Y304" t="s">
        <v>27</v>
      </c>
    </row>
    <row r="305" spans="1:25" x14ac:dyDescent="0.3">
      <c r="A305" t="s">
        <v>339</v>
      </c>
      <c r="B305">
        <v>25</v>
      </c>
      <c r="C305" t="s">
        <v>39</v>
      </c>
      <c r="D305">
        <v>2</v>
      </c>
      <c r="E305" t="s">
        <v>49</v>
      </c>
      <c r="F305">
        <v>5.6</v>
      </c>
      <c r="G305">
        <v>4.5</v>
      </c>
      <c r="H305">
        <v>4</v>
      </c>
      <c r="I305">
        <v>20</v>
      </c>
      <c r="J305">
        <v>13</v>
      </c>
      <c r="K305" s="4" t="str" cm="1">
        <f t="array" ref="K305">_xlfn.IFS(stdsurvey[[#This Row],[phq9_score]]="","Answer Not Provided",stdsurvey[[#This Row],[phq9_score]]&lt;=4,"Minimal",stdsurvey[[#This Row],[phq9_score]]&lt;=9,"Mild",stdsurvey[[#This Row],[phq9_score]]&lt;=14,"Moderate",stdsurvey[[#This Row],[phq9_score]]&lt;=19,"Moderately Severe",stdsurvey[[#This Row],[phq9_score]]&lt;=27,"Severe")</f>
        <v>Severe</v>
      </c>
      <c r="L305">
        <v>23</v>
      </c>
      <c r="M305" s="4" t="str" cm="1">
        <f t="array" ref="M305">_xlfn.IFS(stdsurvey[[#This Row],[gad7_score]]="","Answer Not Provided",stdsurvey[[#This Row],[gad7_score]]&lt;=4,"Minimal",stdsurvey[[#This Row],[gad7_score]]&lt;=9,"Mild",stdsurvey[[#This Row],[gad7_score]]&lt;=14,"Moderate",stdsurvey[[#This Row],[gad7_score]]&lt;=21,"Severe")</f>
        <v>Moderate</v>
      </c>
      <c r="N305">
        <v>21.4</v>
      </c>
      <c r="O305" s="4" t="str" cm="1">
        <f t="array" ref="O305">_xlfn.IFS(stdsurvey[[#This Row],[perceived_stress_scale]]="","Answer Not Provided",stdsurvey[[#This Row],[perceived_stress_scale]]&lt;=13,"Low Stress",stdsurvey[[#This Row],[perceived_stress_scale]]&lt;=26,"Moderate Stress",stdsurvey[[#This Row],[perceived_stress_scale]]&lt;=40,"High Stress")</f>
        <v>Moderate Stress</v>
      </c>
      <c r="P305">
        <v>50.2</v>
      </c>
      <c r="Q305">
        <v>4</v>
      </c>
      <c r="R305" s="4" t="str" cm="1">
        <f t="array" ref="R305">_xlfn.IFS(stdsurvey[[#This Row],[class_attendance_percent]]&lt;60,"Less than 0%",stdsurvey[[#This Row],[class_attendance_percent]]&lt;70,"60-70 %",stdsurvey[[#This Row],[class_attendance_percent]]&lt;80, "70-80%",stdsurvey[[#This Row],[class_attendance_percent]]&lt;90,"80-90%",TRUE,"More than 90%")</f>
        <v>Less than 0%</v>
      </c>
      <c r="S305" t="s">
        <v>22</v>
      </c>
      <c r="T305">
        <v>5</v>
      </c>
      <c r="U305" t="s">
        <v>23</v>
      </c>
      <c r="V305">
        <v>2.89</v>
      </c>
      <c r="W305" s="4" t="str" cm="1">
        <f t="array" ref="W30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05" s="4" t="str" cm="1">
        <f t="array" ref="X305">_xlfn.IFS(stdsurvey[[#This Row],[daily_sleep_hours]]&lt;4,"&lt; 4 hrs",stdsurvey[[#This Row],[daily_sleep_hours]]&lt;=6,"4-6 hrs",stdsurvey[[#This Row],[daily_sleep_hours]]&lt;=8,"6-8 hrs",TRUE,"&gt; 8 hrs")</f>
        <v>4-6 hrs</v>
      </c>
      <c r="Y305" t="s">
        <v>27</v>
      </c>
    </row>
    <row r="306" spans="1:25" x14ac:dyDescent="0.3">
      <c r="A306" t="s">
        <v>340</v>
      </c>
      <c r="B306">
        <v>18</v>
      </c>
      <c r="C306" t="s">
        <v>20</v>
      </c>
      <c r="D306">
        <v>3</v>
      </c>
      <c r="E306" t="s">
        <v>21</v>
      </c>
      <c r="F306">
        <v>3.9</v>
      </c>
      <c r="G306">
        <v>1</v>
      </c>
      <c r="H306">
        <v>1</v>
      </c>
      <c r="I306">
        <v>3</v>
      </c>
      <c r="J306">
        <v>2</v>
      </c>
      <c r="K306" s="4" t="str" cm="1">
        <f t="array" ref="K306">_xlfn.IFS(stdsurvey[[#This Row],[phq9_score]]="","Answer Not Provided",stdsurvey[[#This Row],[phq9_score]]&lt;=4,"Minimal",stdsurvey[[#This Row],[phq9_score]]&lt;=9,"Mild",stdsurvey[[#This Row],[phq9_score]]&lt;=14,"Moderate",stdsurvey[[#This Row],[phq9_score]]&lt;=19,"Moderately Severe",stdsurvey[[#This Row],[phq9_score]]&lt;=27,"Severe")</f>
        <v>Minimal</v>
      </c>
      <c r="L306">
        <v>7</v>
      </c>
      <c r="M306" s="4" t="str" cm="1">
        <f t="array" ref="M306">_xlfn.IFS(stdsurvey[[#This Row],[gad7_score]]="","Answer Not Provided",stdsurvey[[#This Row],[gad7_score]]&lt;=4,"Minimal",stdsurvey[[#This Row],[gad7_score]]&lt;=9,"Mild",stdsurvey[[#This Row],[gad7_score]]&lt;=14,"Moderate",stdsurvey[[#This Row],[gad7_score]]&lt;=21,"Severe")</f>
        <v>Minimal</v>
      </c>
      <c r="N306">
        <v>31.6</v>
      </c>
      <c r="O306" s="4" t="str" cm="1">
        <f t="array" ref="O306">_xlfn.IFS(stdsurvey[[#This Row],[perceived_stress_scale]]="","Answer Not Provided",stdsurvey[[#This Row],[perceived_stress_scale]]&lt;=13,"Low Stress",stdsurvey[[#This Row],[perceived_stress_scale]]&lt;=26,"Moderate Stress",stdsurvey[[#This Row],[perceived_stress_scale]]&lt;=40,"High Stress")</f>
        <v>Low Stress</v>
      </c>
      <c r="P306">
        <v>87.1</v>
      </c>
      <c r="Q306">
        <v>4</v>
      </c>
      <c r="R306" s="4" t="str" cm="1">
        <f t="array" ref="R306">_xlfn.IFS(stdsurvey[[#This Row],[class_attendance_percent]]&lt;60,"Less than 0%",stdsurvey[[#This Row],[class_attendance_percent]]&lt;70,"60-70 %",stdsurvey[[#This Row],[class_attendance_percent]]&lt;80, "70-80%",stdsurvey[[#This Row],[class_attendance_percent]]&lt;90,"80-90%",TRUE,"More than 90%")</f>
        <v>80-90%</v>
      </c>
      <c r="S306" t="s">
        <v>22</v>
      </c>
      <c r="T306">
        <v>3</v>
      </c>
      <c r="U306" t="s">
        <v>26</v>
      </c>
      <c r="V306">
        <v>2.83</v>
      </c>
      <c r="W306" s="4" t="str" cm="1">
        <f t="array" ref="W30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06" s="4" t="str" cm="1">
        <f t="array" ref="X306">_xlfn.IFS(stdsurvey[[#This Row],[daily_sleep_hours]]&lt;4,"&lt; 4 hrs",stdsurvey[[#This Row],[daily_sleep_hours]]&lt;=6,"4-6 hrs",stdsurvey[[#This Row],[daily_sleep_hours]]&lt;=8,"6-8 hrs",TRUE,"&gt; 8 hrs")</f>
        <v>&lt; 4 hrs</v>
      </c>
      <c r="Y306" t="s">
        <v>20</v>
      </c>
    </row>
    <row r="307" spans="1:25" x14ac:dyDescent="0.3">
      <c r="A307" t="s">
        <v>341</v>
      </c>
      <c r="B307">
        <v>23</v>
      </c>
      <c r="C307" t="s">
        <v>20</v>
      </c>
      <c r="D307">
        <v>1</v>
      </c>
      <c r="E307" t="s">
        <v>49</v>
      </c>
      <c r="F307">
        <v>6</v>
      </c>
      <c r="G307">
        <v>4.9000000000000004</v>
      </c>
      <c r="H307">
        <v>3</v>
      </c>
      <c r="I307">
        <v>3</v>
      </c>
      <c r="J307">
        <v>6</v>
      </c>
      <c r="K307" s="4" t="str" cm="1">
        <f t="array" ref="K307">_xlfn.IFS(stdsurvey[[#This Row],[phq9_score]]="","Answer Not Provided",stdsurvey[[#This Row],[phq9_score]]&lt;=4,"Minimal",stdsurvey[[#This Row],[phq9_score]]&lt;=9,"Mild",stdsurvey[[#This Row],[phq9_score]]&lt;=14,"Moderate",stdsurvey[[#This Row],[phq9_score]]&lt;=19,"Moderately Severe",stdsurvey[[#This Row],[phq9_score]]&lt;=27,"Severe")</f>
        <v>Minimal</v>
      </c>
      <c r="L307">
        <v>5</v>
      </c>
      <c r="M307" s="4" t="str" cm="1">
        <f t="array" ref="M307">_xlfn.IFS(stdsurvey[[#This Row],[gad7_score]]="","Answer Not Provided",stdsurvey[[#This Row],[gad7_score]]&lt;=4,"Minimal",stdsurvey[[#This Row],[gad7_score]]&lt;=9,"Mild",stdsurvey[[#This Row],[gad7_score]]&lt;=14,"Moderate",stdsurvey[[#This Row],[gad7_score]]&lt;=21,"Severe")</f>
        <v>Mild</v>
      </c>
      <c r="N307">
        <v>16.100000000000001</v>
      </c>
      <c r="O307" s="4" t="str" cm="1">
        <f t="array" ref="O307">_xlfn.IFS(stdsurvey[[#This Row],[perceived_stress_scale]]="","Answer Not Provided",stdsurvey[[#This Row],[perceived_stress_scale]]&lt;=13,"Low Stress",stdsurvey[[#This Row],[perceived_stress_scale]]&lt;=26,"Moderate Stress",stdsurvey[[#This Row],[perceived_stress_scale]]&lt;=40,"High Stress")</f>
        <v>Low Stress</v>
      </c>
      <c r="P307">
        <v>100</v>
      </c>
      <c r="Q307">
        <v>4</v>
      </c>
      <c r="R307" s="4" t="str" cm="1">
        <f t="array" ref="R307">_xlfn.IFS(stdsurvey[[#This Row],[class_attendance_percent]]&lt;60,"Less than 0%",stdsurvey[[#This Row],[class_attendance_percent]]&lt;70,"60-70 %",stdsurvey[[#This Row],[class_attendance_percent]]&lt;80, "70-80%",stdsurvey[[#This Row],[class_attendance_percent]]&lt;90,"80-90%",TRUE,"More than 90%")</f>
        <v>More than 90%</v>
      </c>
      <c r="S307" t="s">
        <v>22</v>
      </c>
      <c r="T307">
        <v>2</v>
      </c>
      <c r="U307" t="s">
        <v>51</v>
      </c>
      <c r="V307">
        <v>3.22</v>
      </c>
      <c r="W307" s="4" t="str" cm="1">
        <f t="array" ref="W30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07" s="4" t="str" cm="1">
        <f t="array" ref="X307">_xlfn.IFS(stdsurvey[[#This Row],[daily_sleep_hours]]&lt;4,"&lt; 4 hrs",stdsurvey[[#This Row],[daily_sleep_hours]]&lt;=6,"4-6 hrs",stdsurvey[[#This Row],[daily_sleep_hours]]&lt;=8,"6-8 hrs",TRUE,"&gt; 8 hrs")</f>
        <v>4-6 hrs</v>
      </c>
      <c r="Y307" t="s">
        <v>20</v>
      </c>
    </row>
    <row r="308" spans="1:25" x14ac:dyDescent="0.3">
      <c r="A308" t="s">
        <v>342</v>
      </c>
      <c r="B308">
        <v>21</v>
      </c>
      <c r="C308" t="s">
        <v>27</v>
      </c>
      <c r="D308">
        <v>2</v>
      </c>
      <c r="E308" t="s">
        <v>21</v>
      </c>
      <c r="F308">
        <v>5.8</v>
      </c>
      <c r="G308">
        <v>5.6</v>
      </c>
      <c r="H308">
        <v>4</v>
      </c>
      <c r="K308" s="4" t="str" cm="1">
        <f t="array" ref="K308">_xlfn.IFS(stdsurvey[[#This Row],[phq9_score]]="","Answer Not Provided",stdsurvey[[#This Row],[phq9_score]]&lt;=4,"Minimal",stdsurvey[[#This Row],[phq9_score]]&lt;=9,"Mild",stdsurvey[[#This Row],[phq9_score]]&lt;=14,"Moderate",stdsurvey[[#This Row],[phq9_score]]&lt;=19,"Moderately Severe",stdsurvey[[#This Row],[phq9_score]]&lt;=27,"Severe")</f>
        <v>Answer Not Provided</v>
      </c>
      <c r="L308">
        <v>5</v>
      </c>
      <c r="M308" s="4" t="str" cm="1">
        <f t="array" ref="M308">_xlfn.IFS(stdsurvey[[#This Row],[gad7_score]]="","Answer Not Provided",stdsurvey[[#This Row],[gad7_score]]&lt;=4,"Minimal",stdsurvey[[#This Row],[gad7_score]]&lt;=9,"Mild",stdsurvey[[#This Row],[gad7_score]]&lt;=14,"Moderate",stdsurvey[[#This Row],[gad7_score]]&lt;=21,"Severe")</f>
        <v>Answer Not Provided</v>
      </c>
      <c r="N308">
        <v>14.9</v>
      </c>
      <c r="O308" s="4" t="str" cm="1">
        <f t="array" ref="O308">_xlfn.IFS(stdsurvey[[#This Row],[perceived_stress_scale]]="","Answer Not Provided",stdsurvey[[#This Row],[perceived_stress_scale]]&lt;=13,"Low Stress",stdsurvey[[#This Row],[perceived_stress_scale]]&lt;=26,"Moderate Stress",stdsurvey[[#This Row],[perceived_stress_scale]]&lt;=40,"High Stress")</f>
        <v>Low Stress</v>
      </c>
      <c r="P308">
        <v>100</v>
      </c>
      <c r="Q308">
        <v>1</v>
      </c>
      <c r="R308" s="4" t="str" cm="1">
        <f t="array" ref="R308">_xlfn.IFS(stdsurvey[[#This Row],[class_attendance_percent]]&lt;60,"Less than 0%",stdsurvey[[#This Row],[class_attendance_percent]]&lt;70,"60-70 %",stdsurvey[[#This Row],[class_attendance_percent]]&lt;80, "70-80%",stdsurvey[[#This Row],[class_attendance_percent]]&lt;90,"80-90%",TRUE,"More than 90%")</f>
        <v>More than 90%</v>
      </c>
      <c r="S308" t="s">
        <v>22</v>
      </c>
      <c r="T308">
        <v>3</v>
      </c>
      <c r="U308" t="s">
        <v>23</v>
      </c>
      <c r="V308">
        <v>3.62</v>
      </c>
      <c r="W308" s="4" t="str" cm="1">
        <f t="array" ref="W30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08" s="4" t="str" cm="1">
        <f t="array" ref="X308">_xlfn.IFS(stdsurvey[[#This Row],[daily_sleep_hours]]&lt;4,"&lt; 4 hrs",stdsurvey[[#This Row],[daily_sleep_hours]]&lt;=6,"4-6 hrs",stdsurvey[[#This Row],[daily_sleep_hours]]&lt;=8,"6-8 hrs",TRUE,"&gt; 8 hrs")</f>
        <v>4-6 hrs</v>
      </c>
      <c r="Y308" t="s">
        <v>27</v>
      </c>
    </row>
    <row r="309" spans="1:25" x14ac:dyDescent="0.3">
      <c r="A309" t="s">
        <v>343</v>
      </c>
      <c r="B309">
        <v>21</v>
      </c>
      <c r="C309" t="s">
        <v>45</v>
      </c>
      <c r="D309">
        <v>3</v>
      </c>
      <c r="E309" t="s">
        <v>21</v>
      </c>
      <c r="F309">
        <v>8</v>
      </c>
      <c r="G309">
        <v>1.3</v>
      </c>
      <c r="H309">
        <v>2</v>
      </c>
      <c r="I309">
        <v>8</v>
      </c>
      <c r="J309">
        <v>5</v>
      </c>
      <c r="K309" s="4" t="str" cm="1">
        <f t="array" ref="K309">_xlfn.IFS(stdsurvey[[#This Row],[phq9_score]]="","Answer Not Provided",stdsurvey[[#This Row],[phq9_score]]&lt;=4,"Minimal",stdsurvey[[#This Row],[phq9_score]]&lt;=9,"Mild",stdsurvey[[#This Row],[phq9_score]]&lt;=14,"Moderate",stdsurvey[[#This Row],[phq9_score]]&lt;=19,"Moderately Severe",stdsurvey[[#This Row],[phq9_score]]&lt;=27,"Severe")</f>
        <v>Mild</v>
      </c>
      <c r="L309">
        <v>11</v>
      </c>
      <c r="M309" s="4" t="str" cm="1">
        <f t="array" ref="M309">_xlfn.IFS(stdsurvey[[#This Row],[gad7_score]]="","Answer Not Provided",stdsurvey[[#This Row],[gad7_score]]&lt;=4,"Minimal",stdsurvey[[#This Row],[gad7_score]]&lt;=9,"Mild",stdsurvey[[#This Row],[gad7_score]]&lt;=14,"Moderate",stdsurvey[[#This Row],[gad7_score]]&lt;=21,"Severe")</f>
        <v>Mild</v>
      </c>
      <c r="N309">
        <v>6.7</v>
      </c>
      <c r="O309" s="4" t="str" cm="1">
        <f t="array" ref="O309">_xlfn.IFS(stdsurvey[[#This Row],[perceived_stress_scale]]="","Answer Not Provided",stdsurvey[[#This Row],[perceived_stress_scale]]&lt;=13,"Low Stress",stdsurvey[[#This Row],[perceived_stress_scale]]&lt;=26,"Moderate Stress",stdsurvey[[#This Row],[perceived_stress_scale]]&lt;=40,"High Stress")</f>
        <v>Low Stress</v>
      </c>
      <c r="P309">
        <v>56</v>
      </c>
      <c r="Q309">
        <v>2</v>
      </c>
      <c r="R309" s="4" t="str" cm="1">
        <f t="array" ref="R309">_xlfn.IFS(stdsurvey[[#This Row],[class_attendance_percent]]&lt;60,"Less than 0%",stdsurvey[[#This Row],[class_attendance_percent]]&lt;70,"60-70 %",stdsurvey[[#This Row],[class_attendance_percent]]&lt;80, "70-80%",stdsurvey[[#This Row],[class_attendance_percent]]&lt;90,"80-90%",TRUE,"More than 90%")</f>
        <v>Less than 0%</v>
      </c>
      <c r="S309" t="s">
        <v>22</v>
      </c>
      <c r="T309">
        <v>3</v>
      </c>
      <c r="U309" t="s">
        <v>26</v>
      </c>
      <c r="V309">
        <v>2.77</v>
      </c>
      <c r="W309" s="4" t="str" cm="1">
        <f t="array" ref="W30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09" s="4" t="str" cm="1">
        <f t="array" ref="X309">_xlfn.IFS(stdsurvey[[#This Row],[daily_sleep_hours]]&lt;4,"&lt; 4 hrs",stdsurvey[[#This Row],[daily_sleep_hours]]&lt;=6,"4-6 hrs",stdsurvey[[#This Row],[daily_sleep_hours]]&lt;=8,"6-8 hrs",TRUE,"&gt; 8 hrs")</f>
        <v>6-8 hrs</v>
      </c>
      <c r="Y309" t="s">
        <v>20</v>
      </c>
    </row>
    <row r="310" spans="1:25" x14ac:dyDescent="0.3">
      <c r="A310" t="s">
        <v>344</v>
      </c>
      <c r="B310">
        <v>19</v>
      </c>
      <c r="C310" t="s">
        <v>20</v>
      </c>
      <c r="D310">
        <v>1</v>
      </c>
      <c r="E310" t="s">
        <v>30</v>
      </c>
      <c r="F310">
        <v>7.8</v>
      </c>
      <c r="G310">
        <v>6.2</v>
      </c>
      <c r="H310">
        <v>3</v>
      </c>
      <c r="I310">
        <v>2</v>
      </c>
      <c r="J310">
        <v>3</v>
      </c>
      <c r="K310" s="4" t="str" cm="1">
        <f t="array" ref="K310">_xlfn.IFS(stdsurvey[[#This Row],[phq9_score]]="","Answer Not Provided",stdsurvey[[#This Row],[phq9_score]]&lt;=4,"Minimal",stdsurvey[[#This Row],[phq9_score]]&lt;=9,"Mild",stdsurvey[[#This Row],[phq9_score]]&lt;=14,"Moderate",stdsurvey[[#This Row],[phq9_score]]&lt;=19,"Moderately Severe",stdsurvey[[#This Row],[phq9_score]]&lt;=27,"Severe")</f>
        <v>Minimal</v>
      </c>
      <c r="L310">
        <v>6</v>
      </c>
      <c r="M310" s="4" t="str" cm="1">
        <f t="array" ref="M310">_xlfn.IFS(stdsurvey[[#This Row],[gad7_score]]="","Answer Not Provided",stdsurvey[[#This Row],[gad7_score]]&lt;=4,"Minimal",stdsurvey[[#This Row],[gad7_score]]&lt;=9,"Mild",stdsurvey[[#This Row],[gad7_score]]&lt;=14,"Moderate",stdsurvey[[#This Row],[gad7_score]]&lt;=21,"Severe")</f>
        <v>Minimal</v>
      </c>
      <c r="N310">
        <v>32.700000000000003</v>
      </c>
      <c r="O310" s="4" t="str" cm="1">
        <f t="array" ref="O310">_xlfn.IFS(stdsurvey[[#This Row],[perceived_stress_scale]]="","Answer Not Provided",stdsurvey[[#This Row],[perceived_stress_scale]]&lt;=13,"Low Stress",stdsurvey[[#This Row],[perceived_stress_scale]]&lt;=26,"Moderate Stress",stdsurvey[[#This Row],[perceived_stress_scale]]&lt;=40,"High Stress")</f>
        <v>Low Stress</v>
      </c>
      <c r="P310">
        <v>89.5</v>
      </c>
      <c r="Q310">
        <v>3</v>
      </c>
      <c r="R310" s="4" t="str" cm="1">
        <f t="array" ref="R310">_xlfn.IFS(stdsurvey[[#This Row],[class_attendance_percent]]&lt;60,"Less than 0%",stdsurvey[[#This Row],[class_attendance_percent]]&lt;70,"60-70 %",stdsurvey[[#This Row],[class_attendance_percent]]&lt;80, "70-80%",stdsurvey[[#This Row],[class_attendance_percent]]&lt;90,"80-90%",TRUE,"More than 90%")</f>
        <v>80-90%</v>
      </c>
      <c r="S310" t="s">
        <v>22</v>
      </c>
      <c r="T310">
        <v>3</v>
      </c>
      <c r="U310" t="s">
        <v>23</v>
      </c>
      <c r="W310" s="4" t="str" cm="1">
        <f t="array" ref="W31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10" s="4" t="str" cm="1">
        <f t="array" ref="X310">_xlfn.IFS(stdsurvey[[#This Row],[daily_sleep_hours]]&lt;4,"&lt; 4 hrs",stdsurvey[[#This Row],[daily_sleep_hours]]&lt;=6,"4-6 hrs",stdsurvey[[#This Row],[daily_sleep_hours]]&lt;=8,"6-8 hrs",TRUE,"&gt; 8 hrs")</f>
        <v>6-8 hrs</v>
      </c>
      <c r="Y310" t="s">
        <v>20</v>
      </c>
    </row>
    <row r="311" spans="1:25" x14ac:dyDescent="0.3">
      <c r="A311" t="s">
        <v>345</v>
      </c>
      <c r="B311">
        <v>21</v>
      </c>
      <c r="C311" t="s">
        <v>61</v>
      </c>
      <c r="D311">
        <v>1</v>
      </c>
      <c r="E311" t="s">
        <v>30</v>
      </c>
      <c r="F311">
        <v>8.3000000000000007</v>
      </c>
      <c r="G311">
        <v>1.4</v>
      </c>
      <c r="H311">
        <v>3</v>
      </c>
      <c r="I311">
        <v>16</v>
      </c>
      <c r="J311">
        <v>13</v>
      </c>
      <c r="K311" s="4" t="str" cm="1">
        <f t="array" ref="K311">_xlfn.IFS(stdsurvey[[#This Row],[phq9_score]]="","Answer Not Provided",stdsurvey[[#This Row],[phq9_score]]&lt;=4,"Minimal",stdsurvey[[#This Row],[phq9_score]]&lt;=9,"Mild",stdsurvey[[#This Row],[phq9_score]]&lt;=14,"Moderate",stdsurvey[[#This Row],[phq9_score]]&lt;=19,"Moderately Severe",stdsurvey[[#This Row],[phq9_score]]&lt;=27,"Severe")</f>
        <v>Moderately Severe</v>
      </c>
      <c r="L311">
        <v>22</v>
      </c>
      <c r="M311" s="4" t="str" cm="1">
        <f t="array" ref="M311">_xlfn.IFS(stdsurvey[[#This Row],[gad7_score]]="","Answer Not Provided",stdsurvey[[#This Row],[gad7_score]]&lt;=4,"Minimal",stdsurvey[[#This Row],[gad7_score]]&lt;=9,"Mild",stdsurvey[[#This Row],[gad7_score]]&lt;=14,"Moderate",stdsurvey[[#This Row],[gad7_score]]&lt;=21,"Severe")</f>
        <v>Moderate</v>
      </c>
      <c r="N311">
        <v>20.9</v>
      </c>
      <c r="O311" s="4" t="str" cm="1">
        <f t="array" ref="O311">_xlfn.IFS(stdsurvey[[#This Row],[perceived_stress_scale]]="","Answer Not Provided",stdsurvey[[#This Row],[perceived_stress_scale]]&lt;=13,"Low Stress",stdsurvey[[#This Row],[perceived_stress_scale]]&lt;=26,"Moderate Stress",stdsurvey[[#This Row],[perceived_stress_scale]]&lt;=40,"High Stress")</f>
        <v>Moderate Stress</v>
      </c>
      <c r="P311">
        <v>61.3</v>
      </c>
      <c r="Q311">
        <v>5</v>
      </c>
      <c r="R311" s="4" t="str" cm="1">
        <f t="array" ref="R311">_xlfn.IFS(stdsurvey[[#This Row],[class_attendance_percent]]&lt;60,"Less than 0%",stdsurvey[[#This Row],[class_attendance_percent]]&lt;70,"60-70 %",stdsurvey[[#This Row],[class_attendance_percent]]&lt;80, "70-80%",stdsurvey[[#This Row],[class_attendance_percent]]&lt;90,"80-90%",TRUE,"More than 90%")</f>
        <v>60-70 %</v>
      </c>
      <c r="S311" t="s">
        <v>22</v>
      </c>
      <c r="T311">
        <v>4</v>
      </c>
      <c r="U311" t="s">
        <v>26</v>
      </c>
      <c r="W311" s="4" t="str" cm="1">
        <f t="array" ref="W31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1" s="4" t="str" cm="1">
        <f t="array" ref="X311">_xlfn.IFS(stdsurvey[[#This Row],[daily_sleep_hours]]&lt;4,"&lt; 4 hrs",stdsurvey[[#This Row],[daily_sleep_hours]]&lt;=6,"4-6 hrs",stdsurvey[[#This Row],[daily_sleep_hours]]&lt;=8,"6-8 hrs",TRUE,"&gt; 8 hrs")</f>
        <v>&gt; 8 hrs</v>
      </c>
      <c r="Y311" t="s">
        <v>61</v>
      </c>
    </row>
    <row r="312" spans="1:25" x14ac:dyDescent="0.3">
      <c r="A312" t="s">
        <v>346</v>
      </c>
      <c r="B312">
        <v>24</v>
      </c>
      <c r="C312" t="s">
        <v>27</v>
      </c>
      <c r="D312">
        <v>1</v>
      </c>
      <c r="E312" t="s">
        <v>47</v>
      </c>
      <c r="F312">
        <v>5.4</v>
      </c>
      <c r="G312">
        <v>2.5</v>
      </c>
      <c r="H312">
        <v>3</v>
      </c>
      <c r="I312">
        <v>3</v>
      </c>
      <c r="J312">
        <v>0</v>
      </c>
      <c r="K312" s="4" t="str" cm="1">
        <f t="array" ref="K312">_xlfn.IFS(stdsurvey[[#This Row],[phq9_score]]="","Answer Not Provided",stdsurvey[[#This Row],[phq9_score]]&lt;=4,"Minimal",stdsurvey[[#This Row],[phq9_score]]&lt;=9,"Mild",stdsurvey[[#This Row],[phq9_score]]&lt;=14,"Moderate",stdsurvey[[#This Row],[phq9_score]]&lt;=19,"Moderately Severe",stdsurvey[[#This Row],[phq9_score]]&lt;=27,"Severe")</f>
        <v>Minimal</v>
      </c>
      <c r="L312">
        <v>5</v>
      </c>
      <c r="M312" s="4" t="str" cm="1">
        <f t="array" ref="M312">_xlfn.IFS(stdsurvey[[#This Row],[gad7_score]]="","Answer Not Provided",stdsurvey[[#This Row],[gad7_score]]&lt;=4,"Minimal",stdsurvey[[#This Row],[gad7_score]]&lt;=9,"Mild",stdsurvey[[#This Row],[gad7_score]]&lt;=14,"Moderate",stdsurvey[[#This Row],[gad7_score]]&lt;=21,"Severe")</f>
        <v>Minimal</v>
      </c>
      <c r="N312">
        <v>24</v>
      </c>
      <c r="O312" s="4" t="str" cm="1">
        <f t="array" ref="O312">_xlfn.IFS(stdsurvey[[#This Row],[perceived_stress_scale]]="","Answer Not Provided",stdsurvey[[#This Row],[perceived_stress_scale]]&lt;=13,"Low Stress",stdsurvey[[#This Row],[perceived_stress_scale]]&lt;=26,"Moderate Stress",stdsurvey[[#This Row],[perceived_stress_scale]]&lt;=40,"High Stress")</f>
        <v>Low Stress</v>
      </c>
      <c r="P312">
        <v>65.7</v>
      </c>
      <c r="Q312">
        <v>5</v>
      </c>
      <c r="R312" s="4" t="str" cm="1">
        <f t="array" ref="R312">_xlfn.IFS(stdsurvey[[#This Row],[class_attendance_percent]]&lt;60,"Less than 0%",stdsurvey[[#This Row],[class_attendance_percent]]&lt;70,"60-70 %",stdsurvey[[#This Row],[class_attendance_percent]]&lt;80, "70-80%",stdsurvey[[#This Row],[class_attendance_percent]]&lt;90,"80-90%",TRUE,"More than 90%")</f>
        <v>60-70 %</v>
      </c>
      <c r="S312" t="s">
        <v>22</v>
      </c>
      <c r="T312">
        <v>3</v>
      </c>
      <c r="U312" t="s">
        <v>23</v>
      </c>
      <c r="V312">
        <v>3.05</v>
      </c>
      <c r="W312" s="4" t="str" cm="1">
        <f t="array" ref="W31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2" s="4" t="str" cm="1">
        <f t="array" ref="X312">_xlfn.IFS(stdsurvey[[#This Row],[daily_sleep_hours]]&lt;4,"&lt; 4 hrs",stdsurvey[[#This Row],[daily_sleep_hours]]&lt;=6,"4-6 hrs",stdsurvey[[#This Row],[daily_sleep_hours]]&lt;=8,"6-8 hrs",TRUE,"&gt; 8 hrs")</f>
        <v>4-6 hrs</v>
      </c>
      <c r="Y312" t="s">
        <v>27</v>
      </c>
    </row>
    <row r="313" spans="1:25" x14ac:dyDescent="0.3">
      <c r="A313" t="s">
        <v>347</v>
      </c>
      <c r="B313">
        <v>23</v>
      </c>
      <c r="C313" t="s">
        <v>102</v>
      </c>
      <c r="D313">
        <v>2</v>
      </c>
      <c r="E313" t="s">
        <v>21</v>
      </c>
      <c r="F313">
        <v>6.3</v>
      </c>
      <c r="G313">
        <v>1.4</v>
      </c>
      <c r="H313">
        <v>0</v>
      </c>
      <c r="I313">
        <v>11</v>
      </c>
      <c r="J313">
        <v>9</v>
      </c>
      <c r="K313" s="4" t="str" cm="1">
        <f t="array" ref="K313">_xlfn.IFS(stdsurvey[[#This Row],[phq9_score]]="","Answer Not Provided",stdsurvey[[#This Row],[phq9_score]]&lt;=4,"Minimal",stdsurvey[[#This Row],[phq9_score]]&lt;=9,"Mild",stdsurvey[[#This Row],[phq9_score]]&lt;=14,"Moderate",stdsurvey[[#This Row],[phq9_score]]&lt;=19,"Moderately Severe",stdsurvey[[#This Row],[phq9_score]]&lt;=27,"Severe")</f>
        <v>Moderate</v>
      </c>
      <c r="L313">
        <v>21</v>
      </c>
      <c r="M313" s="4" t="str" cm="1">
        <f t="array" ref="M313">_xlfn.IFS(stdsurvey[[#This Row],[gad7_score]]="","Answer Not Provided",stdsurvey[[#This Row],[gad7_score]]&lt;=4,"Minimal",stdsurvey[[#This Row],[gad7_score]]&lt;=9,"Mild",stdsurvey[[#This Row],[gad7_score]]&lt;=14,"Moderate",stdsurvey[[#This Row],[gad7_score]]&lt;=21,"Severe")</f>
        <v>Mild</v>
      </c>
      <c r="N313">
        <v>36.9</v>
      </c>
      <c r="O313" s="4" t="str" cm="1">
        <f t="array" ref="O313">_xlfn.IFS(stdsurvey[[#This Row],[perceived_stress_scale]]="","Answer Not Provided",stdsurvey[[#This Row],[perceived_stress_scale]]&lt;=13,"Low Stress",stdsurvey[[#This Row],[perceived_stress_scale]]&lt;=26,"Moderate Stress",stdsurvey[[#This Row],[perceived_stress_scale]]&lt;=40,"High Stress")</f>
        <v>Moderate Stress</v>
      </c>
      <c r="P313">
        <v>78</v>
      </c>
      <c r="Q313">
        <v>4</v>
      </c>
      <c r="R313" s="4" t="str" cm="1">
        <f t="array" ref="R313">_xlfn.IFS(stdsurvey[[#This Row],[class_attendance_percent]]&lt;60,"Less than 0%",stdsurvey[[#This Row],[class_attendance_percent]]&lt;70,"60-70 %",stdsurvey[[#This Row],[class_attendance_percent]]&lt;80, "70-80%",stdsurvey[[#This Row],[class_attendance_percent]]&lt;90,"80-90%",TRUE,"More than 90%")</f>
        <v>70-80%</v>
      </c>
      <c r="S313" t="s">
        <v>22</v>
      </c>
      <c r="T313">
        <v>1</v>
      </c>
      <c r="U313" t="s">
        <v>26</v>
      </c>
      <c r="V313">
        <v>3.64</v>
      </c>
      <c r="W313" s="4" t="str" cm="1">
        <f t="array" ref="W31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3" s="4" t="str" cm="1">
        <f t="array" ref="X313">_xlfn.IFS(stdsurvey[[#This Row],[daily_sleep_hours]]&lt;4,"&lt; 4 hrs",stdsurvey[[#This Row],[daily_sleep_hours]]&lt;=6,"4-6 hrs",stdsurvey[[#This Row],[daily_sleep_hours]]&lt;=8,"6-8 hrs",TRUE,"&gt; 8 hrs")</f>
        <v>6-8 hrs</v>
      </c>
      <c r="Y313" t="s">
        <v>20</v>
      </c>
    </row>
    <row r="314" spans="1:25" x14ac:dyDescent="0.3">
      <c r="A314" t="s">
        <v>348</v>
      </c>
      <c r="B314">
        <v>25</v>
      </c>
      <c r="C314" t="s">
        <v>27</v>
      </c>
      <c r="D314">
        <v>1</v>
      </c>
      <c r="E314" t="s">
        <v>30</v>
      </c>
      <c r="F314">
        <v>7.2</v>
      </c>
      <c r="G314">
        <v>2.2999999999999998</v>
      </c>
      <c r="H314">
        <v>3</v>
      </c>
      <c r="I314">
        <v>3</v>
      </c>
      <c r="J314">
        <v>6</v>
      </c>
      <c r="K314" s="4" t="str" cm="1">
        <f t="array" ref="K314">_xlfn.IFS(stdsurvey[[#This Row],[phq9_score]]="","Answer Not Provided",stdsurvey[[#This Row],[phq9_score]]&lt;=4,"Minimal",stdsurvey[[#This Row],[phq9_score]]&lt;=9,"Mild",stdsurvey[[#This Row],[phq9_score]]&lt;=14,"Moderate",stdsurvey[[#This Row],[phq9_score]]&lt;=19,"Moderately Severe",stdsurvey[[#This Row],[phq9_score]]&lt;=27,"Severe")</f>
        <v>Minimal</v>
      </c>
      <c r="L314">
        <v>11</v>
      </c>
      <c r="M314" s="4" t="str" cm="1">
        <f t="array" ref="M314">_xlfn.IFS(stdsurvey[[#This Row],[gad7_score]]="","Answer Not Provided",stdsurvey[[#This Row],[gad7_score]]&lt;=4,"Minimal",stdsurvey[[#This Row],[gad7_score]]&lt;=9,"Mild",stdsurvey[[#This Row],[gad7_score]]&lt;=14,"Moderate",stdsurvey[[#This Row],[gad7_score]]&lt;=21,"Severe")</f>
        <v>Mild</v>
      </c>
      <c r="N314">
        <v>25.4</v>
      </c>
      <c r="O314" s="4" t="str" cm="1">
        <f t="array" ref="O314">_xlfn.IFS(stdsurvey[[#This Row],[perceived_stress_scale]]="","Answer Not Provided",stdsurvey[[#This Row],[perceived_stress_scale]]&lt;=13,"Low Stress",stdsurvey[[#This Row],[perceived_stress_scale]]&lt;=26,"Moderate Stress",stdsurvey[[#This Row],[perceived_stress_scale]]&lt;=40,"High Stress")</f>
        <v>Low Stress</v>
      </c>
      <c r="P314">
        <v>100</v>
      </c>
      <c r="Q314">
        <v>2</v>
      </c>
      <c r="R314" s="4" t="str" cm="1">
        <f t="array" ref="R314">_xlfn.IFS(stdsurvey[[#This Row],[class_attendance_percent]]&lt;60,"Less than 0%",stdsurvey[[#This Row],[class_attendance_percent]]&lt;70,"60-70 %",stdsurvey[[#This Row],[class_attendance_percent]]&lt;80, "70-80%",stdsurvey[[#This Row],[class_attendance_percent]]&lt;90,"80-90%",TRUE,"More than 90%")</f>
        <v>More than 90%</v>
      </c>
      <c r="S314" t="s">
        <v>22</v>
      </c>
      <c r="T314">
        <v>3</v>
      </c>
      <c r="U314" t="s">
        <v>51</v>
      </c>
      <c r="V314">
        <v>3.28</v>
      </c>
      <c r="W314" s="4" t="str" cm="1">
        <f t="array" ref="W31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4" s="4" t="str" cm="1">
        <f t="array" ref="X314">_xlfn.IFS(stdsurvey[[#This Row],[daily_sleep_hours]]&lt;4,"&lt; 4 hrs",stdsurvey[[#This Row],[daily_sleep_hours]]&lt;=6,"4-6 hrs",stdsurvey[[#This Row],[daily_sleep_hours]]&lt;=8,"6-8 hrs",TRUE,"&gt; 8 hrs")</f>
        <v>6-8 hrs</v>
      </c>
      <c r="Y314" t="s">
        <v>27</v>
      </c>
    </row>
    <row r="315" spans="1:25" x14ac:dyDescent="0.3">
      <c r="A315" t="s">
        <v>349</v>
      </c>
      <c r="B315">
        <v>24</v>
      </c>
      <c r="C315" t="s">
        <v>27</v>
      </c>
      <c r="D315">
        <v>5</v>
      </c>
      <c r="E315" t="s">
        <v>49</v>
      </c>
      <c r="F315">
        <v>9.5</v>
      </c>
      <c r="G315">
        <v>1.7</v>
      </c>
      <c r="H315">
        <v>5</v>
      </c>
      <c r="I315">
        <v>2</v>
      </c>
      <c r="J315">
        <v>4</v>
      </c>
      <c r="K315" s="4" t="str" cm="1">
        <f t="array" ref="K315">_xlfn.IFS(stdsurvey[[#This Row],[phq9_score]]="","Answer Not Provided",stdsurvey[[#This Row],[phq9_score]]&lt;=4,"Minimal",stdsurvey[[#This Row],[phq9_score]]&lt;=9,"Mild",stdsurvey[[#This Row],[phq9_score]]&lt;=14,"Moderate",stdsurvey[[#This Row],[phq9_score]]&lt;=19,"Moderately Severe",stdsurvey[[#This Row],[phq9_score]]&lt;=27,"Severe")</f>
        <v>Minimal</v>
      </c>
      <c r="L315">
        <v>6</v>
      </c>
      <c r="M315" s="4" t="str" cm="1">
        <f t="array" ref="M315">_xlfn.IFS(stdsurvey[[#This Row],[gad7_score]]="","Answer Not Provided",stdsurvey[[#This Row],[gad7_score]]&lt;=4,"Minimal",stdsurvey[[#This Row],[gad7_score]]&lt;=9,"Mild",stdsurvey[[#This Row],[gad7_score]]&lt;=14,"Moderate",stdsurvey[[#This Row],[gad7_score]]&lt;=21,"Severe")</f>
        <v>Minimal</v>
      </c>
      <c r="N315">
        <v>11.6</v>
      </c>
      <c r="O315" s="4" t="str" cm="1">
        <f t="array" ref="O315">_xlfn.IFS(stdsurvey[[#This Row],[perceived_stress_scale]]="","Answer Not Provided",stdsurvey[[#This Row],[perceived_stress_scale]]&lt;=13,"Low Stress",stdsurvey[[#This Row],[perceived_stress_scale]]&lt;=26,"Moderate Stress",stdsurvey[[#This Row],[perceived_stress_scale]]&lt;=40,"High Stress")</f>
        <v>Low Stress</v>
      </c>
      <c r="P315">
        <v>89.7</v>
      </c>
      <c r="Q315">
        <v>2</v>
      </c>
      <c r="R315" s="4" t="str" cm="1">
        <f t="array" ref="R315">_xlfn.IFS(stdsurvey[[#This Row],[class_attendance_percent]]&lt;60,"Less than 0%",stdsurvey[[#This Row],[class_attendance_percent]]&lt;70,"60-70 %",stdsurvey[[#This Row],[class_attendance_percent]]&lt;80, "70-80%",stdsurvey[[#This Row],[class_attendance_percent]]&lt;90,"80-90%",TRUE,"More than 90%")</f>
        <v>80-90%</v>
      </c>
      <c r="S315" t="s">
        <v>33</v>
      </c>
      <c r="T315">
        <v>4</v>
      </c>
      <c r="U315" t="s">
        <v>23</v>
      </c>
      <c r="V315">
        <v>2.75</v>
      </c>
      <c r="W315" s="4" t="str" cm="1">
        <f t="array" ref="W31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5" s="4" t="str" cm="1">
        <f t="array" ref="X315">_xlfn.IFS(stdsurvey[[#This Row],[daily_sleep_hours]]&lt;4,"&lt; 4 hrs",stdsurvey[[#This Row],[daily_sleep_hours]]&lt;=6,"4-6 hrs",stdsurvey[[#This Row],[daily_sleep_hours]]&lt;=8,"6-8 hrs",TRUE,"&gt; 8 hrs")</f>
        <v>&gt; 8 hrs</v>
      </c>
      <c r="Y315" t="s">
        <v>27</v>
      </c>
    </row>
    <row r="316" spans="1:25" x14ac:dyDescent="0.3">
      <c r="A316" t="s">
        <v>350</v>
      </c>
      <c r="B316">
        <v>22</v>
      </c>
      <c r="C316" t="s">
        <v>25</v>
      </c>
      <c r="D316">
        <v>2</v>
      </c>
      <c r="E316" t="s">
        <v>32</v>
      </c>
      <c r="F316">
        <v>7.2</v>
      </c>
      <c r="G316">
        <v>8.3000000000000007</v>
      </c>
      <c r="H316">
        <v>1</v>
      </c>
      <c r="I316">
        <v>7</v>
      </c>
      <c r="J316">
        <v>11</v>
      </c>
      <c r="K316" s="4" t="str" cm="1">
        <f t="array" ref="K316">_xlfn.IFS(stdsurvey[[#This Row],[phq9_score]]="","Answer Not Provided",stdsurvey[[#This Row],[phq9_score]]&lt;=4,"Minimal",stdsurvey[[#This Row],[phq9_score]]&lt;=9,"Mild",stdsurvey[[#This Row],[phq9_score]]&lt;=14,"Moderate",stdsurvey[[#This Row],[phq9_score]]&lt;=19,"Moderately Severe",stdsurvey[[#This Row],[phq9_score]]&lt;=27,"Severe")</f>
        <v>Mild</v>
      </c>
      <c r="L316">
        <v>15</v>
      </c>
      <c r="M316" s="4" t="str" cm="1">
        <f t="array" ref="M316">_xlfn.IFS(stdsurvey[[#This Row],[gad7_score]]="","Answer Not Provided",stdsurvey[[#This Row],[gad7_score]]&lt;=4,"Minimal",stdsurvey[[#This Row],[gad7_score]]&lt;=9,"Mild",stdsurvey[[#This Row],[gad7_score]]&lt;=14,"Moderate",stdsurvey[[#This Row],[gad7_score]]&lt;=21,"Severe")</f>
        <v>Moderate</v>
      </c>
      <c r="N316">
        <v>18.3</v>
      </c>
      <c r="O316" s="4" t="str" cm="1">
        <f t="array" ref="O316">_xlfn.IFS(stdsurvey[[#This Row],[perceived_stress_scale]]="","Answer Not Provided",stdsurvey[[#This Row],[perceived_stress_scale]]&lt;=13,"Low Stress",stdsurvey[[#This Row],[perceived_stress_scale]]&lt;=26,"Moderate Stress",stdsurvey[[#This Row],[perceived_stress_scale]]&lt;=40,"High Stress")</f>
        <v>Moderate Stress</v>
      </c>
      <c r="P316">
        <v>65.400000000000006</v>
      </c>
      <c r="Q316">
        <v>4</v>
      </c>
      <c r="R316" s="4" t="str" cm="1">
        <f t="array" ref="R316">_xlfn.IFS(stdsurvey[[#This Row],[class_attendance_percent]]&lt;60,"Less than 0%",stdsurvey[[#This Row],[class_attendance_percent]]&lt;70,"60-70 %",stdsurvey[[#This Row],[class_attendance_percent]]&lt;80, "70-80%",stdsurvey[[#This Row],[class_attendance_percent]]&lt;90,"80-90%",TRUE,"More than 90%")</f>
        <v>60-70 %</v>
      </c>
      <c r="S316" t="s">
        <v>22</v>
      </c>
      <c r="T316">
        <v>5</v>
      </c>
      <c r="U316" t="s">
        <v>51</v>
      </c>
      <c r="V316">
        <v>2.62</v>
      </c>
      <c r="W316" s="4" t="str" cm="1">
        <f t="array" ref="W31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16" s="4" t="str" cm="1">
        <f t="array" ref="X316">_xlfn.IFS(stdsurvey[[#This Row],[daily_sleep_hours]]&lt;4,"&lt; 4 hrs",stdsurvey[[#This Row],[daily_sleep_hours]]&lt;=6,"4-6 hrs",stdsurvey[[#This Row],[daily_sleep_hours]]&lt;=8,"6-8 hrs",TRUE,"&gt; 8 hrs")</f>
        <v>6-8 hrs</v>
      </c>
      <c r="Y316" t="s">
        <v>27</v>
      </c>
    </row>
    <row r="317" spans="1:25" x14ac:dyDescent="0.3">
      <c r="A317" t="s">
        <v>351</v>
      </c>
      <c r="B317">
        <v>25</v>
      </c>
      <c r="C317" t="s">
        <v>45</v>
      </c>
      <c r="D317">
        <v>4</v>
      </c>
      <c r="E317" t="s">
        <v>30</v>
      </c>
      <c r="F317">
        <v>7.9</v>
      </c>
      <c r="G317">
        <v>3.8</v>
      </c>
      <c r="H317">
        <v>2</v>
      </c>
      <c r="I317">
        <v>2</v>
      </c>
      <c r="J317">
        <v>6</v>
      </c>
      <c r="K317" s="4" t="str" cm="1">
        <f t="array" ref="K317">_xlfn.IFS(stdsurvey[[#This Row],[phq9_score]]="","Answer Not Provided",stdsurvey[[#This Row],[phq9_score]]&lt;=4,"Minimal",stdsurvey[[#This Row],[phq9_score]]&lt;=9,"Mild",stdsurvey[[#This Row],[phq9_score]]&lt;=14,"Moderate",stdsurvey[[#This Row],[phq9_score]]&lt;=19,"Moderately Severe",stdsurvey[[#This Row],[phq9_score]]&lt;=27,"Severe")</f>
        <v>Minimal</v>
      </c>
      <c r="L317">
        <v>9</v>
      </c>
      <c r="M317" s="4" t="str" cm="1">
        <f t="array" ref="M317">_xlfn.IFS(stdsurvey[[#This Row],[gad7_score]]="","Answer Not Provided",stdsurvey[[#This Row],[gad7_score]]&lt;=4,"Minimal",stdsurvey[[#This Row],[gad7_score]]&lt;=9,"Mild",stdsurvey[[#This Row],[gad7_score]]&lt;=14,"Moderate",stdsurvey[[#This Row],[gad7_score]]&lt;=21,"Severe")</f>
        <v>Mild</v>
      </c>
      <c r="N317">
        <v>13.1</v>
      </c>
      <c r="O317" s="4" t="str" cm="1">
        <f t="array" ref="O317">_xlfn.IFS(stdsurvey[[#This Row],[perceived_stress_scale]]="","Answer Not Provided",stdsurvey[[#This Row],[perceived_stress_scale]]&lt;=13,"Low Stress",stdsurvey[[#This Row],[perceived_stress_scale]]&lt;=26,"Moderate Stress",stdsurvey[[#This Row],[perceived_stress_scale]]&lt;=40,"High Stress")</f>
        <v>Low Stress</v>
      </c>
      <c r="P317">
        <v>90.4</v>
      </c>
      <c r="Q317">
        <v>2</v>
      </c>
      <c r="R317" s="4" t="str" cm="1">
        <f t="array" ref="R317">_xlfn.IFS(stdsurvey[[#This Row],[class_attendance_percent]]&lt;60,"Less than 0%",stdsurvey[[#This Row],[class_attendance_percent]]&lt;70,"60-70 %",stdsurvey[[#This Row],[class_attendance_percent]]&lt;80, "70-80%",stdsurvey[[#This Row],[class_attendance_percent]]&lt;90,"80-90%",TRUE,"More than 90%")</f>
        <v>More than 90%</v>
      </c>
      <c r="S317" t="s">
        <v>33</v>
      </c>
      <c r="T317">
        <v>3</v>
      </c>
      <c r="U317" t="s">
        <v>51</v>
      </c>
      <c r="V317">
        <v>3.12</v>
      </c>
      <c r="W317" s="4" t="str" cm="1">
        <f t="array" ref="W31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7" s="4" t="str" cm="1">
        <f t="array" ref="X317">_xlfn.IFS(stdsurvey[[#This Row],[daily_sleep_hours]]&lt;4,"&lt; 4 hrs",stdsurvey[[#This Row],[daily_sleep_hours]]&lt;=6,"4-6 hrs",stdsurvey[[#This Row],[daily_sleep_hours]]&lt;=8,"6-8 hrs",TRUE,"&gt; 8 hrs")</f>
        <v>6-8 hrs</v>
      </c>
      <c r="Y317" t="s">
        <v>20</v>
      </c>
    </row>
    <row r="318" spans="1:25" x14ac:dyDescent="0.3">
      <c r="A318" t="s">
        <v>352</v>
      </c>
      <c r="B318">
        <v>22</v>
      </c>
      <c r="C318" t="s">
        <v>27</v>
      </c>
      <c r="D318">
        <v>5</v>
      </c>
      <c r="E318" t="s">
        <v>21</v>
      </c>
      <c r="F318">
        <v>6</v>
      </c>
      <c r="G318">
        <v>3.2</v>
      </c>
      <c r="H318">
        <v>0</v>
      </c>
      <c r="I318">
        <v>3</v>
      </c>
      <c r="J318">
        <v>7</v>
      </c>
      <c r="K318" s="4" t="str" cm="1">
        <f t="array" ref="K318">_xlfn.IFS(stdsurvey[[#This Row],[phq9_score]]="","Answer Not Provided",stdsurvey[[#This Row],[phq9_score]]&lt;=4,"Minimal",stdsurvey[[#This Row],[phq9_score]]&lt;=9,"Mild",stdsurvey[[#This Row],[phq9_score]]&lt;=14,"Moderate",stdsurvey[[#This Row],[phq9_score]]&lt;=19,"Moderately Severe",stdsurvey[[#This Row],[phq9_score]]&lt;=27,"Severe")</f>
        <v>Minimal</v>
      </c>
      <c r="L318">
        <v>14</v>
      </c>
      <c r="M318" s="4" t="str" cm="1">
        <f t="array" ref="M318">_xlfn.IFS(stdsurvey[[#This Row],[gad7_score]]="","Answer Not Provided",stdsurvey[[#This Row],[gad7_score]]&lt;=4,"Minimal",stdsurvey[[#This Row],[gad7_score]]&lt;=9,"Mild",stdsurvey[[#This Row],[gad7_score]]&lt;=14,"Moderate",stdsurvey[[#This Row],[gad7_score]]&lt;=21,"Severe")</f>
        <v>Mild</v>
      </c>
      <c r="N318">
        <v>12.9</v>
      </c>
      <c r="O318" s="4" t="str" cm="1">
        <f t="array" ref="O318">_xlfn.IFS(stdsurvey[[#This Row],[perceived_stress_scale]]="","Answer Not Provided",stdsurvey[[#This Row],[perceived_stress_scale]]&lt;=13,"Low Stress",stdsurvey[[#This Row],[perceived_stress_scale]]&lt;=26,"Moderate Stress",stdsurvey[[#This Row],[perceived_stress_scale]]&lt;=40,"High Stress")</f>
        <v>Moderate Stress</v>
      </c>
      <c r="P318">
        <v>47.9</v>
      </c>
      <c r="Q318">
        <v>3</v>
      </c>
      <c r="R318" s="4" t="str" cm="1">
        <f t="array" ref="R318">_xlfn.IFS(stdsurvey[[#This Row],[class_attendance_percent]]&lt;60,"Less than 0%",stdsurvey[[#This Row],[class_attendance_percent]]&lt;70,"60-70 %",stdsurvey[[#This Row],[class_attendance_percent]]&lt;80, "70-80%",stdsurvey[[#This Row],[class_attendance_percent]]&lt;90,"80-90%",TRUE,"More than 90%")</f>
        <v>Less than 0%</v>
      </c>
      <c r="S318" t="s">
        <v>33</v>
      </c>
      <c r="T318">
        <v>3</v>
      </c>
      <c r="U318" t="s">
        <v>26</v>
      </c>
      <c r="V318">
        <v>2.38</v>
      </c>
      <c r="W318" s="4" t="str" cm="1">
        <f t="array" ref="W31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18" s="4" t="str" cm="1">
        <f t="array" ref="X318">_xlfn.IFS(stdsurvey[[#This Row],[daily_sleep_hours]]&lt;4,"&lt; 4 hrs",stdsurvey[[#This Row],[daily_sleep_hours]]&lt;=6,"4-6 hrs",stdsurvey[[#This Row],[daily_sleep_hours]]&lt;=8,"6-8 hrs",TRUE,"&gt; 8 hrs")</f>
        <v>4-6 hrs</v>
      </c>
      <c r="Y318" t="s">
        <v>27</v>
      </c>
    </row>
    <row r="319" spans="1:25" x14ac:dyDescent="0.3">
      <c r="A319" t="s">
        <v>353</v>
      </c>
      <c r="B319">
        <v>23</v>
      </c>
      <c r="C319" t="s">
        <v>20</v>
      </c>
      <c r="D319">
        <v>1</v>
      </c>
      <c r="E319" t="s">
        <v>30</v>
      </c>
      <c r="F319">
        <v>5</v>
      </c>
      <c r="G319">
        <v>8.6999999999999993</v>
      </c>
      <c r="H319">
        <v>0</v>
      </c>
      <c r="I319">
        <v>3</v>
      </c>
      <c r="J319">
        <v>10</v>
      </c>
      <c r="K319" s="4" t="str" cm="1">
        <f t="array" ref="K319">_xlfn.IFS(stdsurvey[[#This Row],[phq9_score]]="","Answer Not Provided",stdsurvey[[#This Row],[phq9_score]]&lt;=4,"Minimal",stdsurvey[[#This Row],[phq9_score]]&lt;=9,"Mild",stdsurvey[[#This Row],[phq9_score]]&lt;=14,"Moderate",stdsurvey[[#This Row],[phq9_score]]&lt;=19,"Moderately Severe",stdsurvey[[#This Row],[phq9_score]]&lt;=27,"Severe")</f>
        <v>Minimal</v>
      </c>
      <c r="L319">
        <v>9</v>
      </c>
      <c r="M319" s="4" t="str" cm="1">
        <f t="array" ref="M319">_xlfn.IFS(stdsurvey[[#This Row],[gad7_score]]="","Answer Not Provided",stdsurvey[[#This Row],[gad7_score]]&lt;=4,"Minimal",stdsurvey[[#This Row],[gad7_score]]&lt;=9,"Mild",stdsurvey[[#This Row],[gad7_score]]&lt;=14,"Moderate",stdsurvey[[#This Row],[gad7_score]]&lt;=21,"Severe")</f>
        <v>Moderate</v>
      </c>
      <c r="N319">
        <v>20.3</v>
      </c>
      <c r="O319" s="4" t="str" cm="1">
        <f t="array" ref="O319">_xlfn.IFS(stdsurvey[[#This Row],[perceived_stress_scale]]="","Answer Not Provided",stdsurvey[[#This Row],[perceived_stress_scale]]&lt;=13,"Low Stress",stdsurvey[[#This Row],[perceived_stress_scale]]&lt;=26,"Moderate Stress",stdsurvey[[#This Row],[perceived_stress_scale]]&lt;=40,"High Stress")</f>
        <v>Low Stress</v>
      </c>
      <c r="P319">
        <v>72.3</v>
      </c>
      <c r="Q319">
        <v>4</v>
      </c>
      <c r="R319" s="4" t="str" cm="1">
        <f t="array" ref="R319">_xlfn.IFS(stdsurvey[[#This Row],[class_attendance_percent]]&lt;60,"Less than 0%",stdsurvey[[#This Row],[class_attendance_percent]]&lt;70,"60-70 %",stdsurvey[[#This Row],[class_attendance_percent]]&lt;80, "70-80%",stdsurvey[[#This Row],[class_attendance_percent]]&lt;90,"80-90%",TRUE,"More than 90%")</f>
        <v>70-80%</v>
      </c>
      <c r="S319" t="s">
        <v>22</v>
      </c>
      <c r="T319">
        <v>3</v>
      </c>
      <c r="U319" t="s">
        <v>23</v>
      </c>
      <c r="V319">
        <v>2.75</v>
      </c>
      <c r="W319" s="4" t="str" cm="1">
        <f t="array" ref="W31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19" s="4" t="str" cm="1">
        <f t="array" ref="X319">_xlfn.IFS(stdsurvey[[#This Row],[daily_sleep_hours]]&lt;4,"&lt; 4 hrs",stdsurvey[[#This Row],[daily_sleep_hours]]&lt;=6,"4-6 hrs",stdsurvey[[#This Row],[daily_sleep_hours]]&lt;=8,"6-8 hrs",TRUE,"&gt; 8 hrs")</f>
        <v>4-6 hrs</v>
      </c>
      <c r="Y319" t="s">
        <v>20</v>
      </c>
    </row>
    <row r="320" spans="1:25" x14ac:dyDescent="0.3">
      <c r="A320" t="s">
        <v>354</v>
      </c>
      <c r="B320">
        <v>21</v>
      </c>
      <c r="C320" t="s">
        <v>39</v>
      </c>
      <c r="D320">
        <v>3</v>
      </c>
      <c r="E320" t="s">
        <v>49</v>
      </c>
      <c r="F320">
        <v>7</v>
      </c>
      <c r="G320">
        <v>8.5</v>
      </c>
      <c r="H320">
        <v>7</v>
      </c>
      <c r="I320">
        <v>4</v>
      </c>
      <c r="J320">
        <v>6</v>
      </c>
      <c r="K320" s="4" t="str" cm="1">
        <f t="array" ref="K320">_xlfn.IFS(stdsurvey[[#This Row],[phq9_score]]="","Answer Not Provided",stdsurvey[[#This Row],[phq9_score]]&lt;=4,"Minimal",stdsurvey[[#This Row],[phq9_score]]&lt;=9,"Mild",stdsurvey[[#This Row],[phq9_score]]&lt;=14,"Moderate",stdsurvey[[#This Row],[phq9_score]]&lt;=19,"Moderately Severe",stdsurvey[[#This Row],[phq9_score]]&lt;=27,"Severe")</f>
        <v>Minimal</v>
      </c>
      <c r="L320">
        <v>13</v>
      </c>
      <c r="M320" s="4" t="str" cm="1">
        <f t="array" ref="M320">_xlfn.IFS(stdsurvey[[#This Row],[gad7_score]]="","Answer Not Provided",stdsurvey[[#This Row],[gad7_score]]&lt;=4,"Minimal",stdsurvey[[#This Row],[gad7_score]]&lt;=9,"Mild",stdsurvey[[#This Row],[gad7_score]]&lt;=14,"Moderate",stdsurvey[[#This Row],[gad7_score]]&lt;=21,"Severe")</f>
        <v>Mild</v>
      </c>
      <c r="N320">
        <v>14.4</v>
      </c>
      <c r="O320" s="4" t="str" cm="1">
        <f t="array" ref="O320">_xlfn.IFS(stdsurvey[[#This Row],[perceived_stress_scale]]="","Answer Not Provided",stdsurvey[[#This Row],[perceived_stress_scale]]&lt;=13,"Low Stress",stdsurvey[[#This Row],[perceived_stress_scale]]&lt;=26,"Moderate Stress",stdsurvey[[#This Row],[perceived_stress_scale]]&lt;=40,"High Stress")</f>
        <v>Low Stress</v>
      </c>
      <c r="P320">
        <v>70.599999999999994</v>
      </c>
      <c r="Q320">
        <v>3</v>
      </c>
      <c r="R320" s="4" t="str" cm="1">
        <f t="array" ref="R320">_xlfn.IFS(stdsurvey[[#This Row],[class_attendance_percent]]&lt;60,"Less than 0%",stdsurvey[[#This Row],[class_attendance_percent]]&lt;70,"60-70 %",stdsurvey[[#This Row],[class_attendance_percent]]&lt;80, "70-80%",stdsurvey[[#This Row],[class_attendance_percent]]&lt;90,"80-90%",TRUE,"More than 90%")</f>
        <v>70-80%</v>
      </c>
      <c r="S320" t="s">
        <v>22</v>
      </c>
      <c r="T320">
        <v>3</v>
      </c>
      <c r="U320" t="s">
        <v>51</v>
      </c>
      <c r="V320">
        <v>2.79</v>
      </c>
      <c r="W320" s="4" t="str" cm="1">
        <f t="array" ref="W32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20" s="4" t="str" cm="1">
        <f t="array" ref="X320">_xlfn.IFS(stdsurvey[[#This Row],[daily_sleep_hours]]&lt;4,"&lt; 4 hrs",stdsurvey[[#This Row],[daily_sleep_hours]]&lt;=6,"4-6 hrs",stdsurvey[[#This Row],[daily_sleep_hours]]&lt;=8,"6-8 hrs",TRUE,"&gt; 8 hrs")</f>
        <v>6-8 hrs</v>
      </c>
      <c r="Y320" t="s">
        <v>27</v>
      </c>
    </row>
    <row r="321" spans="1:25" x14ac:dyDescent="0.3">
      <c r="A321" t="s">
        <v>355</v>
      </c>
      <c r="B321">
        <v>22</v>
      </c>
      <c r="C321" t="s">
        <v>45</v>
      </c>
      <c r="D321">
        <v>4</v>
      </c>
      <c r="E321" t="s">
        <v>30</v>
      </c>
      <c r="F321">
        <v>4.5999999999999996</v>
      </c>
      <c r="G321">
        <v>3.4</v>
      </c>
      <c r="H321">
        <v>3</v>
      </c>
      <c r="I321">
        <v>27</v>
      </c>
      <c r="J321">
        <v>20</v>
      </c>
      <c r="K321" s="4" t="str" cm="1">
        <f t="array" ref="K321">_xlfn.IFS(stdsurvey[[#This Row],[phq9_score]]="","Answer Not Provided",stdsurvey[[#This Row],[phq9_score]]&lt;=4,"Minimal",stdsurvey[[#This Row],[phq9_score]]&lt;=9,"Mild",stdsurvey[[#This Row],[phq9_score]]&lt;=14,"Moderate",stdsurvey[[#This Row],[phq9_score]]&lt;=19,"Moderately Severe",stdsurvey[[#This Row],[phq9_score]]&lt;=27,"Severe")</f>
        <v>Severe</v>
      </c>
      <c r="L321">
        <v>32</v>
      </c>
      <c r="M321" s="4" t="str" cm="1">
        <f t="array" ref="M321">_xlfn.IFS(stdsurvey[[#This Row],[gad7_score]]="","Answer Not Provided",stdsurvey[[#This Row],[gad7_score]]&lt;=4,"Minimal",stdsurvey[[#This Row],[gad7_score]]&lt;=9,"Mild",stdsurvey[[#This Row],[gad7_score]]&lt;=14,"Moderate",stdsurvey[[#This Row],[gad7_score]]&lt;=21,"Severe")</f>
        <v>Severe</v>
      </c>
      <c r="N321">
        <v>7.9</v>
      </c>
      <c r="O321" s="4" t="str" cm="1">
        <f t="array" ref="O321">_xlfn.IFS(stdsurvey[[#This Row],[perceived_stress_scale]]="","Answer Not Provided",stdsurvey[[#This Row],[perceived_stress_scale]]&lt;=13,"Low Stress",stdsurvey[[#This Row],[perceived_stress_scale]]&lt;=26,"Moderate Stress",stdsurvey[[#This Row],[perceived_stress_scale]]&lt;=40,"High Stress")</f>
        <v>High Stress</v>
      </c>
      <c r="P321">
        <v>74</v>
      </c>
      <c r="Q321">
        <v>3</v>
      </c>
      <c r="R321" s="4" t="str" cm="1">
        <f t="array" ref="R321">_xlfn.IFS(stdsurvey[[#This Row],[class_attendance_percent]]&lt;60,"Less than 0%",stdsurvey[[#This Row],[class_attendance_percent]]&lt;70,"60-70 %",stdsurvey[[#This Row],[class_attendance_percent]]&lt;80, "70-80%",stdsurvey[[#This Row],[class_attendance_percent]]&lt;90,"80-90%",TRUE,"More than 90%")</f>
        <v>70-80%</v>
      </c>
      <c r="S321" t="s">
        <v>22</v>
      </c>
      <c r="T321">
        <v>1</v>
      </c>
      <c r="U321" t="s">
        <v>26</v>
      </c>
      <c r="V321">
        <v>2.54</v>
      </c>
      <c r="W321" s="4" t="str" cm="1">
        <f t="array" ref="W32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21" s="4" t="str" cm="1">
        <f t="array" ref="X321">_xlfn.IFS(stdsurvey[[#This Row],[daily_sleep_hours]]&lt;4,"&lt; 4 hrs",stdsurvey[[#This Row],[daily_sleep_hours]]&lt;=6,"4-6 hrs",stdsurvey[[#This Row],[daily_sleep_hours]]&lt;=8,"6-8 hrs",TRUE,"&gt; 8 hrs")</f>
        <v>4-6 hrs</v>
      </c>
      <c r="Y321" t="s">
        <v>20</v>
      </c>
    </row>
    <row r="322" spans="1:25" x14ac:dyDescent="0.3">
      <c r="A322" t="s">
        <v>356</v>
      </c>
      <c r="B322">
        <v>20</v>
      </c>
      <c r="C322" t="s">
        <v>20</v>
      </c>
      <c r="D322">
        <v>3</v>
      </c>
      <c r="E322" t="s">
        <v>30</v>
      </c>
      <c r="F322">
        <v>5.4</v>
      </c>
      <c r="G322">
        <v>5.3</v>
      </c>
      <c r="H322">
        <v>2</v>
      </c>
      <c r="I322">
        <v>8</v>
      </c>
      <c r="J322">
        <v>9</v>
      </c>
      <c r="K322" s="4" t="str" cm="1">
        <f t="array" ref="K322">_xlfn.IFS(stdsurvey[[#This Row],[phq9_score]]="","Answer Not Provided",stdsurvey[[#This Row],[phq9_score]]&lt;=4,"Minimal",stdsurvey[[#This Row],[phq9_score]]&lt;=9,"Mild",stdsurvey[[#This Row],[phq9_score]]&lt;=14,"Moderate",stdsurvey[[#This Row],[phq9_score]]&lt;=19,"Moderately Severe",stdsurvey[[#This Row],[phq9_score]]&lt;=27,"Severe")</f>
        <v>Mild</v>
      </c>
      <c r="L322">
        <v>19</v>
      </c>
      <c r="M322" s="4" t="str" cm="1">
        <f t="array" ref="M322">_xlfn.IFS(stdsurvey[[#This Row],[gad7_score]]="","Answer Not Provided",stdsurvey[[#This Row],[gad7_score]]&lt;=4,"Minimal",stdsurvey[[#This Row],[gad7_score]]&lt;=9,"Mild",stdsurvey[[#This Row],[gad7_score]]&lt;=14,"Moderate",stdsurvey[[#This Row],[gad7_score]]&lt;=21,"Severe")</f>
        <v>Mild</v>
      </c>
      <c r="N322">
        <v>29.7</v>
      </c>
      <c r="O322" s="4" t="str" cm="1">
        <f t="array" ref="O322">_xlfn.IFS(stdsurvey[[#This Row],[perceived_stress_scale]]="","Answer Not Provided",stdsurvey[[#This Row],[perceived_stress_scale]]&lt;=13,"Low Stress",stdsurvey[[#This Row],[perceived_stress_scale]]&lt;=26,"Moderate Stress",stdsurvey[[#This Row],[perceived_stress_scale]]&lt;=40,"High Stress")</f>
        <v>Moderate Stress</v>
      </c>
      <c r="P322">
        <v>77.8</v>
      </c>
      <c r="Q322">
        <v>1</v>
      </c>
      <c r="R322" s="4" t="str" cm="1">
        <f t="array" ref="R322">_xlfn.IFS(stdsurvey[[#This Row],[class_attendance_percent]]&lt;60,"Less than 0%",stdsurvey[[#This Row],[class_attendance_percent]]&lt;70,"60-70 %",stdsurvey[[#This Row],[class_attendance_percent]]&lt;80, "70-80%",stdsurvey[[#This Row],[class_attendance_percent]]&lt;90,"80-90%",TRUE,"More than 90%")</f>
        <v>70-80%</v>
      </c>
      <c r="S322" t="s">
        <v>22</v>
      </c>
      <c r="T322">
        <v>5</v>
      </c>
      <c r="U322" t="s">
        <v>26</v>
      </c>
      <c r="V322">
        <v>2.84</v>
      </c>
      <c r="W322" s="4" t="str" cm="1">
        <f t="array" ref="W32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22" s="4" t="str" cm="1">
        <f t="array" ref="X322">_xlfn.IFS(stdsurvey[[#This Row],[daily_sleep_hours]]&lt;4,"&lt; 4 hrs",stdsurvey[[#This Row],[daily_sleep_hours]]&lt;=6,"4-6 hrs",stdsurvey[[#This Row],[daily_sleep_hours]]&lt;=8,"6-8 hrs",TRUE,"&gt; 8 hrs")</f>
        <v>4-6 hrs</v>
      </c>
      <c r="Y322" t="s">
        <v>20</v>
      </c>
    </row>
    <row r="323" spans="1:25" x14ac:dyDescent="0.3">
      <c r="A323" t="s">
        <v>357</v>
      </c>
      <c r="B323">
        <v>24</v>
      </c>
      <c r="C323" t="s">
        <v>20</v>
      </c>
      <c r="D323">
        <v>2</v>
      </c>
      <c r="E323" t="s">
        <v>30</v>
      </c>
      <c r="F323">
        <v>6.1</v>
      </c>
      <c r="G323">
        <v>2.9</v>
      </c>
      <c r="H323">
        <v>2</v>
      </c>
      <c r="I323">
        <v>3</v>
      </c>
      <c r="J323">
        <v>3</v>
      </c>
      <c r="K323" s="4" t="str" cm="1">
        <f t="array" ref="K323">_xlfn.IFS(stdsurvey[[#This Row],[phq9_score]]="","Answer Not Provided",stdsurvey[[#This Row],[phq9_score]]&lt;=4,"Minimal",stdsurvey[[#This Row],[phq9_score]]&lt;=9,"Mild",stdsurvey[[#This Row],[phq9_score]]&lt;=14,"Moderate",stdsurvey[[#This Row],[phq9_score]]&lt;=19,"Moderately Severe",stdsurvey[[#This Row],[phq9_score]]&lt;=27,"Severe")</f>
        <v>Minimal</v>
      </c>
      <c r="L323">
        <v>12</v>
      </c>
      <c r="M323" s="4" t="str" cm="1">
        <f t="array" ref="M323">_xlfn.IFS(stdsurvey[[#This Row],[gad7_score]]="","Answer Not Provided",stdsurvey[[#This Row],[gad7_score]]&lt;=4,"Minimal",stdsurvey[[#This Row],[gad7_score]]&lt;=9,"Mild",stdsurvey[[#This Row],[gad7_score]]&lt;=14,"Moderate",stdsurvey[[#This Row],[gad7_score]]&lt;=21,"Severe")</f>
        <v>Minimal</v>
      </c>
      <c r="N323">
        <v>23.5</v>
      </c>
      <c r="O323" s="4" t="str" cm="1">
        <f t="array" ref="O323">_xlfn.IFS(stdsurvey[[#This Row],[perceived_stress_scale]]="","Answer Not Provided",stdsurvey[[#This Row],[perceived_stress_scale]]&lt;=13,"Low Stress",stdsurvey[[#This Row],[perceived_stress_scale]]&lt;=26,"Moderate Stress",stdsurvey[[#This Row],[perceived_stress_scale]]&lt;=40,"High Stress")</f>
        <v>Low Stress</v>
      </c>
      <c r="P323">
        <v>82.6</v>
      </c>
      <c r="Q323">
        <v>3</v>
      </c>
      <c r="R323" s="4" t="str" cm="1">
        <f t="array" ref="R323">_xlfn.IFS(stdsurvey[[#This Row],[class_attendance_percent]]&lt;60,"Less than 0%",stdsurvey[[#This Row],[class_attendance_percent]]&lt;70,"60-70 %",stdsurvey[[#This Row],[class_attendance_percent]]&lt;80, "70-80%",stdsurvey[[#This Row],[class_attendance_percent]]&lt;90,"80-90%",TRUE,"More than 90%")</f>
        <v>80-90%</v>
      </c>
      <c r="S323" t="s">
        <v>33</v>
      </c>
      <c r="T323">
        <v>5</v>
      </c>
      <c r="U323" t="s">
        <v>26</v>
      </c>
      <c r="V323">
        <v>3.3</v>
      </c>
      <c r="W323" s="4" t="str" cm="1">
        <f t="array" ref="W32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23" s="4" t="str" cm="1">
        <f t="array" ref="X323">_xlfn.IFS(stdsurvey[[#This Row],[daily_sleep_hours]]&lt;4,"&lt; 4 hrs",stdsurvey[[#This Row],[daily_sleep_hours]]&lt;=6,"4-6 hrs",stdsurvey[[#This Row],[daily_sleep_hours]]&lt;=8,"6-8 hrs",TRUE,"&gt; 8 hrs")</f>
        <v>6-8 hrs</v>
      </c>
      <c r="Y323" t="s">
        <v>20</v>
      </c>
    </row>
    <row r="324" spans="1:25" x14ac:dyDescent="0.3">
      <c r="A324" t="s">
        <v>358</v>
      </c>
      <c r="B324">
        <v>19</v>
      </c>
      <c r="C324" t="s">
        <v>39</v>
      </c>
      <c r="D324">
        <v>2</v>
      </c>
      <c r="E324" t="s">
        <v>32</v>
      </c>
      <c r="F324">
        <v>7.9</v>
      </c>
      <c r="G324">
        <v>4.2</v>
      </c>
      <c r="H324">
        <v>7</v>
      </c>
      <c r="I324">
        <v>2</v>
      </c>
      <c r="J324">
        <v>4</v>
      </c>
      <c r="K324" s="4" t="str" cm="1">
        <f t="array" ref="K324">_xlfn.IFS(stdsurvey[[#This Row],[phq9_score]]="","Answer Not Provided",stdsurvey[[#This Row],[phq9_score]]&lt;=4,"Minimal",stdsurvey[[#This Row],[phq9_score]]&lt;=9,"Mild",stdsurvey[[#This Row],[phq9_score]]&lt;=14,"Moderate",stdsurvey[[#This Row],[phq9_score]]&lt;=19,"Moderately Severe",stdsurvey[[#This Row],[phq9_score]]&lt;=27,"Severe")</f>
        <v>Minimal</v>
      </c>
      <c r="L324">
        <v>9</v>
      </c>
      <c r="M324" s="4" t="str" cm="1">
        <f t="array" ref="M324">_xlfn.IFS(stdsurvey[[#This Row],[gad7_score]]="","Answer Not Provided",stdsurvey[[#This Row],[gad7_score]]&lt;=4,"Minimal",stdsurvey[[#This Row],[gad7_score]]&lt;=9,"Mild",stdsurvey[[#This Row],[gad7_score]]&lt;=14,"Moderate",stdsurvey[[#This Row],[gad7_score]]&lt;=21,"Severe")</f>
        <v>Minimal</v>
      </c>
      <c r="N324">
        <v>14</v>
      </c>
      <c r="O324" s="4" t="str" cm="1">
        <f t="array" ref="O324">_xlfn.IFS(stdsurvey[[#This Row],[perceived_stress_scale]]="","Answer Not Provided",stdsurvey[[#This Row],[perceived_stress_scale]]&lt;=13,"Low Stress",stdsurvey[[#This Row],[perceived_stress_scale]]&lt;=26,"Moderate Stress",stdsurvey[[#This Row],[perceived_stress_scale]]&lt;=40,"High Stress")</f>
        <v>Low Stress</v>
      </c>
      <c r="P324">
        <v>75.099999999999994</v>
      </c>
      <c r="Q324">
        <v>4</v>
      </c>
      <c r="R324" s="4" t="str" cm="1">
        <f t="array" ref="R324">_xlfn.IFS(stdsurvey[[#This Row],[class_attendance_percent]]&lt;60,"Less than 0%",stdsurvey[[#This Row],[class_attendance_percent]]&lt;70,"60-70 %",stdsurvey[[#This Row],[class_attendance_percent]]&lt;80, "70-80%",stdsurvey[[#This Row],[class_attendance_percent]]&lt;90,"80-90%",TRUE,"More than 90%")</f>
        <v>70-80%</v>
      </c>
      <c r="S324" t="s">
        <v>33</v>
      </c>
      <c r="T324">
        <v>3</v>
      </c>
      <c r="U324" t="s">
        <v>26</v>
      </c>
      <c r="V324">
        <v>2.6</v>
      </c>
      <c r="W324" s="4" t="str" cm="1">
        <f t="array" ref="W32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24" s="4" t="str" cm="1">
        <f t="array" ref="X324">_xlfn.IFS(stdsurvey[[#This Row],[daily_sleep_hours]]&lt;4,"&lt; 4 hrs",stdsurvey[[#This Row],[daily_sleep_hours]]&lt;=6,"4-6 hrs",stdsurvey[[#This Row],[daily_sleep_hours]]&lt;=8,"6-8 hrs",TRUE,"&gt; 8 hrs")</f>
        <v>6-8 hrs</v>
      </c>
      <c r="Y324" t="s">
        <v>27</v>
      </c>
    </row>
    <row r="325" spans="1:25" x14ac:dyDescent="0.3">
      <c r="A325" t="s">
        <v>359</v>
      </c>
      <c r="B325">
        <v>23</v>
      </c>
      <c r="C325" t="s">
        <v>39</v>
      </c>
      <c r="D325">
        <v>1</v>
      </c>
      <c r="E325" t="s">
        <v>30</v>
      </c>
      <c r="F325">
        <v>6.4</v>
      </c>
      <c r="G325">
        <v>2</v>
      </c>
      <c r="H325">
        <v>1</v>
      </c>
      <c r="I325">
        <v>5</v>
      </c>
      <c r="J325">
        <v>4</v>
      </c>
      <c r="K325" s="4" t="str" cm="1">
        <f t="array" ref="K325">_xlfn.IFS(stdsurvey[[#This Row],[phq9_score]]="","Answer Not Provided",stdsurvey[[#This Row],[phq9_score]]&lt;=4,"Minimal",stdsurvey[[#This Row],[phq9_score]]&lt;=9,"Mild",stdsurvey[[#This Row],[phq9_score]]&lt;=14,"Moderate",stdsurvey[[#This Row],[phq9_score]]&lt;=19,"Moderately Severe",stdsurvey[[#This Row],[phq9_score]]&lt;=27,"Severe")</f>
        <v>Mild</v>
      </c>
      <c r="L325">
        <v>9</v>
      </c>
      <c r="M325" s="4" t="str" cm="1">
        <f t="array" ref="M325">_xlfn.IFS(stdsurvey[[#This Row],[gad7_score]]="","Answer Not Provided",stdsurvey[[#This Row],[gad7_score]]&lt;=4,"Minimal",stdsurvey[[#This Row],[gad7_score]]&lt;=9,"Mild",stdsurvey[[#This Row],[gad7_score]]&lt;=14,"Moderate",stdsurvey[[#This Row],[gad7_score]]&lt;=21,"Severe")</f>
        <v>Minimal</v>
      </c>
      <c r="N325">
        <v>26.8</v>
      </c>
      <c r="O325" s="4" t="str" cm="1">
        <f t="array" ref="O325">_xlfn.IFS(stdsurvey[[#This Row],[perceived_stress_scale]]="","Answer Not Provided",stdsurvey[[#This Row],[perceived_stress_scale]]&lt;=13,"Low Stress",stdsurvey[[#This Row],[perceived_stress_scale]]&lt;=26,"Moderate Stress",stdsurvey[[#This Row],[perceived_stress_scale]]&lt;=40,"High Stress")</f>
        <v>Low Stress</v>
      </c>
      <c r="P325">
        <v>78.2</v>
      </c>
      <c r="Q325">
        <v>3</v>
      </c>
      <c r="R325" s="4" t="str" cm="1">
        <f t="array" ref="R325">_xlfn.IFS(stdsurvey[[#This Row],[class_attendance_percent]]&lt;60,"Less than 0%",stdsurvey[[#This Row],[class_attendance_percent]]&lt;70,"60-70 %",stdsurvey[[#This Row],[class_attendance_percent]]&lt;80, "70-80%",stdsurvey[[#This Row],[class_attendance_percent]]&lt;90,"80-90%",TRUE,"More than 90%")</f>
        <v>70-80%</v>
      </c>
      <c r="S325" t="s">
        <v>33</v>
      </c>
      <c r="T325">
        <v>3</v>
      </c>
      <c r="U325" t="s">
        <v>51</v>
      </c>
      <c r="V325">
        <v>3.2</v>
      </c>
      <c r="W325" s="4" t="str" cm="1">
        <f t="array" ref="W32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25" s="4" t="str" cm="1">
        <f t="array" ref="X325">_xlfn.IFS(stdsurvey[[#This Row],[daily_sleep_hours]]&lt;4,"&lt; 4 hrs",stdsurvey[[#This Row],[daily_sleep_hours]]&lt;=6,"4-6 hrs",stdsurvey[[#This Row],[daily_sleep_hours]]&lt;=8,"6-8 hrs",TRUE,"&gt; 8 hrs")</f>
        <v>6-8 hrs</v>
      </c>
      <c r="Y325" t="s">
        <v>27</v>
      </c>
    </row>
    <row r="326" spans="1:25" x14ac:dyDescent="0.3">
      <c r="A326" t="s">
        <v>360</v>
      </c>
      <c r="B326">
        <v>21</v>
      </c>
      <c r="C326" t="s">
        <v>39</v>
      </c>
      <c r="D326">
        <v>3</v>
      </c>
      <c r="E326" t="s">
        <v>47</v>
      </c>
      <c r="F326">
        <v>3.3</v>
      </c>
      <c r="G326">
        <v>5.9</v>
      </c>
      <c r="H326">
        <v>4</v>
      </c>
      <c r="I326">
        <v>1</v>
      </c>
      <c r="J326">
        <v>3</v>
      </c>
      <c r="K326" s="4" t="str" cm="1">
        <f t="array" ref="K326">_xlfn.IFS(stdsurvey[[#This Row],[phq9_score]]="","Answer Not Provided",stdsurvey[[#This Row],[phq9_score]]&lt;=4,"Minimal",stdsurvey[[#This Row],[phq9_score]]&lt;=9,"Mild",stdsurvey[[#This Row],[phq9_score]]&lt;=14,"Moderate",stdsurvey[[#This Row],[phq9_score]]&lt;=19,"Moderately Severe",stdsurvey[[#This Row],[phq9_score]]&lt;=27,"Severe")</f>
        <v>Minimal</v>
      </c>
      <c r="L326">
        <v>8</v>
      </c>
      <c r="M326" s="4" t="str" cm="1">
        <f t="array" ref="M326">_xlfn.IFS(stdsurvey[[#This Row],[gad7_score]]="","Answer Not Provided",stdsurvey[[#This Row],[gad7_score]]&lt;=4,"Minimal",stdsurvey[[#This Row],[gad7_score]]&lt;=9,"Mild",stdsurvey[[#This Row],[gad7_score]]&lt;=14,"Moderate",stdsurvey[[#This Row],[gad7_score]]&lt;=21,"Severe")</f>
        <v>Minimal</v>
      </c>
      <c r="N326">
        <v>26.9</v>
      </c>
      <c r="O326" s="4" t="str" cm="1">
        <f t="array" ref="O326">_xlfn.IFS(stdsurvey[[#This Row],[perceived_stress_scale]]="","Answer Not Provided",stdsurvey[[#This Row],[perceived_stress_scale]]&lt;=13,"Low Stress",stdsurvey[[#This Row],[perceived_stress_scale]]&lt;=26,"Moderate Stress",stdsurvey[[#This Row],[perceived_stress_scale]]&lt;=40,"High Stress")</f>
        <v>Low Stress</v>
      </c>
      <c r="P326">
        <v>81.099999999999994</v>
      </c>
      <c r="Q326">
        <v>2</v>
      </c>
      <c r="R326" s="4" t="str" cm="1">
        <f t="array" ref="R326">_xlfn.IFS(stdsurvey[[#This Row],[class_attendance_percent]]&lt;60,"Less than 0%",stdsurvey[[#This Row],[class_attendance_percent]]&lt;70,"60-70 %",stdsurvey[[#This Row],[class_attendance_percent]]&lt;80, "70-80%",stdsurvey[[#This Row],[class_attendance_percent]]&lt;90,"80-90%",TRUE,"More than 90%")</f>
        <v>80-90%</v>
      </c>
      <c r="S326" t="s">
        <v>33</v>
      </c>
      <c r="T326">
        <v>1</v>
      </c>
      <c r="U326" t="s">
        <v>23</v>
      </c>
      <c r="V326">
        <v>2.71</v>
      </c>
      <c r="W326" s="4" t="str" cm="1">
        <f t="array" ref="W32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26" s="4" t="str" cm="1">
        <f t="array" ref="X326">_xlfn.IFS(stdsurvey[[#This Row],[daily_sleep_hours]]&lt;4,"&lt; 4 hrs",stdsurvey[[#This Row],[daily_sleep_hours]]&lt;=6,"4-6 hrs",stdsurvey[[#This Row],[daily_sleep_hours]]&lt;=8,"6-8 hrs",TRUE,"&gt; 8 hrs")</f>
        <v>&lt; 4 hrs</v>
      </c>
      <c r="Y326" t="s">
        <v>27</v>
      </c>
    </row>
    <row r="327" spans="1:25" x14ac:dyDescent="0.3">
      <c r="A327" t="s">
        <v>361</v>
      </c>
      <c r="B327">
        <v>24</v>
      </c>
      <c r="C327" t="s">
        <v>20</v>
      </c>
      <c r="D327">
        <v>5</v>
      </c>
      <c r="E327" t="s">
        <v>30</v>
      </c>
      <c r="F327">
        <v>6.7</v>
      </c>
      <c r="G327">
        <v>9</v>
      </c>
      <c r="H327">
        <v>2</v>
      </c>
      <c r="I327">
        <v>1</v>
      </c>
      <c r="J327">
        <v>1</v>
      </c>
      <c r="K327" s="4" t="str" cm="1">
        <f t="array" ref="K327">_xlfn.IFS(stdsurvey[[#This Row],[phq9_score]]="","Answer Not Provided",stdsurvey[[#This Row],[phq9_score]]&lt;=4,"Minimal",stdsurvey[[#This Row],[phq9_score]]&lt;=9,"Mild",stdsurvey[[#This Row],[phq9_score]]&lt;=14,"Moderate",stdsurvey[[#This Row],[phq9_score]]&lt;=19,"Moderately Severe",stdsurvey[[#This Row],[phq9_score]]&lt;=27,"Severe")</f>
        <v>Minimal</v>
      </c>
      <c r="L327">
        <v>6</v>
      </c>
      <c r="M327" s="4" t="str" cm="1">
        <f t="array" ref="M327">_xlfn.IFS(stdsurvey[[#This Row],[gad7_score]]="","Answer Not Provided",stdsurvey[[#This Row],[gad7_score]]&lt;=4,"Minimal",stdsurvey[[#This Row],[gad7_score]]&lt;=9,"Mild",stdsurvey[[#This Row],[gad7_score]]&lt;=14,"Moderate",stdsurvey[[#This Row],[gad7_score]]&lt;=21,"Severe")</f>
        <v>Minimal</v>
      </c>
      <c r="N327">
        <v>26</v>
      </c>
      <c r="O327" s="4" t="str" cm="1">
        <f t="array" ref="O327">_xlfn.IFS(stdsurvey[[#This Row],[perceived_stress_scale]]="","Answer Not Provided",stdsurvey[[#This Row],[perceived_stress_scale]]&lt;=13,"Low Stress",stdsurvey[[#This Row],[perceived_stress_scale]]&lt;=26,"Moderate Stress",stdsurvey[[#This Row],[perceived_stress_scale]]&lt;=40,"High Stress")</f>
        <v>Low Stress</v>
      </c>
      <c r="P327">
        <v>84.8</v>
      </c>
      <c r="Q327">
        <v>2</v>
      </c>
      <c r="R327" s="4" t="str" cm="1">
        <f t="array" ref="R327">_xlfn.IFS(stdsurvey[[#This Row],[class_attendance_percent]]&lt;60,"Less than 0%",stdsurvey[[#This Row],[class_attendance_percent]]&lt;70,"60-70 %",stdsurvey[[#This Row],[class_attendance_percent]]&lt;80, "70-80%",stdsurvey[[#This Row],[class_attendance_percent]]&lt;90,"80-90%",TRUE,"More than 90%")</f>
        <v>80-90%</v>
      </c>
      <c r="S327" t="s">
        <v>22</v>
      </c>
      <c r="T327">
        <v>3</v>
      </c>
      <c r="U327" t="s">
        <v>23</v>
      </c>
      <c r="V327">
        <v>3.25</v>
      </c>
      <c r="W327" s="4" t="str" cm="1">
        <f t="array" ref="W32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27" s="4" t="str" cm="1">
        <f t="array" ref="X327">_xlfn.IFS(stdsurvey[[#This Row],[daily_sleep_hours]]&lt;4,"&lt; 4 hrs",stdsurvey[[#This Row],[daily_sleep_hours]]&lt;=6,"4-6 hrs",stdsurvey[[#This Row],[daily_sleep_hours]]&lt;=8,"6-8 hrs",TRUE,"&gt; 8 hrs")</f>
        <v>6-8 hrs</v>
      </c>
      <c r="Y327" t="s">
        <v>20</v>
      </c>
    </row>
    <row r="328" spans="1:25" x14ac:dyDescent="0.3">
      <c r="A328" t="s">
        <v>362</v>
      </c>
      <c r="B328">
        <v>23</v>
      </c>
      <c r="C328" t="s">
        <v>27</v>
      </c>
      <c r="D328">
        <v>5</v>
      </c>
      <c r="E328" t="s">
        <v>32</v>
      </c>
      <c r="F328">
        <v>5.0999999999999996</v>
      </c>
      <c r="G328">
        <v>8</v>
      </c>
      <c r="H328">
        <v>0</v>
      </c>
      <c r="I328">
        <v>3</v>
      </c>
      <c r="J328">
        <v>3</v>
      </c>
      <c r="K328" s="4" t="str" cm="1">
        <f t="array" ref="K328">_xlfn.IFS(stdsurvey[[#This Row],[phq9_score]]="","Answer Not Provided",stdsurvey[[#This Row],[phq9_score]]&lt;=4,"Minimal",stdsurvey[[#This Row],[phq9_score]]&lt;=9,"Mild",stdsurvey[[#This Row],[phq9_score]]&lt;=14,"Moderate",stdsurvey[[#This Row],[phq9_score]]&lt;=19,"Moderately Severe",stdsurvey[[#This Row],[phq9_score]]&lt;=27,"Severe")</f>
        <v>Minimal</v>
      </c>
      <c r="L328">
        <v>13</v>
      </c>
      <c r="M328" s="4" t="str" cm="1">
        <f t="array" ref="M328">_xlfn.IFS(stdsurvey[[#This Row],[gad7_score]]="","Answer Not Provided",stdsurvey[[#This Row],[gad7_score]]&lt;=4,"Minimal",stdsurvey[[#This Row],[gad7_score]]&lt;=9,"Mild",stdsurvey[[#This Row],[gad7_score]]&lt;=14,"Moderate",stdsurvey[[#This Row],[gad7_score]]&lt;=21,"Severe")</f>
        <v>Minimal</v>
      </c>
      <c r="N328">
        <v>23.8</v>
      </c>
      <c r="O328" s="4" t="str" cm="1">
        <f t="array" ref="O328">_xlfn.IFS(stdsurvey[[#This Row],[perceived_stress_scale]]="","Answer Not Provided",stdsurvey[[#This Row],[perceived_stress_scale]]&lt;=13,"Low Stress",stdsurvey[[#This Row],[perceived_stress_scale]]&lt;=26,"Moderate Stress",stdsurvey[[#This Row],[perceived_stress_scale]]&lt;=40,"High Stress")</f>
        <v>Low Stress</v>
      </c>
      <c r="P328">
        <v>75.400000000000006</v>
      </c>
      <c r="Q328">
        <v>2</v>
      </c>
      <c r="R328" s="4" t="str" cm="1">
        <f t="array" ref="R328">_xlfn.IFS(stdsurvey[[#This Row],[class_attendance_percent]]&lt;60,"Less than 0%",stdsurvey[[#This Row],[class_attendance_percent]]&lt;70,"60-70 %",stdsurvey[[#This Row],[class_attendance_percent]]&lt;80, "70-80%",stdsurvey[[#This Row],[class_attendance_percent]]&lt;90,"80-90%",TRUE,"More than 90%")</f>
        <v>70-80%</v>
      </c>
      <c r="S328" t="s">
        <v>22</v>
      </c>
      <c r="T328">
        <v>3</v>
      </c>
      <c r="U328" t="s">
        <v>51</v>
      </c>
      <c r="V328">
        <v>3.55</v>
      </c>
      <c r="W328" s="4" t="str" cm="1">
        <f t="array" ref="W32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28" s="4" t="str" cm="1">
        <f t="array" ref="X328">_xlfn.IFS(stdsurvey[[#This Row],[daily_sleep_hours]]&lt;4,"&lt; 4 hrs",stdsurvey[[#This Row],[daily_sleep_hours]]&lt;=6,"4-6 hrs",stdsurvey[[#This Row],[daily_sleep_hours]]&lt;=8,"6-8 hrs",TRUE,"&gt; 8 hrs")</f>
        <v>4-6 hrs</v>
      </c>
      <c r="Y328" t="s">
        <v>27</v>
      </c>
    </row>
    <row r="329" spans="1:25" x14ac:dyDescent="0.3">
      <c r="A329" t="s">
        <v>363</v>
      </c>
      <c r="B329">
        <v>25</v>
      </c>
      <c r="C329" t="s">
        <v>45</v>
      </c>
      <c r="D329">
        <v>1</v>
      </c>
      <c r="E329" t="s">
        <v>21</v>
      </c>
      <c r="F329">
        <v>6.4</v>
      </c>
      <c r="G329">
        <v>4.5999999999999996</v>
      </c>
      <c r="H329">
        <v>4</v>
      </c>
      <c r="I329">
        <v>2</v>
      </c>
      <c r="J329">
        <v>4</v>
      </c>
      <c r="K329" s="4" t="str" cm="1">
        <f t="array" ref="K329">_xlfn.IFS(stdsurvey[[#This Row],[phq9_score]]="","Answer Not Provided",stdsurvey[[#This Row],[phq9_score]]&lt;=4,"Minimal",stdsurvey[[#This Row],[phq9_score]]&lt;=9,"Mild",stdsurvey[[#This Row],[phq9_score]]&lt;=14,"Moderate",stdsurvey[[#This Row],[phq9_score]]&lt;=19,"Moderately Severe",stdsurvey[[#This Row],[phq9_score]]&lt;=27,"Severe")</f>
        <v>Minimal</v>
      </c>
      <c r="L329">
        <v>8</v>
      </c>
      <c r="M329" s="4" t="str" cm="1">
        <f t="array" ref="M329">_xlfn.IFS(stdsurvey[[#This Row],[gad7_score]]="","Answer Not Provided",stdsurvey[[#This Row],[gad7_score]]&lt;=4,"Minimal",stdsurvey[[#This Row],[gad7_score]]&lt;=9,"Mild",stdsurvey[[#This Row],[gad7_score]]&lt;=14,"Moderate",stdsurvey[[#This Row],[gad7_score]]&lt;=21,"Severe")</f>
        <v>Minimal</v>
      </c>
      <c r="N329">
        <v>15.9</v>
      </c>
      <c r="O329" s="4" t="str" cm="1">
        <f t="array" ref="O329">_xlfn.IFS(stdsurvey[[#This Row],[perceived_stress_scale]]="","Answer Not Provided",stdsurvey[[#This Row],[perceived_stress_scale]]&lt;=13,"Low Stress",stdsurvey[[#This Row],[perceived_stress_scale]]&lt;=26,"Moderate Stress",stdsurvey[[#This Row],[perceived_stress_scale]]&lt;=40,"High Stress")</f>
        <v>Low Stress</v>
      </c>
      <c r="P329">
        <v>87.4</v>
      </c>
      <c r="Q329">
        <v>4</v>
      </c>
      <c r="R329" s="4" t="str" cm="1">
        <f t="array" ref="R329">_xlfn.IFS(stdsurvey[[#This Row],[class_attendance_percent]]&lt;60,"Less than 0%",stdsurvey[[#This Row],[class_attendance_percent]]&lt;70,"60-70 %",stdsurvey[[#This Row],[class_attendance_percent]]&lt;80, "70-80%",stdsurvey[[#This Row],[class_attendance_percent]]&lt;90,"80-90%",TRUE,"More than 90%")</f>
        <v>80-90%</v>
      </c>
      <c r="S329" t="s">
        <v>22</v>
      </c>
      <c r="T329">
        <v>4</v>
      </c>
      <c r="U329" t="s">
        <v>26</v>
      </c>
      <c r="V329">
        <v>3.45</v>
      </c>
      <c r="W329" s="4" t="str" cm="1">
        <f t="array" ref="W32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29" s="4" t="str" cm="1">
        <f t="array" ref="X329">_xlfn.IFS(stdsurvey[[#This Row],[daily_sleep_hours]]&lt;4,"&lt; 4 hrs",stdsurvey[[#This Row],[daily_sleep_hours]]&lt;=6,"4-6 hrs",stdsurvey[[#This Row],[daily_sleep_hours]]&lt;=8,"6-8 hrs",TRUE,"&gt; 8 hrs")</f>
        <v>6-8 hrs</v>
      </c>
      <c r="Y329" t="s">
        <v>20</v>
      </c>
    </row>
    <row r="330" spans="1:25" x14ac:dyDescent="0.3">
      <c r="A330" t="s">
        <v>364</v>
      </c>
      <c r="B330">
        <v>23</v>
      </c>
      <c r="C330" t="s">
        <v>45</v>
      </c>
      <c r="D330">
        <v>3</v>
      </c>
      <c r="E330" t="s">
        <v>21</v>
      </c>
      <c r="F330">
        <v>6.9</v>
      </c>
      <c r="G330">
        <v>1</v>
      </c>
      <c r="H330">
        <v>0</v>
      </c>
      <c r="I330">
        <v>11</v>
      </c>
      <c r="J330">
        <v>9</v>
      </c>
      <c r="K330" s="4" t="str" cm="1">
        <f t="array" ref="K330">_xlfn.IFS(stdsurvey[[#This Row],[phq9_score]]="","Answer Not Provided",stdsurvey[[#This Row],[phq9_score]]&lt;=4,"Minimal",stdsurvey[[#This Row],[phq9_score]]&lt;=9,"Mild",stdsurvey[[#This Row],[phq9_score]]&lt;=14,"Moderate",stdsurvey[[#This Row],[phq9_score]]&lt;=19,"Moderately Severe",stdsurvey[[#This Row],[phq9_score]]&lt;=27,"Severe")</f>
        <v>Moderate</v>
      </c>
      <c r="L330">
        <v>15</v>
      </c>
      <c r="M330" s="4" t="str" cm="1">
        <f t="array" ref="M330">_xlfn.IFS(stdsurvey[[#This Row],[gad7_score]]="","Answer Not Provided",stdsurvey[[#This Row],[gad7_score]]&lt;=4,"Minimal",stdsurvey[[#This Row],[gad7_score]]&lt;=9,"Mild",stdsurvey[[#This Row],[gad7_score]]&lt;=14,"Moderate",stdsurvey[[#This Row],[gad7_score]]&lt;=21,"Severe")</f>
        <v>Mild</v>
      </c>
      <c r="N330">
        <v>21.4</v>
      </c>
      <c r="O330" s="4" t="str" cm="1">
        <f t="array" ref="O330">_xlfn.IFS(stdsurvey[[#This Row],[perceived_stress_scale]]="","Answer Not Provided",stdsurvey[[#This Row],[perceived_stress_scale]]&lt;=13,"Low Stress",stdsurvey[[#This Row],[perceived_stress_scale]]&lt;=26,"Moderate Stress",stdsurvey[[#This Row],[perceived_stress_scale]]&lt;=40,"High Stress")</f>
        <v>Moderate Stress</v>
      </c>
      <c r="P330">
        <v>84.6</v>
      </c>
      <c r="Q330">
        <v>4</v>
      </c>
      <c r="R330" s="4" t="str" cm="1">
        <f t="array" ref="R330">_xlfn.IFS(stdsurvey[[#This Row],[class_attendance_percent]]&lt;60,"Less than 0%",stdsurvey[[#This Row],[class_attendance_percent]]&lt;70,"60-70 %",stdsurvey[[#This Row],[class_attendance_percent]]&lt;80, "70-80%",stdsurvey[[#This Row],[class_attendance_percent]]&lt;90,"80-90%",TRUE,"More than 90%")</f>
        <v>80-90%</v>
      </c>
      <c r="S330" t="s">
        <v>33</v>
      </c>
      <c r="T330">
        <v>1</v>
      </c>
      <c r="U330" t="s">
        <v>23</v>
      </c>
      <c r="V330">
        <v>3.01</v>
      </c>
      <c r="W330" s="4" t="str" cm="1">
        <f t="array" ref="W33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30" s="4" t="str" cm="1">
        <f t="array" ref="X330">_xlfn.IFS(stdsurvey[[#This Row],[daily_sleep_hours]]&lt;4,"&lt; 4 hrs",stdsurvey[[#This Row],[daily_sleep_hours]]&lt;=6,"4-6 hrs",stdsurvey[[#This Row],[daily_sleep_hours]]&lt;=8,"6-8 hrs",TRUE,"&gt; 8 hrs")</f>
        <v>6-8 hrs</v>
      </c>
      <c r="Y330" t="s">
        <v>20</v>
      </c>
    </row>
    <row r="331" spans="1:25" x14ac:dyDescent="0.3">
      <c r="A331" t="s">
        <v>365</v>
      </c>
      <c r="B331">
        <v>18</v>
      </c>
      <c r="C331" t="s">
        <v>39</v>
      </c>
      <c r="D331">
        <v>2</v>
      </c>
      <c r="E331" t="s">
        <v>30</v>
      </c>
      <c r="F331">
        <v>6.3</v>
      </c>
      <c r="G331">
        <v>2.8</v>
      </c>
      <c r="H331">
        <v>3</v>
      </c>
      <c r="I331">
        <v>3</v>
      </c>
      <c r="J331">
        <v>0</v>
      </c>
      <c r="K331" s="4" t="str" cm="1">
        <f t="array" ref="K331">_xlfn.IFS(stdsurvey[[#This Row],[phq9_score]]="","Answer Not Provided",stdsurvey[[#This Row],[phq9_score]]&lt;=4,"Minimal",stdsurvey[[#This Row],[phq9_score]]&lt;=9,"Mild",stdsurvey[[#This Row],[phq9_score]]&lt;=14,"Moderate",stdsurvey[[#This Row],[phq9_score]]&lt;=19,"Moderately Severe",stdsurvey[[#This Row],[phq9_score]]&lt;=27,"Severe")</f>
        <v>Minimal</v>
      </c>
      <c r="L331">
        <v>6</v>
      </c>
      <c r="M331" s="4" t="str" cm="1">
        <f t="array" ref="M331">_xlfn.IFS(stdsurvey[[#This Row],[gad7_score]]="","Answer Not Provided",stdsurvey[[#This Row],[gad7_score]]&lt;=4,"Minimal",stdsurvey[[#This Row],[gad7_score]]&lt;=9,"Mild",stdsurvey[[#This Row],[gad7_score]]&lt;=14,"Moderate",stdsurvey[[#This Row],[gad7_score]]&lt;=21,"Severe")</f>
        <v>Minimal</v>
      </c>
      <c r="N331">
        <v>30.1</v>
      </c>
      <c r="O331" s="4" t="str" cm="1">
        <f t="array" ref="O331">_xlfn.IFS(stdsurvey[[#This Row],[perceived_stress_scale]]="","Answer Not Provided",stdsurvey[[#This Row],[perceived_stress_scale]]&lt;=13,"Low Stress",stdsurvey[[#This Row],[perceived_stress_scale]]&lt;=26,"Moderate Stress",stdsurvey[[#This Row],[perceived_stress_scale]]&lt;=40,"High Stress")</f>
        <v>Low Stress</v>
      </c>
      <c r="P331">
        <v>73.400000000000006</v>
      </c>
      <c r="Q331">
        <v>3</v>
      </c>
      <c r="R331" s="4" t="str" cm="1">
        <f t="array" ref="R331">_xlfn.IFS(stdsurvey[[#This Row],[class_attendance_percent]]&lt;60,"Less than 0%",stdsurvey[[#This Row],[class_attendance_percent]]&lt;70,"60-70 %",stdsurvey[[#This Row],[class_attendance_percent]]&lt;80, "70-80%",stdsurvey[[#This Row],[class_attendance_percent]]&lt;90,"80-90%",TRUE,"More than 90%")</f>
        <v>70-80%</v>
      </c>
      <c r="S331" t="s">
        <v>22</v>
      </c>
      <c r="T331">
        <v>4</v>
      </c>
      <c r="U331" t="s">
        <v>26</v>
      </c>
      <c r="V331">
        <v>4</v>
      </c>
      <c r="W331" s="4" t="str" cm="1">
        <f t="array" ref="W33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31" s="4" t="str" cm="1">
        <f t="array" ref="X331">_xlfn.IFS(stdsurvey[[#This Row],[daily_sleep_hours]]&lt;4,"&lt; 4 hrs",stdsurvey[[#This Row],[daily_sleep_hours]]&lt;=6,"4-6 hrs",stdsurvey[[#This Row],[daily_sleep_hours]]&lt;=8,"6-8 hrs",TRUE,"&gt; 8 hrs")</f>
        <v>6-8 hrs</v>
      </c>
      <c r="Y331" t="s">
        <v>27</v>
      </c>
    </row>
    <row r="332" spans="1:25" x14ac:dyDescent="0.3">
      <c r="A332" t="s">
        <v>366</v>
      </c>
      <c r="B332">
        <v>21</v>
      </c>
      <c r="C332" t="s">
        <v>27</v>
      </c>
      <c r="D332">
        <v>4</v>
      </c>
      <c r="E332" t="s">
        <v>47</v>
      </c>
      <c r="F332">
        <v>7.3</v>
      </c>
      <c r="G332">
        <v>4.2</v>
      </c>
      <c r="H332">
        <v>1</v>
      </c>
      <c r="I332">
        <v>3</v>
      </c>
      <c r="J332">
        <v>1</v>
      </c>
      <c r="K332" s="4" t="str" cm="1">
        <f t="array" ref="K332">_xlfn.IFS(stdsurvey[[#This Row],[phq9_score]]="","Answer Not Provided",stdsurvey[[#This Row],[phq9_score]]&lt;=4,"Minimal",stdsurvey[[#This Row],[phq9_score]]&lt;=9,"Mild",stdsurvey[[#This Row],[phq9_score]]&lt;=14,"Moderate",stdsurvey[[#This Row],[phq9_score]]&lt;=19,"Moderately Severe",stdsurvey[[#This Row],[phq9_score]]&lt;=27,"Severe")</f>
        <v>Minimal</v>
      </c>
      <c r="L332">
        <v>4</v>
      </c>
      <c r="M332" s="4" t="str" cm="1">
        <f t="array" ref="M332">_xlfn.IFS(stdsurvey[[#This Row],[gad7_score]]="","Answer Not Provided",stdsurvey[[#This Row],[gad7_score]]&lt;=4,"Minimal",stdsurvey[[#This Row],[gad7_score]]&lt;=9,"Mild",stdsurvey[[#This Row],[gad7_score]]&lt;=14,"Moderate",stdsurvey[[#This Row],[gad7_score]]&lt;=21,"Severe")</f>
        <v>Minimal</v>
      </c>
      <c r="N332">
        <v>20</v>
      </c>
      <c r="O332" s="4" t="str" cm="1">
        <f t="array" ref="O332">_xlfn.IFS(stdsurvey[[#This Row],[perceived_stress_scale]]="","Answer Not Provided",stdsurvey[[#This Row],[perceived_stress_scale]]&lt;=13,"Low Stress",stdsurvey[[#This Row],[perceived_stress_scale]]&lt;=26,"Moderate Stress",stdsurvey[[#This Row],[perceived_stress_scale]]&lt;=40,"High Stress")</f>
        <v>Low Stress</v>
      </c>
      <c r="P332">
        <v>81.7</v>
      </c>
      <c r="Q332">
        <v>3</v>
      </c>
      <c r="R332" s="4" t="str" cm="1">
        <f t="array" ref="R332">_xlfn.IFS(stdsurvey[[#This Row],[class_attendance_percent]]&lt;60,"Less than 0%",stdsurvey[[#This Row],[class_attendance_percent]]&lt;70,"60-70 %",stdsurvey[[#This Row],[class_attendance_percent]]&lt;80, "70-80%",stdsurvey[[#This Row],[class_attendance_percent]]&lt;90,"80-90%",TRUE,"More than 90%")</f>
        <v>80-90%</v>
      </c>
      <c r="S332" t="s">
        <v>33</v>
      </c>
      <c r="T332">
        <v>2</v>
      </c>
      <c r="U332" t="s">
        <v>26</v>
      </c>
      <c r="V332">
        <v>2.93</v>
      </c>
      <c r="W332" s="4" t="str" cm="1">
        <f t="array" ref="W33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32" s="4" t="str" cm="1">
        <f t="array" ref="X332">_xlfn.IFS(stdsurvey[[#This Row],[daily_sleep_hours]]&lt;4,"&lt; 4 hrs",stdsurvey[[#This Row],[daily_sleep_hours]]&lt;=6,"4-6 hrs",stdsurvey[[#This Row],[daily_sleep_hours]]&lt;=8,"6-8 hrs",TRUE,"&gt; 8 hrs")</f>
        <v>6-8 hrs</v>
      </c>
      <c r="Y332" t="s">
        <v>27</v>
      </c>
    </row>
    <row r="333" spans="1:25" x14ac:dyDescent="0.3">
      <c r="A333" t="s">
        <v>367</v>
      </c>
      <c r="B333">
        <v>19</v>
      </c>
      <c r="C333" t="s">
        <v>27</v>
      </c>
      <c r="D333">
        <v>1</v>
      </c>
      <c r="E333" t="s">
        <v>35</v>
      </c>
      <c r="F333">
        <v>5.2</v>
      </c>
      <c r="G333">
        <v>1.5</v>
      </c>
      <c r="H333">
        <v>4</v>
      </c>
      <c r="I333">
        <v>3</v>
      </c>
      <c r="J333">
        <v>2</v>
      </c>
      <c r="K333" s="4" t="str" cm="1">
        <f t="array" ref="K333">_xlfn.IFS(stdsurvey[[#This Row],[phq9_score]]="","Answer Not Provided",stdsurvey[[#This Row],[phq9_score]]&lt;=4,"Minimal",stdsurvey[[#This Row],[phq9_score]]&lt;=9,"Mild",stdsurvey[[#This Row],[phq9_score]]&lt;=14,"Moderate",stdsurvey[[#This Row],[phq9_score]]&lt;=19,"Moderately Severe",stdsurvey[[#This Row],[phq9_score]]&lt;=27,"Severe")</f>
        <v>Minimal</v>
      </c>
      <c r="L333">
        <v>10</v>
      </c>
      <c r="M333" s="4" t="str" cm="1">
        <f t="array" ref="M333">_xlfn.IFS(stdsurvey[[#This Row],[gad7_score]]="","Answer Not Provided",stdsurvey[[#This Row],[gad7_score]]&lt;=4,"Minimal",stdsurvey[[#This Row],[gad7_score]]&lt;=9,"Mild",stdsurvey[[#This Row],[gad7_score]]&lt;=14,"Moderate",stdsurvey[[#This Row],[gad7_score]]&lt;=21,"Severe")</f>
        <v>Minimal</v>
      </c>
      <c r="N333">
        <v>15.9</v>
      </c>
      <c r="O333" s="4" t="str" cm="1">
        <f t="array" ref="O333">_xlfn.IFS(stdsurvey[[#This Row],[perceived_stress_scale]]="","Answer Not Provided",stdsurvey[[#This Row],[perceived_stress_scale]]&lt;=13,"Low Stress",stdsurvey[[#This Row],[perceived_stress_scale]]&lt;=26,"Moderate Stress",stdsurvey[[#This Row],[perceived_stress_scale]]&lt;=40,"High Stress")</f>
        <v>Low Stress</v>
      </c>
      <c r="P333">
        <v>93.5</v>
      </c>
      <c r="Q333">
        <v>2</v>
      </c>
      <c r="R333" s="4" t="str" cm="1">
        <f t="array" ref="R333">_xlfn.IFS(stdsurvey[[#This Row],[class_attendance_percent]]&lt;60,"Less than 0%",stdsurvey[[#This Row],[class_attendance_percent]]&lt;70,"60-70 %",stdsurvey[[#This Row],[class_attendance_percent]]&lt;80, "70-80%",stdsurvey[[#This Row],[class_attendance_percent]]&lt;90,"80-90%",TRUE,"More than 90%")</f>
        <v>More than 90%</v>
      </c>
      <c r="S333" t="s">
        <v>22</v>
      </c>
      <c r="T333">
        <v>4</v>
      </c>
      <c r="U333" t="s">
        <v>26</v>
      </c>
      <c r="V333">
        <v>3.33</v>
      </c>
      <c r="W333" s="4" t="str" cm="1">
        <f t="array" ref="W33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33" s="4" t="str" cm="1">
        <f t="array" ref="X333">_xlfn.IFS(stdsurvey[[#This Row],[daily_sleep_hours]]&lt;4,"&lt; 4 hrs",stdsurvey[[#This Row],[daily_sleep_hours]]&lt;=6,"4-6 hrs",stdsurvey[[#This Row],[daily_sleep_hours]]&lt;=8,"6-8 hrs",TRUE,"&gt; 8 hrs")</f>
        <v>4-6 hrs</v>
      </c>
      <c r="Y333" t="s">
        <v>27</v>
      </c>
    </row>
    <row r="334" spans="1:25" x14ac:dyDescent="0.3">
      <c r="A334" t="s">
        <v>368</v>
      </c>
      <c r="B334">
        <v>20</v>
      </c>
      <c r="C334" t="s">
        <v>39</v>
      </c>
      <c r="D334">
        <v>5</v>
      </c>
      <c r="E334" t="s">
        <v>30</v>
      </c>
      <c r="F334">
        <v>6.1</v>
      </c>
      <c r="G334">
        <v>1.3</v>
      </c>
      <c r="H334">
        <v>4</v>
      </c>
      <c r="I334">
        <v>16</v>
      </c>
      <c r="J334">
        <v>11</v>
      </c>
      <c r="K334" s="4" t="str" cm="1">
        <f t="array" ref="K334">_xlfn.IFS(stdsurvey[[#This Row],[phq9_score]]="","Answer Not Provided",stdsurvey[[#This Row],[phq9_score]]&lt;=4,"Minimal",stdsurvey[[#This Row],[phq9_score]]&lt;=9,"Mild",stdsurvey[[#This Row],[phq9_score]]&lt;=14,"Moderate",stdsurvey[[#This Row],[phq9_score]]&lt;=19,"Moderately Severe",stdsurvey[[#This Row],[phq9_score]]&lt;=27,"Severe")</f>
        <v>Moderately Severe</v>
      </c>
      <c r="L334">
        <v>18</v>
      </c>
      <c r="M334" s="4" t="str" cm="1">
        <f t="array" ref="M334">_xlfn.IFS(stdsurvey[[#This Row],[gad7_score]]="","Answer Not Provided",stdsurvey[[#This Row],[gad7_score]]&lt;=4,"Minimal",stdsurvey[[#This Row],[gad7_score]]&lt;=9,"Mild",stdsurvey[[#This Row],[gad7_score]]&lt;=14,"Moderate",stdsurvey[[#This Row],[gad7_score]]&lt;=21,"Severe")</f>
        <v>Moderate</v>
      </c>
      <c r="N334">
        <v>32.1</v>
      </c>
      <c r="O334" s="4" t="str" cm="1">
        <f t="array" ref="O334">_xlfn.IFS(stdsurvey[[#This Row],[perceived_stress_scale]]="","Answer Not Provided",stdsurvey[[#This Row],[perceived_stress_scale]]&lt;=13,"Low Stress",stdsurvey[[#This Row],[perceived_stress_scale]]&lt;=26,"Moderate Stress",stdsurvey[[#This Row],[perceived_stress_scale]]&lt;=40,"High Stress")</f>
        <v>Moderate Stress</v>
      </c>
      <c r="P334">
        <v>65.400000000000006</v>
      </c>
      <c r="Q334">
        <v>3</v>
      </c>
      <c r="R334" s="4" t="str" cm="1">
        <f t="array" ref="R334">_xlfn.IFS(stdsurvey[[#This Row],[class_attendance_percent]]&lt;60,"Less than 0%",stdsurvey[[#This Row],[class_attendance_percent]]&lt;70,"60-70 %",stdsurvey[[#This Row],[class_attendance_percent]]&lt;80, "70-80%",stdsurvey[[#This Row],[class_attendance_percent]]&lt;90,"80-90%",TRUE,"More than 90%")</f>
        <v>60-70 %</v>
      </c>
      <c r="S334" t="s">
        <v>22</v>
      </c>
      <c r="T334">
        <v>4</v>
      </c>
      <c r="U334" t="s">
        <v>26</v>
      </c>
      <c r="V334">
        <v>2.62</v>
      </c>
      <c r="W334" s="4" t="str" cm="1">
        <f t="array" ref="W33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34" s="4" t="str" cm="1">
        <f t="array" ref="X334">_xlfn.IFS(stdsurvey[[#This Row],[daily_sleep_hours]]&lt;4,"&lt; 4 hrs",stdsurvey[[#This Row],[daily_sleep_hours]]&lt;=6,"4-6 hrs",stdsurvey[[#This Row],[daily_sleep_hours]]&lt;=8,"6-8 hrs",TRUE,"&gt; 8 hrs")</f>
        <v>6-8 hrs</v>
      </c>
      <c r="Y334" t="s">
        <v>27</v>
      </c>
    </row>
    <row r="335" spans="1:25" x14ac:dyDescent="0.3">
      <c r="A335" t="s">
        <v>369</v>
      </c>
      <c r="B335">
        <v>25</v>
      </c>
      <c r="C335" t="s">
        <v>27</v>
      </c>
      <c r="D335">
        <v>4</v>
      </c>
      <c r="E335" t="s">
        <v>30</v>
      </c>
      <c r="F335">
        <v>6.3</v>
      </c>
      <c r="G335">
        <v>10.5</v>
      </c>
      <c r="H335">
        <v>4</v>
      </c>
      <c r="I335">
        <v>5</v>
      </c>
      <c r="J335">
        <v>6</v>
      </c>
      <c r="K335" s="4" t="str" cm="1">
        <f t="array" ref="K335">_xlfn.IFS(stdsurvey[[#This Row],[phq9_score]]="","Answer Not Provided",stdsurvey[[#This Row],[phq9_score]]&lt;=4,"Minimal",stdsurvey[[#This Row],[phq9_score]]&lt;=9,"Mild",stdsurvey[[#This Row],[phq9_score]]&lt;=14,"Moderate",stdsurvey[[#This Row],[phq9_score]]&lt;=19,"Moderately Severe",stdsurvey[[#This Row],[phq9_score]]&lt;=27,"Severe")</f>
        <v>Mild</v>
      </c>
      <c r="L335">
        <v>14</v>
      </c>
      <c r="M335" s="4" t="str" cm="1">
        <f t="array" ref="M335">_xlfn.IFS(stdsurvey[[#This Row],[gad7_score]]="","Answer Not Provided",stdsurvey[[#This Row],[gad7_score]]&lt;=4,"Minimal",stdsurvey[[#This Row],[gad7_score]]&lt;=9,"Mild",stdsurvey[[#This Row],[gad7_score]]&lt;=14,"Moderate",stdsurvey[[#This Row],[gad7_score]]&lt;=21,"Severe")</f>
        <v>Mild</v>
      </c>
      <c r="N335">
        <v>18.100000000000001</v>
      </c>
      <c r="O335" s="4" t="str" cm="1">
        <f t="array" ref="O335">_xlfn.IFS(stdsurvey[[#This Row],[perceived_stress_scale]]="","Answer Not Provided",stdsurvey[[#This Row],[perceived_stress_scale]]&lt;=13,"Low Stress",stdsurvey[[#This Row],[perceived_stress_scale]]&lt;=26,"Moderate Stress",stdsurvey[[#This Row],[perceived_stress_scale]]&lt;=40,"High Stress")</f>
        <v>Moderate Stress</v>
      </c>
      <c r="P335">
        <v>100</v>
      </c>
      <c r="Q335">
        <v>1</v>
      </c>
      <c r="R335" s="4" t="str" cm="1">
        <f t="array" ref="R335">_xlfn.IFS(stdsurvey[[#This Row],[class_attendance_percent]]&lt;60,"Less than 0%",stdsurvey[[#This Row],[class_attendance_percent]]&lt;70,"60-70 %",stdsurvey[[#This Row],[class_attendance_percent]]&lt;80, "70-80%",stdsurvey[[#This Row],[class_attendance_percent]]&lt;90,"80-90%",TRUE,"More than 90%")</f>
        <v>More than 90%</v>
      </c>
      <c r="S335" t="s">
        <v>33</v>
      </c>
      <c r="T335">
        <v>2</v>
      </c>
      <c r="U335" t="s">
        <v>26</v>
      </c>
      <c r="V335">
        <v>3.16</v>
      </c>
      <c r="W335" s="4" t="str" cm="1">
        <f t="array" ref="W33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35" s="4" t="str" cm="1">
        <f t="array" ref="X335">_xlfn.IFS(stdsurvey[[#This Row],[daily_sleep_hours]]&lt;4,"&lt; 4 hrs",stdsurvey[[#This Row],[daily_sleep_hours]]&lt;=6,"4-6 hrs",stdsurvey[[#This Row],[daily_sleep_hours]]&lt;=8,"6-8 hrs",TRUE,"&gt; 8 hrs")</f>
        <v>6-8 hrs</v>
      </c>
      <c r="Y335" t="s">
        <v>27</v>
      </c>
    </row>
    <row r="336" spans="1:25" x14ac:dyDescent="0.3">
      <c r="A336" t="s">
        <v>370</v>
      </c>
      <c r="B336">
        <v>23</v>
      </c>
      <c r="C336" t="s">
        <v>102</v>
      </c>
      <c r="D336">
        <v>1</v>
      </c>
      <c r="E336" t="s">
        <v>35</v>
      </c>
      <c r="F336">
        <v>4.9000000000000004</v>
      </c>
      <c r="G336">
        <v>7.4</v>
      </c>
      <c r="H336">
        <v>0</v>
      </c>
      <c r="I336">
        <v>0</v>
      </c>
      <c r="J336">
        <v>2</v>
      </c>
      <c r="K336" s="4" t="str" cm="1">
        <f t="array" ref="K336">_xlfn.IFS(stdsurvey[[#This Row],[phq9_score]]="","Answer Not Provided",stdsurvey[[#This Row],[phq9_score]]&lt;=4,"Minimal",stdsurvey[[#This Row],[phq9_score]]&lt;=9,"Mild",stdsurvey[[#This Row],[phq9_score]]&lt;=14,"Moderate",stdsurvey[[#This Row],[phq9_score]]&lt;=19,"Moderately Severe",stdsurvey[[#This Row],[phq9_score]]&lt;=27,"Severe")</f>
        <v>Minimal</v>
      </c>
      <c r="L336">
        <v>2</v>
      </c>
      <c r="M336" s="4" t="str" cm="1">
        <f t="array" ref="M336">_xlfn.IFS(stdsurvey[[#This Row],[gad7_score]]="","Answer Not Provided",stdsurvey[[#This Row],[gad7_score]]&lt;=4,"Minimal",stdsurvey[[#This Row],[gad7_score]]&lt;=9,"Mild",stdsurvey[[#This Row],[gad7_score]]&lt;=14,"Moderate",stdsurvey[[#This Row],[gad7_score]]&lt;=21,"Severe")</f>
        <v>Minimal</v>
      </c>
      <c r="N336">
        <v>25.7</v>
      </c>
      <c r="O336" s="4" t="str" cm="1">
        <f t="array" ref="O336">_xlfn.IFS(stdsurvey[[#This Row],[perceived_stress_scale]]="","Answer Not Provided",stdsurvey[[#This Row],[perceived_stress_scale]]&lt;=13,"Low Stress",stdsurvey[[#This Row],[perceived_stress_scale]]&lt;=26,"Moderate Stress",stdsurvey[[#This Row],[perceived_stress_scale]]&lt;=40,"High Stress")</f>
        <v>Low Stress</v>
      </c>
      <c r="P336">
        <v>64.3</v>
      </c>
      <c r="Q336">
        <v>5</v>
      </c>
      <c r="R336" s="4" t="str" cm="1">
        <f t="array" ref="R336">_xlfn.IFS(stdsurvey[[#This Row],[class_attendance_percent]]&lt;60,"Less than 0%",stdsurvey[[#This Row],[class_attendance_percent]]&lt;70,"60-70 %",stdsurvey[[#This Row],[class_attendance_percent]]&lt;80, "70-80%",stdsurvey[[#This Row],[class_attendance_percent]]&lt;90,"80-90%",TRUE,"More than 90%")</f>
        <v>60-70 %</v>
      </c>
      <c r="S336" t="s">
        <v>22</v>
      </c>
      <c r="T336">
        <v>3</v>
      </c>
      <c r="U336" t="s">
        <v>23</v>
      </c>
      <c r="V336">
        <v>2.63</v>
      </c>
      <c r="W336" s="4" t="str" cm="1">
        <f t="array" ref="W33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36" s="4" t="str" cm="1">
        <f t="array" ref="X336">_xlfn.IFS(stdsurvey[[#This Row],[daily_sleep_hours]]&lt;4,"&lt; 4 hrs",stdsurvey[[#This Row],[daily_sleep_hours]]&lt;=6,"4-6 hrs",stdsurvey[[#This Row],[daily_sleep_hours]]&lt;=8,"6-8 hrs",TRUE,"&gt; 8 hrs")</f>
        <v>4-6 hrs</v>
      </c>
      <c r="Y336" t="s">
        <v>20</v>
      </c>
    </row>
    <row r="337" spans="1:25" x14ac:dyDescent="0.3">
      <c r="A337" t="s">
        <v>371</v>
      </c>
      <c r="B337">
        <v>20</v>
      </c>
      <c r="C337" t="s">
        <v>20</v>
      </c>
      <c r="D337">
        <v>1</v>
      </c>
      <c r="E337" t="s">
        <v>32</v>
      </c>
      <c r="F337">
        <v>4.3</v>
      </c>
      <c r="G337">
        <v>6.1</v>
      </c>
      <c r="H337">
        <v>4</v>
      </c>
      <c r="I337">
        <v>6</v>
      </c>
      <c r="J337">
        <v>8</v>
      </c>
      <c r="K337" s="4" t="str" cm="1">
        <f t="array" ref="K337">_xlfn.IFS(stdsurvey[[#This Row],[phq9_score]]="","Answer Not Provided",stdsurvey[[#This Row],[phq9_score]]&lt;=4,"Minimal",stdsurvey[[#This Row],[phq9_score]]&lt;=9,"Mild",stdsurvey[[#This Row],[phq9_score]]&lt;=14,"Moderate",stdsurvey[[#This Row],[phq9_score]]&lt;=19,"Moderately Severe",stdsurvey[[#This Row],[phq9_score]]&lt;=27,"Severe")</f>
        <v>Mild</v>
      </c>
      <c r="L337">
        <v>13</v>
      </c>
      <c r="M337" s="4" t="str" cm="1">
        <f t="array" ref="M337">_xlfn.IFS(stdsurvey[[#This Row],[gad7_score]]="","Answer Not Provided",stdsurvey[[#This Row],[gad7_score]]&lt;=4,"Minimal",stdsurvey[[#This Row],[gad7_score]]&lt;=9,"Mild",stdsurvey[[#This Row],[gad7_score]]&lt;=14,"Moderate",stdsurvey[[#This Row],[gad7_score]]&lt;=21,"Severe")</f>
        <v>Mild</v>
      </c>
      <c r="N337">
        <v>18.5</v>
      </c>
      <c r="O337" s="4" t="str" cm="1">
        <f t="array" ref="O337">_xlfn.IFS(stdsurvey[[#This Row],[perceived_stress_scale]]="","Answer Not Provided",stdsurvey[[#This Row],[perceived_stress_scale]]&lt;=13,"Low Stress",stdsurvey[[#This Row],[perceived_stress_scale]]&lt;=26,"Moderate Stress",stdsurvey[[#This Row],[perceived_stress_scale]]&lt;=40,"High Stress")</f>
        <v>Low Stress</v>
      </c>
      <c r="P337">
        <v>76.900000000000006</v>
      </c>
      <c r="R337" s="4" t="str" cm="1">
        <f t="array" ref="R337">_xlfn.IFS(stdsurvey[[#This Row],[class_attendance_percent]]&lt;60,"Less than 0%",stdsurvey[[#This Row],[class_attendance_percent]]&lt;70,"60-70 %",stdsurvey[[#This Row],[class_attendance_percent]]&lt;80, "70-80%",stdsurvey[[#This Row],[class_attendance_percent]]&lt;90,"80-90%",TRUE,"More than 90%")</f>
        <v>70-80%</v>
      </c>
      <c r="S337" t="s">
        <v>22</v>
      </c>
      <c r="T337">
        <v>4</v>
      </c>
      <c r="U337" t="s">
        <v>26</v>
      </c>
      <c r="V337">
        <v>2.93</v>
      </c>
      <c r="W337" s="4" t="str" cm="1">
        <f t="array" ref="W33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37" s="4" t="str" cm="1">
        <f t="array" ref="X337">_xlfn.IFS(stdsurvey[[#This Row],[daily_sleep_hours]]&lt;4,"&lt; 4 hrs",stdsurvey[[#This Row],[daily_sleep_hours]]&lt;=6,"4-6 hrs",stdsurvey[[#This Row],[daily_sleep_hours]]&lt;=8,"6-8 hrs",TRUE,"&gt; 8 hrs")</f>
        <v>4-6 hrs</v>
      </c>
      <c r="Y337" t="s">
        <v>20</v>
      </c>
    </row>
    <row r="338" spans="1:25" x14ac:dyDescent="0.3">
      <c r="A338" t="s">
        <v>372</v>
      </c>
      <c r="B338">
        <v>19</v>
      </c>
      <c r="C338" t="s">
        <v>39</v>
      </c>
      <c r="D338">
        <v>4</v>
      </c>
      <c r="E338" t="s">
        <v>30</v>
      </c>
      <c r="F338">
        <v>7.1</v>
      </c>
      <c r="G338">
        <v>6.9</v>
      </c>
      <c r="H338">
        <v>7</v>
      </c>
      <c r="I338">
        <v>6</v>
      </c>
      <c r="J338">
        <v>7</v>
      </c>
      <c r="K338" s="4" t="str" cm="1">
        <f t="array" ref="K338">_xlfn.IFS(stdsurvey[[#This Row],[phq9_score]]="","Answer Not Provided",stdsurvey[[#This Row],[phq9_score]]&lt;=4,"Minimal",stdsurvey[[#This Row],[phq9_score]]&lt;=9,"Mild",stdsurvey[[#This Row],[phq9_score]]&lt;=14,"Moderate",stdsurvey[[#This Row],[phq9_score]]&lt;=19,"Moderately Severe",stdsurvey[[#This Row],[phq9_score]]&lt;=27,"Severe")</f>
        <v>Mild</v>
      </c>
      <c r="L338">
        <v>15</v>
      </c>
      <c r="M338" s="4" t="str" cm="1">
        <f t="array" ref="M338">_xlfn.IFS(stdsurvey[[#This Row],[gad7_score]]="","Answer Not Provided",stdsurvey[[#This Row],[gad7_score]]&lt;=4,"Minimal",stdsurvey[[#This Row],[gad7_score]]&lt;=9,"Mild",stdsurvey[[#This Row],[gad7_score]]&lt;=14,"Moderate",stdsurvey[[#This Row],[gad7_score]]&lt;=21,"Severe")</f>
        <v>Mild</v>
      </c>
      <c r="N338">
        <v>13.9</v>
      </c>
      <c r="O338" s="4" t="str" cm="1">
        <f t="array" ref="O338">_xlfn.IFS(stdsurvey[[#This Row],[perceived_stress_scale]]="","Answer Not Provided",stdsurvey[[#This Row],[perceived_stress_scale]]&lt;=13,"Low Stress",stdsurvey[[#This Row],[perceived_stress_scale]]&lt;=26,"Moderate Stress",stdsurvey[[#This Row],[perceived_stress_scale]]&lt;=40,"High Stress")</f>
        <v>Moderate Stress</v>
      </c>
      <c r="P338">
        <v>68.5</v>
      </c>
      <c r="Q338">
        <v>3</v>
      </c>
      <c r="R338" s="4" t="str" cm="1">
        <f t="array" ref="R338">_xlfn.IFS(stdsurvey[[#This Row],[class_attendance_percent]]&lt;60,"Less than 0%",stdsurvey[[#This Row],[class_attendance_percent]]&lt;70,"60-70 %",stdsurvey[[#This Row],[class_attendance_percent]]&lt;80, "70-80%",stdsurvey[[#This Row],[class_attendance_percent]]&lt;90,"80-90%",TRUE,"More than 90%")</f>
        <v>60-70 %</v>
      </c>
      <c r="S338" t="s">
        <v>33</v>
      </c>
      <c r="T338">
        <v>3</v>
      </c>
      <c r="U338" t="s">
        <v>26</v>
      </c>
      <c r="V338">
        <v>2.89</v>
      </c>
      <c r="W338" s="4" t="str" cm="1">
        <f t="array" ref="W33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38" s="4" t="str" cm="1">
        <f t="array" ref="X338">_xlfn.IFS(stdsurvey[[#This Row],[daily_sleep_hours]]&lt;4,"&lt; 4 hrs",stdsurvey[[#This Row],[daily_sleep_hours]]&lt;=6,"4-6 hrs",stdsurvey[[#This Row],[daily_sleep_hours]]&lt;=8,"6-8 hrs",TRUE,"&gt; 8 hrs")</f>
        <v>6-8 hrs</v>
      </c>
      <c r="Y338" t="s">
        <v>27</v>
      </c>
    </row>
    <row r="339" spans="1:25" x14ac:dyDescent="0.3">
      <c r="A339" t="s">
        <v>373</v>
      </c>
      <c r="B339">
        <v>22</v>
      </c>
      <c r="C339" t="s">
        <v>45</v>
      </c>
      <c r="D339">
        <v>1</v>
      </c>
      <c r="E339" t="s">
        <v>30</v>
      </c>
      <c r="F339">
        <v>7.9</v>
      </c>
      <c r="G339">
        <v>1.8</v>
      </c>
      <c r="H339">
        <v>1</v>
      </c>
      <c r="K339" s="4" t="str" cm="1">
        <f t="array" ref="K339">_xlfn.IFS(stdsurvey[[#This Row],[phq9_score]]="","Answer Not Provided",stdsurvey[[#This Row],[phq9_score]]&lt;=4,"Minimal",stdsurvey[[#This Row],[phq9_score]]&lt;=9,"Mild",stdsurvey[[#This Row],[phq9_score]]&lt;=14,"Moderate",stdsurvey[[#This Row],[phq9_score]]&lt;=19,"Moderately Severe",stdsurvey[[#This Row],[phq9_score]]&lt;=27,"Severe")</f>
        <v>Answer Not Provided</v>
      </c>
      <c r="L339">
        <v>2</v>
      </c>
      <c r="M339" s="4" t="str" cm="1">
        <f t="array" ref="M339">_xlfn.IFS(stdsurvey[[#This Row],[gad7_score]]="","Answer Not Provided",stdsurvey[[#This Row],[gad7_score]]&lt;=4,"Minimal",stdsurvey[[#This Row],[gad7_score]]&lt;=9,"Mild",stdsurvey[[#This Row],[gad7_score]]&lt;=14,"Moderate",stdsurvey[[#This Row],[gad7_score]]&lt;=21,"Severe")</f>
        <v>Answer Not Provided</v>
      </c>
      <c r="N339">
        <v>17.5</v>
      </c>
      <c r="O339" s="4" t="str" cm="1">
        <f t="array" ref="O339">_xlfn.IFS(stdsurvey[[#This Row],[perceived_stress_scale]]="","Answer Not Provided",stdsurvey[[#This Row],[perceived_stress_scale]]&lt;=13,"Low Stress",stdsurvey[[#This Row],[perceived_stress_scale]]&lt;=26,"Moderate Stress",stdsurvey[[#This Row],[perceived_stress_scale]]&lt;=40,"High Stress")</f>
        <v>Low Stress</v>
      </c>
      <c r="P339">
        <v>100</v>
      </c>
      <c r="Q339">
        <v>1</v>
      </c>
      <c r="R339" s="4" t="str" cm="1">
        <f t="array" ref="R339">_xlfn.IFS(stdsurvey[[#This Row],[class_attendance_percent]]&lt;60,"Less than 0%",stdsurvey[[#This Row],[class_attendance_percent]]&lt;70,"60-70 %",stdsurvey[[#This Row],[class_attendance_percent]]&lt;80, "70-80%",stdsurvey[[#This Row],[class_attendance_percent]]&lt;90,"80-90%",TRUE,"More than 90%")</f>
        <v>More than 90%</v>
      </c>
      <c r="S339" t="s">
        <v>22</v>
      </c>
      <c r="T339">
        <v>1</v>
      </c>
      <c r="U339" t="s">
        <v>23</v>
      </c>
      <c r="V339">
        <v>3.26</v>
      </c>
      <c r="W339" s="4" t="str" cm="1">
        <f t="array" ref="W33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39" s="4" t="str" cm="1">
        <f t="array" ref="X339">_xlfn.IFS(stdsurvey[[#This Row],[daily_sleep_hours]]&lt;4,"&lt; 4 hrs",stdsurvey[[#This Row],[daily_sleep_hours]]&lt;=6,"4-6 hrs",stdsurvey[[#This Row],[daily_sleep_hours]]&lt;=8,"6-8 hrs",TRUE,"&gt; 8 hrs")</f>
        <v>6-8 hrs</v>
      </c>
      <c r="Y339" t="s">
        <v>20</v>
      </c>
    </row>
    <row r="340" spans="1:25" x14ac:dyDescent="0.3">
      <c r="A340" t="s">
        <v>374</v>
      </c>
      <c r="B340">
        <v>19</v>
      </c>
      <c r="C340" t="s">
        <v>20</v>
      </c>
      <c r="D340">
        <v>3</v>
      </c>
      <c r="E340" t="s">
        <v>49</v>
      </c>
      <c r="F340">
        <v>6.9</v>
      </c>
      <c r="G340">
        <v>2.2999999999999998</v>
      </c>
      <c r="H340">
        <v>2</v>
      </c>
      <c r="I340">
        <v>10</v>
      </c>
      <c r="J340">
        <v>10</v>
      </c>
      <c r="K340" s="4" t="str" cm="1">
        <f t="array" ref="K340">_xlfn.IFS(stdsurvey[[#This Row],[phq9_score]]="","Answer Not Provided",stdsurvey[[#This Row],[phq9_score]]&lt;=4,"Minimal",stdsurvey[[#This Row],[phq9_score]]&lt;=9,"Mild",stdsurvey[[#This Row],[phq9_score]]&lt;=14,"Moderate",stdsurvey[[#This Row],[phq9_score]]&lt;=19,"Moderately Severe",stdsurvey[[#This Row],[phq9_score]]&lt;=27,"Severe")</f>
        <v>Moderate</v>
      </c>
      <c r="L340">
        <v>22</v>
      </c>
      <c r="M340" s="4" t="str" cm="1">
        <f t="array" ref="M340">_xlfn.IFS(stdsurvey[[#This Row],[gad7_score]]="","Answer Not Provided",stdsurvey[[#This Row],[gad7_score]]&lt;=4,"Minimal",stdsurvey[[#This Row],[gad7_score]]&lt;=9,"Mild",stdsurvey[[#This Row],[gad7_score]]&lt;=14,"Moderate",stdsurvey[[#This Row],[gad7_score]]&lt;=21,"Severe")</f>
        <v>Moderate</v>
      </c>
      <c r="N340">
        <v>11.6</v>
      </c>
      <c r="O340" s="4" t="str" cm="1">
        <f t="array" ref="O340">_xlfn.IFS(stdsurvey[[#This Row],[perceived_stress_scale]]="","Answer Not Provided",stdsurvey[[#This Row],[perceived_stress_scale]]&lt;=13,"Low Stress",stdsurvey[[#This Row],[perceived_stress_scale]]&lt;=26,"Moderate Stress",stdsurvey[[#This Row],[perceived_stress_scale]]&lt;=40,"High Stress")</f>
        <v>Moderate Stress</v>
      </c>
      <c r="P340">
        <v>67.8</v>
      </c>
      <c r="Q340">
        <v>4</v>
      </c>
      <c r="R340" s="4" t="str" cm="1">
        <f t="array" ref="R340">_xlfn.IFS(stdsurvey[[#This Row],[class_attendance_percent]]&lt;60,"Less than 0%",stdsurvey[[#This Row],[class_attendance_percent]]&lt;70,"60-70 %",stdsurvey[[#This Row],[class_attendance_percent]]&lt;80, "70-80%",stdsurvey[[#This Row],[class_attendance_percent]]&lt;90,"80-90%",TRUE,"More than 90%")</f>
        <v>60-70 %</v>
      </c>
      <c r="S340" t="s">
        <v>22</v>
      </c>
      <c r="T340">
        <v>3</v>
      </c>
      <c r="U340" t="s">
        <v>26</v>
      </c>
      <c r="V340">
        <v>3.1</v>
      </c>
      <c r="W340" s="4" t="str" cm="1">
        <f t="array" ref="W34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40" s="4" t="str" cm="1">
        <f t="array" ref="X340">_xlfn.IFS(stdsurvey[[#This Row],[daily_sleep_hours]]&lt;4,"&lt; 4 hrs",stdsurvey[[#This Row],[daily_sleep_hours]]&lt;=6,"4-6 hrs",stdsurvey[[#This Row],[daily_sleep_hours]]&lt;=8,"6-8 hrs",TRUE,"&gt; 8 hrs")</f>
        <v>6-8 hrs</v>
      </c>
      <c r="Y340" t="s">
        <v>20</v>
      </c>
    </row>
    <row r="341" spans="1:25" x14ac:dyDescent="0.3">
      <c r="A341" t="s">
        <v>375</v>
      </c>
      <c r="B341">
        <v>20</v>
      </c>
      <c r="C341" t="s">
        <v>27</v>
      </c>
      <c r="D341">
        <v>4</v>
      </c>
      <c r="E341" t="s">
        <v>49</v>
      </c>
      <c r="F341">
        <v>3.2</v>
      </c>
      <c r="G341">
        <v>5.0999999999999996</v>
      </c>
      <c r="H341">
        <v>4</v>
      </c>
      <c r="I341">
        <v>1</v>
      </c>
      <c r="J341">
        <v>3</v>
      </c>
      <c r="K341" s="4" t="str" cm="1">
        <f t="array" ref="K341">_xlfn.IFS(stdsurvey[[#This Row],[phq9_score]]="","Answer Not Provided",stdsurvey[[#This Row],[phq9_score]]&lt;=4,"Minimal",stdsurvey[[#This Row],[phq9_score]]&lt;=9,"Mild",stdsurvey[[#This Row],[phq9_score]]&lt;=14,"Moderate",stdsurvey[[#This Row],[phq9_score]]&lt;=19,"Moderately Severe",stdsurvey[[#This Row],[phq9_score]]&lt;=27,"Severe")</f>
        <v>Minimal</v>
      </c>
      <c r="L341">
        <v>6</v>
      </c>
      <c r="M341" s="4" t="str" cm="1">
        <f t="array" ref="M341">_xlfn.IFS(stdsurvey[[#This Row],[gad7_score]]="","Answer Not Provided",stdsurvey[[#This Row],[gad7_score]]&lt;=4,"Minimal",stdsurvey[[#This Row],[gad7_score]]&lt;=9,"Mild",stdsurvey[[#This Row],[gad7_score]]&lt;=14,"Moderate",stdsurvey[[#This Row],[gad7_score]]&lt;=21,"Severe")</f>
        <v>Minimal</v>
      </c>
      <c r="N341">
        <v>14</v>
      </c>
      <c r="O341" s="4" t="str" cm="1">
        <f t="array" ref="O341">_xlfn.IFS(stdsurvey[[#This Row],[perceived_stress_scale]]="","Answer Not Provided",stdsurvey[[#This Row],[perceived_stress_scale]]&lt;=13,"Low Stress",stdsurvey[[#This Row],[perceived_stress_scale]]&lt;=26,"Moderate Stress",stdsurvey[[#This Row],[perceived_stress_scale]]&lt;=40,"High Stress")</f>
        <v>Low Stress</v>
      </c>
      <c r="P341">
        <v>72.099999999999994</v>
      </c>
      <c r="R341" s="4" t="str" cm="1">
        <f t="array" ref="R341">_xlfn.IFS(stdsurvey[[#This Row],[class_attendance_percent]]&lt;60,"Less than 0%",stdsurvey[[#This Row],[class_attendance_percent]]&lt;70,"60-70 %",stdsurvey[[#This Row],[class_attendance_percent]]&lt;80, "70-80%",stdsurvey[[#This Row],[class_attendance_percent]]&lt;90,"80-90%",TRUE,"More than 90%")</f>
        <v>70-80%</v>
      </c>
      <c r="S341" t="s">
        <v>33</v>
      </c>
      <c r="T341">
        <v>2</v>
      </c>
      <c r="U341" t="s">
        <v>23</v>
      </c>
      <c r="V341">
        <v>2.63</v>
      </c>
      <c r="W341" s="4" t="str" cm="1">
        <f t="array" ref="W34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1" s="4" t="str" cm="1">
        <f t="array" ref="X341">_xlfn.IFS(stdsurvey[[#This Row],[daily_sleep_hours]]&lt;4,"&lt; 4 hrs",stdsurvey[[#This Row],[daily_sleep_hours]]&lt;=6,"4-6 hrs",stdsurvey[[#This Row],[daily_sleep_hours]]&lt;=8,"6-8 hrs",TRUE,"&gt; 8 hrs")</f>
        <v>&lt; 4 hrs</v>
      </c>
      <c r="Y341" t="s">
        <v>27</v>
      </c>
    </row>
    <row r="342" spans="1:25" x14ac:dyDescent="0.3">
      <c r="A342" t="s">
        <v>376</v>
      </c>
      <c r="B342">
        <v>22</v>
      </c>
      <c r="C342" t="s">
        <v>20</v>
      </c>
      <c r="D342">
        <v>3</v>
      </c>
      <c r="E342" t="s">
        <v>32</v>
      </c>
      <c r="F342">
        <v>7</v>
      </c>
      <c r="G342">
        <v>5.4</v>
      </c>
      <c r="H342">
        <v>1</v>
      </c>
      <c r="I342">
        <v>3</v>
      </c>
      <c r="J342">
        <v>6</v>
      </c>
      <c r="K342" s="4" t="str" cm="1">
        <f t="array" ref="K342">_xlfn.IFS(stdsurvey[[#This Row],[phq9_score]]="","Answer Not Provided",stdsurvey[[#This Row],[phq9_score]]&lt;=4,"Minimal",stdsurvey[[#This Row],[phq9_score]]&lt;=9,"Mild",stdsurvey[[#This Row],[phq9_score]]&lt;=14,"Moderate",stdsurvey[[#This Row],[phq9_score]]&lt;=19,"Moderately Severe",stdsurvey[[#This Row],[phq9_score]]&lt;=27,"Severe")</f>
        <v>Minimal</v>
      </c>
      <c r="L342">
        <v>10</v>
      </c>
      <c r="M342" s="4" t="str" cm="1">
        <f t="array" ref="M342">_xlfn.IFS(stdsurvey[[#This Row],[gad7_score]]="","Answer Not Provided",stdsurvey[[#This Row],[gad7_score]]&lt;=4,"Minimal",stdsurvey[[#This Row],[gad7_score]]&lt;=9,"Mild",stdsurvey[[#This Row],[gad7_score]]&lt;=14,"Moderate",stdsurvey[[#This Row],[gad7_score]]&lt;=21,"Severe")</f>
        <v>Mild</v>
      </c>
      <c r="N342">
        <v>7.2</v>
      </c>
      <c r="O342" s="4" t="str" cm="1">
        <f t="array" ref="O342">_xlfn.IFS(stdsurvey[[#This Row],[perceived_stress_scale]]="","Answer Not Provided",stdsurvey[[#This Row],[perceived_stress_scale]]&lt;=13,"Low Stress",stdsurvey[[#This Row],[perceived_stress_scale]]&lt;=26,"Moderate Stress",stdsurvey[[#This Row],[perceived_stress_scale]]&lt;=40,"High Stress")</f>
        <v>Low Stress</v>
      </c>
      <c r="P342">
        <v>75.3</v>
      </c>
      <c r="Q342">
        <v>5</v>
      </c>
      <c r="R342" s="4" t="str" cm="1">
        <f t="array" ref="R342">_xlfn.IFS(stdsurvey[[#This Row],[class_attendance_percent]]&lt;60,"Less than 0%",stdsurvey[[#This Row],[class_attendance_percent]]&lt;70,"60-70 %",stdsurvey[[#This Row],[class_attendance_percent]]&lt;80, "70-80%",stdsurvey[[#This Row],[class_attendance_percent]]&lt;90,"80-90%",TRUE,"More than 90%")</f>
        <v>70-80%</v>
      </c>
      <c r="S342" t="s">
        <v>33</v>
      </c>
      <c r="T342">
        <v>4</v>
      </c>
      <c r="U342" t="s">
        <v>51</v>
      </c>
      <c r="V342">
        <v>2.89</v>
      </c>
      <c r="W342" s="4" t="str" cm="1">
        <f t="array" ref="W34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2" s="4" t="str" cm="1">
        <f t="array" ref="X342">_xlfn.IFS(stdsurvey[[#This Row],[daily_sleep_hours]]&lt;4,"&lt; 4 hrs",stdsurvey[[#This Row],[daily_sleep_hours]]&lt;=6,"4-6 hrs",stdsurvey[[#This Row],[daily_sleep_hours]]&lt;=8,"6-8 hrs",TRUE,"&gt; 8 hrs")</f>
        <v>6-8 hrs</v>
      </c>
      <c r="Y342" t="s">
        <v>20</v>
      </c>
    </row>
    <row r="343" spans="1:25" x14ac:dyDescent="0.3">
      <c r="A343" t="s">
        <v>377</v>
      </c>
      <c r="B343">
        <v>24</v>
      </c>
      <c r="C343" t="s">
        <v>20</v>
      </c>
      <c r="D343">
        <v>2</v>
      </c>
      <c r="E343" t="s">
        <v>35</v>
      </c>
      <c r="F343">
        <v>4.5999999999999996</v>
      </c>
      <c r="G343">
        <v>1.5</v>
      </c>
      <c r="H343">
        <v>3</v>
      </c>
      <c r="I343">
        <v>14</v>
      </c>
      <c r="J343">
        <v>13</v>
      </c>
      <c r="K343" s="4" t="str" cm="1">
        <f t="array" ref="K343">_xlfn.IFS(stdsurvey[[#This Row],[phq9_score]]="","Answer Not Provided",stdsurvey[[#This Row],[phq9_score]]&lt;=4,"Minimal",stdsurvey[[#This Row],[phq9_score]]&lt;=9,"Mild",stdsurvey[[#This Row],[phq9_score]]&lt;=14,"Moderate",stdsurvey[[#This Row],[phq9_score]]&lt;=19,"Moderately Severe",stdsurvey[[#This Row],[phq9_score]]&lt;=27,"Severe")</f>
        <v>Moderate</v>
      </c>
      <c r="L343">
        <v>22</v>
      </c>
      <c r="M343" s="4" t="str" cm="1">
        <f t="array" ref="M343">_xlfn.IFS(stdsurvey[[#This Row],[gad7_score]]="","Answer Not Provided",stdsurvey[[#This Row],[gad7_score]]&lt;=4,"Minimal",stdsurvey[[#This Row],[gad7_score]]&lt;=9,"Mild",stdsurvey[[#This Row],[gad7_score]]&lt;=14,"Moderate",stdsurvey[[#This Row],[gad7_score]]&lt;=21,"Severe")</f>
        <v>Moderate</v>
      </c>
      <c r="N343">
        <v>13.4</v>
      </c>
      <c r="O343" s="4" t="str" cm="1">
        <f t="array" ref="O343">_xlfn.IFS(stdsurvey[[#This Row],[perceived_stress_scale]]="","Answer Not Provided",stdsurvey[[#This Row],[perceived_stress_scale]]&lt;=13,"Low Stress",stdsurvey[[#This Row],[perceived_stress_scale]]&lt;=26,"Moderate Stress",stdsurvey[[#This Row],[perceived_stress_scale]]&lt;=40,"High Stress")</f>
        <v>Moderate Stress</v>
      </c>
      <c r="P343">
        <v>74.8</v>
      </c>
      <c r="Q343">
        <v>1</v>
      </c>
      <c r="R343" s="4" t="str" cm="1">
        <f t="array" ref="R343">_xlfn.IFS(stdsurvey[[#This Row],[class_attendance_percent]]&lt;60,"Less than 0%",stdsurvey[[#This Row],[class_attendance_percent]]&lt;70,"60-70 %",stdsurvey[[#This Row],[class_attendance_percent]]&lt;80, "70-80%",stdsurvey[[#This Row],[class_attendance_percent]]&lt;90,"80-90%",TRUE,"More than 90%")</f>
        <v>70-80%</v>
      </c>
      <c r="S343" t="s">
        <v>22</v>
      </c>
      <c r="T343">
        <v>3</v>
      </c>
      <c r="U343" t="s">
        <v>23</v>
      </c>
      <c r="V343">
        <v>2.83</v>
      </c>
      <c r="W343" s="4" t="str" cm="1">
        <f t="array" ref="W34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43" s="4" t="str" cm="1">
        <f t="array" ref="X343">_xlfn.IFS(stdsurvey[[#This Row],[daily_sleep_hours]]&lt;4,"&lt; 4 hrs",stdsurvey[[#This Row],[daily_sleep_hours]]&lt;=6,"4-6 hrs",stdsurvey[[#This Row],[daily_sleep_hours]]&lt;=8,"6-8 hrs",TRUE,"&gt; 8 hrs")</f>
        <v>4-6 hrs</v>
      </c>
      <c r="Y343" t="s">
        <v>20</v>
      </c>
    </row>
    <row r="344" spans="1:25" x14ac:dyDescent="0.3">
      <c r="A344" t="s">
        <v>378</v>
      </c>
      <c r="B344">
        <v>23</v>
      </c>
      <c r="C344" t="s">
        <v>20</v>
      </c>
      <c r="D344">
        <v>2</v>
      </c>
      <c r="E344" t="s">
        <v>21</v>
      </c>
      <c r="F344">
        <v>6.4</v>
      </c>
      <c r="G344">
        <v>4.9000000000000004</v>
      </c>
      <c r="H344">
        <v>4</v>
      </c>
      <c r="K344" s="4" t="str" cm="1">
        <f t="array" ref="K344">_xlfn.IFS(stdsurvey[[#This Row],[phq9_score]]="","Answer Not Provided",stdsurvey[[#This Row],[phq9_score]]&lt;=4,"Minimal",stdsurvey[[#This Row],[phq9_score]]&lt;=9,"Mild",stdsurvey[[#This Row],[phq9_score]]&lt;=14,"Moderate",stdsurvey[[#This Row],[phq9_score]]&lt;=19,"Moderately Severe",stdsurvey[[#This Row],[phq9_score]]&lt;=27,"Severe")</f>
        <v>Answer Not Provided</v>
      </c>
      <c r="L344">
        <v>14</v>
      </c>
      <c r="M344" s="4" t="str" cm="1">
        <f t="array" ref="M344">_xlfn.IFS(stdsurvey[[#This Row],[gad7_score]]="","Answer Not Provided",stdsurvey[[#This Row],[gad7_score]]&lt;=4,"Minimal",stdsurvey[[#This Row],[gad7_score]]&lt;=9,"Mild",stdsurvey[[#This Row],[gad7_score]]&lt;=14,"Moderate",stdsurvey[[#This Row],[gad7_score]]&lt;=21,"Severe")</f>
        <v>Answer Not Provided</v>
      </c>
      <c r="N344">
        <v>20.2</v>
      </c>
      <c r="O344" s="4" t="str" cm="1">
        <f t="array" ref="O344">_xlfn.IFS(stdsurvey[[#This Row],[perceived_stress_scale]]="","Answer Not Provided",stdsurvey[[#This Row],[perceived_stress_scale]]&lt;=13,"Low Stress",stdsurvey[[#This Row],[perceived_stress_scale]]&lt;=26,"Moderate Stress",stdsurvey[[#This Row],[perceived_stress_scale]]&lt;=40,"High Stress")</f>
        <v>Moderate Stress</v>
      </c>
      <c r="P344">
        <v>75.099999999999994</v>
      </c>
      <c r="Q344">
        <v>4</v>
      </c>
      <c r="R344" s="4" t="str" cm="1">
        <f t="array" ref="R344">_xlfn.IFS(stdsurvey[[#This Row],[class_attendance_percent]]&lt;60,"Less than 0%",stdsurvey[[#This Row],[class_attendance_percent]]&lt;70,"60-70 %",stdsurvey[[#This Row],[class_attendance_percent]]&lt;80, "70-80%",stdsurvey[[#This Row],[class_attendance_percent]]&lt;90,"80-90%",TRUE,"More than 90%")</f>
        <v>70-80%</v>
      </c>
      <c r="S344" t="s">
        <v>22</v>
      </c>
      <c r="T344">
        <v>1</v>
      </c>
      <c r="U344" t="s">
        <v>23</v>
      </c>
      <c r="V344">
        <v>2.74</v>
      </c>
      <c r="W344" s="4" t="str" cm="1">
        <f t="array" ref="W34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4" s="4" t="str" cm="1">
        <f t="array" ref="X344">_xlfn.IFS(stdsurvey[[#This Row],[daily_sleep_hours]]&lt;4,"&lt; 4 hrs",stdsurvey[[#This Row],[daily_sleep_hours]]&lt;=6,"4-6 hrs",stdsurvey[[#This Row],[daily_sleep_hours]]&lt;=8,"6-8 hrs",TRUE,"&gt; 8 hrs")</f>
        <v>6-8 hrs</v>
      </c>
      <c r="Y344" t="s">
        <v>20</v>
      </c>
    </row>
    <row r="345" spans="1:25" x14ac:dyDescent="0.3">
      <c r="A345" t="s">
        <v>379</v>
      </c>
      <c r="B345">
        <v>17</v>
      </c>
      <c r="C345" t="s">
        <v>20</v>
      </c>
      <c r="D345">
        <v>1</v>
      </c>
      <c r="E345" t="s">
        <v>30</v>
      </c>
      <c r="F345">
        <v>5.9</v>
      </c>
      <c r="G345">
        <v>4.2</v>
      </c>
      <c r="H345">
        <v>0</v>
      </c>
      <c r="I345">
        <v>6</v>
      </c>
      <c r="J345">
        <v>8</v>
      </c>
      <c r="K345" s="4" t="str" cm="1">
        <f t="array" ref="K345">_xlfn.IFS(stdsurvey[[#This Row],[phq9_score]]="","Answer Not Provided",stdsurvey[[#This Row],[phq9_score]]&lt;=4,"Minimal",stdsurvey[[#This Row],[phq9_score]]&lt;=9,"Mild",stdsurvey[[#This Row],[phq9_score]]&lt;=14,"Moderate",stdsurvey[[#This Row],[phq9_score]]&lt;=19,"Moderately Severe",stdsurvey[[#This Row],[phq9_score]]&lt;=27,"Severe")</f>
        <v>Mild</v>
      </c>
      <c r="L345">
        <v>13</v>
      </c>
      <c r="M345" s="4" t="str" cm="1">
        <f t="array" ref="M345">_xlfn.IFS(stdsurvey[[#This Row],[gad7_score]]="","Answer Not Provided",stdsurvey[[#This Row],[gad7_score]]&lt;=4,"Minimal",stdsurvey[[#This Row],[gad7_score]]&lt;=9,"Mild",stdsurvey[[#This Row],[gad7_score]]&lt;=14,"Moderate",stdsurvey[[#This Row],[gad7_score]]&lt;=21,"Severe")</f>
        <v>Mild</v>
      </c>
      <c r="N345">
        <v>29.9</v>
      </c>
      <c r="O345" s="4" t="str" cm="1">
        <f t="array" ref="O345">_xlfn.IFS(stdsurvey[[#This Row],[perceived_stress_scale]]="","Answer Not Provided",stdsurvey[[#This Row],[perceived_stress_scale]]&lt;=13,"Low Stress",stdsurvey[[#This Row],[perceived_stress_scale]]&lt;=26,"Moderate Stress",stdsurvey[[#This Row],[perceived_stress_scale]]&lt;=40,"High Stress")</f>
        <v>Low Stress</v>
      </c>
      <c r="P345">
        <v>79.2</v>
      </c>
      <c r="Q345">
        <v>4</v>
      </c>
      <c r="R345" s="4" t="str" cm="1">
        <f t="array" ref="R345">_xlfn.IFS(stdsurvey[[#This Row],[class_attendance_percent]]&lt;60,"Less than 0%",stdsurvey[[#This Row],[class_attendance_percent]]&lt;70,"60-70 %",stdsurvey[[#This Row],[class_attendance_percent]]&lt;80, "70-80%",stdsurvey[[#This Row],[class_attendance_percent]]&lt;90,"80-90%",TRUE,"More than 90%")</f>
        <v>70-80%</v>
      </c>
      <c r="S345" t="s">
        <v>22</v>
      </c>
      <c r="T345">
        <v>3</v>
      </c>
      <c r="U345" t="s">
        <v>23</v>
      </c>
      <c r="V345">
        <v>2.82</v>
      </c>
      <c r="W345" s="4" t="str" cm="1">
        <f t="array" ref="W34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5" s="4" t="str" cm="1">
        <f t="array" ref="X345">_xlfn.IFS(stdsurvey[[#This Row],[daily_sleep_hours]]&lt;4,"&lt; 4 hrs",stdsurvey[[#This Row],[daily_sleep_hours]]&lt;=6,"4-6 hrs",stdsurvey[[#This Row],[daily_sleep_hours]]&lt;=8,"6-8 hrs",TRUE,"&gt; 8 hrs")</f>
        <v>4-6 hrs</v>
      </c>
      <c r="Y345" t="s">
        <v>20</v>
      </c>
    </row>
    <row r="346" spans="1:25" x14ac:dyDescent="0.3">
      <c r="A346" t="s">
        <v>380</v>
      </c>
      <c r="B346">
        <v>22</v>
      </c>
      <c r="C346" t="s">
        <v>102</v>
      </c>
      <c r="D346">
        <v>5</v>
      </c>
      <c r="E346" t="s">
        <v>21</v>
      </c>
      <c r="F346">
        <v>4.5</v>
      </c>
      <c r="G346">
        <v>7.8</v>
      </c>
      <c r="H346">
        <v>3</v>
      </c>
      <c r="I346">
        <v>2</v>
      </c>
      <c r="J346">
        <v>0</v>
      </c>
      <c r="K346" s="4" t="str" cm="1">
        <f t="array" ref="K346">_xlfn.IFS(stdsurvey[[#This Row],[phq9_score]]="","Answer Not Provided",stdsurvey[[#This Row],[phq9_score]]&lt;=4,"Minimal",stdsurvey[[#This Row],[phq9_score]]&lt;=9,"Mild",stdsurvey[[#This Row],[phq9_score]]&lt;=14,"Moderate",stdsurvey[[#This Row],[phq9_score]]&lt;=19,"Moderately Severe",stdsurvey[[#This Row],[phq9_score]]&lt;=27,"Severe")</f>
        <v>Minimal</v>
      </c>
      <c r="L346">
        <v>9</v>
      </c>
      <c r="M346" s="4" t="str" cm="1">
        <f t="array" ref="M346">_xlfn.IFS(stdsurvey[[#This Row],[gad7_score]]="","Answer Not Provided",stdsurvey[[#This Row],[gad7_score]]&lt;=4,"Minimal",stdsurvey[[#This Row],[gad7_score]]&lt;=9,"Mild",stdsurvey[[#This Row],[gad7_score]]&lt;=14,"Moderate",stdsurvey[[#This Row],[gad7_score]]&lt;=21,"Severe")</f>
        <v>Minimal</v>
      </c>
      <c r="N346">
        <v>20.8</v>
      </c>
      <c r="O346" s="4" t="str" cm="1">
        <f t="array" ref="O346">_xlfn.IFS(stdsurvey[[#This Row],[perceived_stress_scale]]="","Answer Not Provided",stdsurvey[[#This Row],[perceived_stress_scale]]&lt;=13,"Low Stress",stdsurvey[[#This Row],[perceived_stress_scale]]&lt;=26,"Moderate Stress",stdsurvey[[#This Row],[perceived_stress_scale]]&lt;=40,"High Stress")</f>
        <v>Low Stress</v>
      </c>
      <c r="P346">
        <v>31.8</v>
      </c>
      <c r="Q346">
        <v>2</v>
      </c>
      <c r="R346" s="4" t="str" cm="1">
        <f t="array" ref="R346">_xlfn.IFS(stdsurvey[[#This Row],[class_attendance_percent]]&lt;60,"Less than 0%",stdsurvey[[#This Row],[class_attendance_percent]]&lt;70,"60-70 %",stdsurvey[[#This Row],[class_attendance_percent]]&lt;80, "70-80%",stdsurvey[[#This Row],[class_attendance_percent]]&lt;90,"80-90%",TRUE,"More than 90%")</f>
        <v>Less than 0%</v>
      </c>
      <c r="S346" t="s">
        <v>22</v>
      </c>
      <c r="T346">
        <v>4</v>
      </c>
      <c r="U346" t="s">
        <v>23</v>
      </c>
      <c r="V346">
        <v>2.66</v>
      </c>
      <c r="W346" s="4" t="str" cm="1">
        <f t="array" ref="W34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6" s="4" t="str" cm="1">
        <f t="array" ref="X346">_xlfn.IFS(stdsurvey[[#This Row],[daily_sleep_hours]]&lt;4,"&lt; 4 hrs",stdsurvey[[#This Row],[daily_sleep_hours]]&lt;=6,"4-6 hrs",stdsurvey[[#This Row],[daily_sleep_hours]]&lt;=8,"6-8 hrs",TRUE,"&gt; 8 hrs")</f>
        <v>4-6 hrs</v>
      </c>
      <c r="Y346" t="s">
        <v>20</v>
      </c>
    </row>
    <row r="347" spans="1:25" x14ac:dyDescent="0.3">
      <c r="A347" t="s">
        <v>381</v>
      </c>
      <c r="B347">
        <v>22</v>
      </c>
      <c r="C347" t="s">
        <v>20</v>
      </c>
      <c r="D347">
        <v>2</v>
      </c>
      <c r="E347" t="s">
        <v>21</v>
      </c>
      <c r="F347">
        <v>5.5</v>
      </c>
      <c r="G347">
        <v>5.4</v>
      </c>
      <c r="H347">
        <v>3</v>
      </c>
      <c r="I347">
        <v>17</v>
      </c>
      <c r="J347">
        <v>12</v>
      </c>
      <c r="K347" s="4" t="str" cm="1">
        <f t="array" ref="K347">_xlfn.IFS(stdsurvey[[#This Row],[phq9_score]]="","Answer Not Provided",stdsurvey[[#This Row],[phq9_score]]&lt;=4,"Minimal",stdsurvey[[#This Row],[phq9_score]]&lt;=9,"Mild",stdsurvey[[#This Row],[phq9_score]]&lt;=14,"Moderate",stdsurvey[[#This Row],[phq9_score]]&lt;=19,"Moderately Severe",stdsurvey[[#This Row],[phq9_score]]&lt;=27,"Severe")</f>
        <v>Moderately Severe</v>
      </c>
      <c r="L347">
        <v>23</v>
      </c>
      <c r="M347" s="4" t="str" cm="1">
        <f t="array" ref="M347">_xlfn.IFS(stdsurvey[[#This Row],[gad7_score]]="","Answer Not Provided",stdsurvey[[#This Row],[gad7_score]]&lt;=4,"Minimal",stdsurvey[[#This Row],[gad7_score]]&lt;=9,"Mild",stdsurvey[[#This Row],[gad7_score]]&lt;=14,"Moderate",stdsurvey[[#This Row],[gad7_score]]&lt;=21,"Severe")</f>
        <v>Moderate</v>
      </c>
      <c r="N347">
        <v>1</v>
      </c>
      <c r="O347" s="4" t="str" cm="1">
        <f t="array" ref="O347">_xlfn.IFS(stdsurvey[[#This Row],[perceived_stress_scale]]="","Answer Not Provided",stdsurvey[[#This Row],[perceived_stress_scale]]&lt;=13,"Low Stress",stdsurvey[[#This Row],[perceived_stress_scale]]&lt;=26,"Moderate Stress",stdsurvey[[#This Row],[perceived_stress_scale]]&lt;=40,"High Stress")</f>
        <v>Moderate Stress</v>
      </c>
      <c r="P347">
        <v>70.900000000000006</v>
      </c>
      <c r="Q347">
        <v>2</v>
      </c>
      <c r="R347" s="4" t="str" cm="1">
        <f t="array" ref="R347">_xlfn.IFS(stdsurvey[[#This Row],[class_attendance_percent]]&lt;60,"Less than 0%",stdsurvey[[#This Row],[class_attendance_percent]]&lt;70,"60-70 %",stdsurvey[[#This Row],[class_attendance_percent]]&lt;80, "70-80%",stdsurvey[[#This Row],[class_attendance_percent]]&lt;90,"80-90%",TRUE,"More than 90%")</f>
        <v>70-80%</v>
      </c>
      <c r="S347" t="s">
        <v>22</v>
      </c>
      <c r="T347">
        <v>4</v>
      </c>
      <c r="U347" t="s">
        <v>51</v>
      </c>
      <c r="V347">
        <v>2.17</v>
      </c>
      <c r="W347" s="4" t="str" cm="1">
        <f t="array" ref="W34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47" s="4" t="str" cm="1">
        <f t="array" ref="X347">_xlfn.IFS(stdsurvey[[#This Row],[daily_sleep_hours]]&lt;4,"&lt; 4 hrs",stdsurvey[[#This Row],[daily_sleep_hours]]&lt;=6,"4-6 hrs",stdsurvey[[#This Row],[daily_sleep_hours]]&lt;=8,"6-8 hrs",TRUE,"&gt; 8 hrs")</f>
        <v>4-6 hrs</v>
      </c>
      <c r="Y347" t="s">
        <v>20</v>
      </c>
    </row>
    <row r="348" spans="1:25" x14ac:dyDescent="0.3">
      <c r="A348" t="s">
        <v>382</v>
      </c>
      <c r="B348">
        <v>22</v>
      </c>
      <c r="C348" t="s">
        <v>27</v>
      </c>
      <c r="D348">
        <v>1</v>
      </c>
      <c r="E348" t="s">
        <v>30</v>
      </c>
      <c r="F348">
        <v>5.2</v>
      </c>
      <c r="G348">
        <v>11.2</v>
      </c>
      <c r="H348">
        <v>2</v>
      </c>
      <c r="I348">
        <v>4</v>
      </c>
      <c r="J348">
        <v>4</v>
      </c>
      <c r="K348" s="4" t="str" cm="1">
        <f t="array" ref="K348">_xlfn.IFS(stdsurvey[[#This Row],[phq9_score]]="","Answer Not Provided",stdsurvey[[#This Row],[phq9_score]]&lt;=4,"Minimal",stdsurvey[[#This Row],[phq9_score]]&lt;=9,"Mild",stdsurvey[[#This Row],[phq9_score]]&lt;=14,"Moderate",stdsurvey[[#This Row],[phq9_score]]&lt;=19,"Moderately Severe",stdsurvey[[#This Row],[phq9_score]]&lt;=27,"Severe")</f>
        <v>Minimal</v>
      </c>
      <c r="L348">
        <v>15</v>
      </c>
      <c r="M348" s="4" t="str" cm="1">
        <f t="array" ref="M348">_xlfn.IFS(stdsurvey[[#This Row],[gad7_score]]="","Answer Not Provided",stdsurvey[[#This Row],[gad7_score]]&lt;=4,"Minimal",stdsurvey[[#This Row],[gad7_score]]&lt;=9,"Mild",stdsurvey[[#This Row],[gad7_score]]&lt;=14,"Moderate",stdsurvey[[#This Row],[gad7_score]]&lt;=21,"Severe")</f>
        <v>Minimal</v>
      </c>
      <c r="N348">
        <v>32.9</v>
      </c>
      <c r="O348" s="4" t="str" cm="1">
        <f t="array" ref="O348">_xlfn.IFS(stdsurvey[[#This Row],[perceived_stress_scale]]="","Answer Not Provided",stdsurvey[[#This Row],[perceived_stress_scale]]&lt;=13,"Low Stress",stdsurvey[[#This Row],[perceived_stress_scale]]&lt;=26,"Moderate Stress",stdsurvey[[#This Row],[perceived_stress_scale]]&lt;=40,"High Stress")</f>
        <v>Moderate Stress</v>
      </c>
      <c r="P348">
        <v>78.099999999999994</v>
      </c>
      <c r="Q348">
        <v>3</v>
      </c>
      <c r="R348" s="4" t="str" cm="1">
        <f t="array" ref="R348">_xlfn.IFS(stdsurvey[[#This Row],[class_attendance_percent]]&lt;60,"Less than 0%",stdsurvey[[#This Row],[class_attendance_percent]]&lt;70,"60-70 %",stdsurvey[[#This Row],[class_attendance_percent]]&lt;80, "70-80%",stdsurvey[[#This Row],[class_attendance_percent]]&lt;90,"80-90%",TRUE,"More than 90%")</f>
        <v>70-80%</v>
      </c>
      <c r="S348" t="s">
        <v>22</v>
      </c>
      <c r="T348">
        <v>1</v>
      </c>
      <c r="U348" t="s">
        <v>51</v>
      </c>
      <c r="V348">
        <v>3.44</v>
      </c>
      <c r="W348" s="4" t="str" cm="1">
        <f t="array" ref="W34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48" s="4" t="str" cm="1">
        <f t="array" ref="X348">_xlfn.IFS(stdsurvey[[#This Row],[daily_sleep_hours]]&lt;4,"&lt; 4 hrs",stdsurvey[[#This Row],[daily_sleep_hours]]&lt;=6,"4-6 hrs",stdsurvey[[#This Row],[daily_sleep_hours]]&lt;=8,"6-8 hrs",TRUE,"&gt; 8 hrs")</f>
        <v>4-6 hrs</v>
      </c>
      <c r="Y348" t="s">
        <v>27</v>
      </c>
    </row>
    <row r="349" spans="1:25" x14ac:dyDescent="0.3">
      <c r="A349" t="s">
        <v>383</v>
      </c>
      <c r="B349">
        <v>25</v>
      </c>
      <c r="C349" t="s">
        <v>20</v>
      </c>
      <c r="D349">
        <v>2</v>
      </c>
      <c r="E349" t="s">
        <v>30</v>
      </c>
      <c r="F349">
        <v>5</v>
      </c>
      <c r="G349">
        <v>3.4</v>
      </c>
      <c r="H349">
        <v>5</v>
      </c>
      <c r="I349">
        <v>4</v>
      </c>
      <c r="J349">
        <v>7</v>
      </c>
      <c r="K349" s="4" t="str" cm="1">
        <f t="array" ref="K349">_xlfn.IFS(stdsurvey[[#This Row],[phq9_score]]="","Answer Not Provided",stdsurvey[[#This Row],[phq9_score]]&lt;=4,"Minimal",stdsurvey[[#This Row],[phq9_score]]&lt;=9,"Mild",stdsurvey[[#This Row],[phq9_score]]&lt;=14,"Moderate",stdsurvey[[#This Row],[phq9_score]]&lt;=19,"Moderately Severe",stdsurvey[[#This Row],[phq9_score]]&lt;=27,"Severe")</f>
        <v>Minimal</v>
      </c>
      <c r="L349">
        <v>12</v>
      </c>
      <c r="M349" s="4" t="str" cm="1">
        <f t="array" ref="M349">_xlfn.IFS(stdsurvey[[#This Row],[gad7_score]]="","Answer Not Provided",stdsurvey[[#This Row],[gad7_score]]&lt;=4,"Minimal",stdsurvey[[#This Row],[gad7_score]]&lt;=9,"Mild",stdsurvey[[#This Row],[gad7_score]]&lt;=14,"Moderate",stdsurvey[[#This Row],[gad7_score]]&lt;=21,"Severe")</f>
        <v>Mild</v>
      </c>
      <c r="N349">
        <v>17.899999999999999</v>
      </c>
      <c r="O349" s="4" t="str" cm="1">
        <f t="array" ref="O349">_xlfn.IFS(stdsurvey[[#This Row],[perceived_stress_scale]]="","Answer Not Provided",stdsurvey[[#This Row],[perceived_stress_scale]]&lt;=13,"Low Stress",stdsurvey[[#This Row],[perceived_stress_scale]]&lt;=26,"Moderate Stress",stdsurvey[[#This Row],[perceived_stress_scale]]&lt;=40,"High Stress")</f>
        <v>Low Stress</v>
      </c>
      <c r="P349">
        <v>96.5</v>
      </c>
      <c r="Q349">
        <v>4</v>
      </c>
      <c r="R349" s="4" t="str" cm="1">
        <f t="array" ref="R349">_xlfn.IFS(stdsurvey[[#This Row],[class_attendance_percent]]&lt;60,"Less than 0%",stdsurvey[[#This Row],[class_attendance_percent]]&lt;70,"60-70 %",stdsurvey[[#This Row],[class_attendance_percent]]&lt;80, "70-80%",stdsurvey[[#This Row],[class_attendance_percent]]&lt;90,"80-90%",TRUE,"More than 90%")</f>
        <v>More than 90%</v>
      </c>
      <c r="S349" t="s">
        <v>33</v>
      </c>
      <c r="T349">
        <v>2</v>
      </c>
      <c r="U349" t="s">
        <v>23</v>
      </c>
      <c r="V349">
        <v>2.91</v>
      </c>
      <c r="W349" s="4" t="str" cm="1">
        <f t="array" ref="W34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49" s="4" t="str" cm="1">
        <f t="array" ref="X349">_xlfn.IFS(stdsurvey[[#This Row],[daily_sleep_hours]]&lt;4,"&lt; 4 hrs",stdsurvey[[#This Row],[daily_sleep_hours]]&lt;=6,"4-6 hrs",stdsurvey[[#This Row],[daily_sleep_hours]]&lt;=8,"6-8 hrs",TRUE,"&gt; 8 hrs")</f>
        <v>4-6 hrs</v>
      </c>
      <c r="Y349" t="s">
        <v>20</v>
      </c>
    </row>
    <row r="350" spans="1:25" x14ac:dyDescent="0.3">
      <c r="A350" t="s">
        <v>384</v>
      </c>
      <c r="B350">
        <v>17</v>
      </c>
      <c r="C350" t="s">
        <v>20</v>
      </c>
      <c r="D350">
        <v>5</v>
      </c>
      <c r="E350" t="s">
        <v>21</v>
      </c>
      <c r="F350">
        <v>7.1</v>
      </c>
      <c r="G350">
        <v>1.8</v>
      </c>
      <c r="H350">
        <v>1</v>
      </c>
      <c r="I350">
        <v>2</v>
      </c>
      <c r="J350">
        <v>6</v>
      </c>
      <c r="K350" s="4" t="str" cm="1">
        <f t="array" ref="K350">_xlfn.IFS(stdsurvey[[#This Row],[phq9_score]]="","Answer Not Provided",stdsurvey[[#This Row],[phq9_score]]&lt;=4,"Minimal",stdsurvey[[#This Row],[phq9_score]]&lt;=9,"Mild",stdsurvey[[#This Row],[phq9_score]]&lt;=14,"Moderate",stdsurvey[[#This Row],[phq9_score]]&lt;=19,"Moderately Severe",stdsurvey[[#This Row],[phq9_score]]&lt;=27,"Severe")</f>
        <v>Minimal</v>
      </c>
      <c r="L350">
        <v>15</v>
      </c>
      <c r="M350" s="4" t="str" cm="1">
        <f t="array" ref="M350">_xlfn.IFS(stdsurvey[[#This Row],[gad7_score]]="","Answer Not Provided",stdsurvey[[#This Row],[gad7_score]]&lt;=4,"Minimal",stdsurvey[[#This Row],[gad7_score]]&lt;=9,"Mild",stdsurvey[[#This Row],[gad7_score]]&lt;=14,"Moderate",stdsurvey[[#This Row],[gad7_score]]&lt;=21,"Severe")</f>
        <v>Mild</v>
      </c>
      <c r="N350">
        <v>21.1</v>
      </c>
      <c r="O350" s="4" t="str" cm="1">
        <f t="array" ref="O350">_xlfn.IFS(stdsurvey[[#This Row],[perceived_stress_scale]]="","Answer Not Provided",stdsurvey[[#This Row],[perceived_stress_scale]]&lt;=13,"Low Stress",stdsurvey[[#This Row],[perceived_stress_scale]]&lt;=26,"Moderate Stress",stdsurvey[[#This Row],[perceived_stress_scale]]&lt;=40,"High Stress")</f>
        <v>Moderate Stress</v>
      </c>
      <c r="P350">
        <v>100</v>
      </c>
      <c r="Q350">
        <v>5</v>
      </c>
      <c r="R350" s="4" t="str" cm="1">
        <f t="array" ref="R350">_xlfn.IFS(stdsurvey[[#This Row],[class_attendance_percent]]&lt;60,"Less than 0%",stdsurvey[[#This Row],[class_attendance_percent]]&lt;70,"60-70 %",stdsurvey[[#This Row],[class_attendance_percent]]&lt;80, "70-80%",stdsurvey[[#This Row],[class_attendance_percent]]&lt;90,"80-90%",TRUE,"More than 90%")</f>
        <v>More than 90%</v>
      </c>
      <c r="S350" t="s">
        <v>22</v>
      </c>
      <c r="T350">
        <v>3</v>
      </c>
      <c r="U350" t="s">
        <v>23</v>
      </c>
      <c r="V350">
        <v>3.3</v>
      </c>
      <c r="W350" s="4" t="str" cm="1">
        <f t="array" ref="W35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0" s="4" t="str" cm="1">
        <f t="array" ref="X350">_xlfn.IFS(stdsurvey[[#This Row],[daily_sleep_hours]]&lt;4,"&lt; 4 hrs",stdsurvey[[#This Row],[daily_sleep_hours]]&lt;=6,"4-6 hrs",stdsurvey[[#This Row],[daily_sleep_hours]]&lt;=8,"6-8 hrs",TRUE,"&gt; 8 hrs")</f>
        <v>6-8 hrs</v>
      </c>
      <c r="Y350" t="s">
        <v>20</v>
      </c>
    </row>
    <row r="351" spans="1:25" x14ac:dyDescent="0.3">
      <c r="A351" t="s">
        <v>385</v>
      </c>
      <c r="B351">
        <v>20</v>
      </c>
      <c r="C351" t="s">
        <v>27</v>
      </c>
      <c r="D351">
        <v>1</v>
      </c>
      <c r="E351" t="s">
        <v>49</v>
      </c>
      <c r="F351">
        <v>5.2</v>
      </c>
      <c r="G351">
        <v>11</v>
      </c>
      <c r="H351">
        <v>2</v>
      </c>
      <c r="I351">
        <v>2</v>
      </c>
      <c r="J351">
        <v>0</v>
      </c>
      <c r="K351" s="4" t="str" cm="1">
        <f t="array" ref="K351">_xlfn.IFS(stdsurvey[[#This Row],[phq9_score]]="","Answer Not Provided",stdsurvey[[#This Row],[phq9_score]]&lt;=4,"Minimal",stdsurvey[[#This Row],[phq9_score]]&lt;=9,"Mild",stdsurvey[[#This Row],[phq9_score]]&lt;=14,"Moderate",stdsurvey[[#This Row],[phq9_score]]&lt;=19,"Moderately Severe",stdsurvey[[#This Row],[phq9_score]]&lt;=27,"Severe")</f>
        <v>Minimal</v>
      </c>
      <c r="L351">
        <v>9</v>
      </c>
      <c r="M351" s="4" t="str" cm="1">
        <f t="array" ref="M351">_xlfn.IFS(stdsurvey[[#This Row],[gad7_score]]="","Answer Not Provided",stdsurvey[[#This Row],[gad7_score]]&lt;=4,"Minimal",stdsurvey[[#This Row],[gad7_score]]&lt;=9,"Mild",stdsurvey[[#This Row],[gad7_score]]&lt;=14,"Moderate",stdsurvey[[#This Row],[gad7_score]]&lt;=21,"Severe")</f>
        <v>Minimal</v>
      </c>
      <c r="N351">
        <v>15</v>
      </c>
      <c r="O351" s="4" t="str" cm="1">
        <f t="array" ref="O351">_xlfn.IFS(stdsurvey[[#This Row],[perceived_stress_scale]]="","Answer Not Provided",stdsurvey[[#This Row],[perceived_stress_scale]]&lt;=13,"Low Stress",stdsurvey[[#This Row],[perceived_stress_scale]]&lt;=26,"Moderate Stress",stdsurvey[[#This Row],[perceived_stress_scale]]&lt;=40,"High Stress")</f>
        <v>Low Stress</v>
      </c>
      <c r="P351">
        <v>72.400000000000006</v>
      </c>
      <c r="Q351">
        <v>2</v>
      </c>
      <c r="R351" s="4" t="str" cm="1">
        <f t="array" ref="R351">_xlfn.IFS(stdsurvey[[#This Row],[class_attendance_percent]]&lt;60,"Less than 0%",stdsurvey[[#This Row],[class_attendance_percent]]&lt;70,"60-70 %",stdsurvey[[#This Row],[class_attendance_percent]]&lt;80, "70-80%",stdsurvey[[#This Row],[class_attendance_percent]]&lt;90,"80-90%",TRUE,"More than 90%")</f>
        <v>70-80%</v>
      </c>
      <c r="S351" t="s">
        <v>22</v>
      </c>
      <c r="T351">
        <v>2</v>
      </c>
      <c r="U351" t="s">
        <v>23</v>
      </c>
      <c r="V351">
        <v>2.66</v>
      </c>
      <c r="W351" s="4" t="str" cm="1">
        <f t="array" ref="W35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51" s="4" t="str" cm="1">
        <f t="array" ref="X351">_xlfn.IFS(stdsurvey[[#This Row],[daily_sleep_hours]]&lt;4,"&lt; 4 hrs",stdsurvey[[#This Row],[daily_sleep_hours]]&lt;=6,"4-6 hrs",stdsurvey[[#This Row],[daily_sleep_hours]]&lt;=8,"6-8 hrs",TRUE,"&gt; 8 hrs")</f>
        <v>4-6 hrs</v>
      </c>
      <c r="Y351" t="s">
        <v>27</v>
      </c>
    </row>
    <row r="352" spans="1:25" x14ac:dyDescent="0.3">
      <c r="A352" t="s">
        <v>386</v>
      </c>
      <c r="B352">
        <v>23</v>
      </c>
      <c r="C352" t="s">
        <v>27</v>
      </c>
      <c r="D352">
        <v>4</v>
      </c>
      <c r="E352" t="s">
        <v>30</v>
      </c>
      <c r="F352">
        <v>7.1</v>
      </c>
      <c r="G352">
        <v>5.6</v>
      </c>
      <c r="H352">
        <v>4</v>
      </c>
      <c r="I352">
        <v>10</v>
      </c>
      <c r="J352">
        <v>11</v>
      </c>
      <c r="K352" s="4" t="str" cm="1">
        <f t="array" ref="K352">_xlfn.IFS(stdsurvey[[#This Row],[phq9_score]]="","Answer Not Provided",stdsurvey[[#This Row],[phq9_score]]&lt;=4,"Minimal",stdsurvey[[#This Row],[phq9_score]]&lt;=9,"Mild",stdsurvey[[#This Row],[phq9_score]]&lt;=14,"Moderate",stdsurvey[[#This Row],[phq9_score]]&lt;=19,"Moderately Severe",stdsurvey[[#This Row],[phq9_score]]&lt;=27,"Severe")</f>
        <v>Moderate</v>
      </c>
      <c r="L352">
        <v>11</v>
      </c>
      <c r="M352" s="4" t="str" cm="1">
        <f t="array" ref="M352">_xlfn.IFS(stdsurvey[[#This Row],[gad7_score]]="","Answer Not Provided",stdsurvey[[#This Row],[gad7_score]]&lt;=4,"Minimal",stdsurvey[[#This Row],[gad7_score]]&lt;=9,"Mild",stdsurvey[[#This Row],[gad7_score]]&lt;=14,"Moderate",stdsurvey[[#This Row],[gad7_score]]&lt;=21,"Severe")</f>
        <v>Moderate</v>
      </c>
      <c r="N352">
        <v>16.899999999999999</v>
      </c>
      <c r="O352" s="4" t="str" cm="1">
        <f t="array" ref="O352">_xlfn.IFS(stdsurvey[[#This Row],[perceived_stress_scale]]="","Answer Not Provided",stdsurvey[[#This Row],[perceived_stress_scale]]&lt;=13,"Low Stress",stdsurvey[[#This Row],[perceived_stress_scale]]&lt;=26,"Moderate Stress",stdsurvey[[#This Row],[perceived_stress_scale]]&lt;=40,"High Stress")</f>
        <v>Low Stress</v>
      </c>
      <c r="P352">
        <v>90.9</v>
      </c>
      <c r="Q352">
        <v>3</v>
      </c>
      <c r="R352" s="4" t="str" cm="1">
        <f t="array" ref="R352">_xlfn.IFS(stdsurvey[[#This Row],[class_attendance_percent]]&lt;60,"Less than 0%",stdsurvey[[#This Row],[class_attendance_percent]]&lt;70,"60-70 %",stdsurvey[[#This Row],[class_attendance_percent]]&lt;80, "70-80%",stdsurvey[[#This Row],[class_attendance_percent]]&lt;90,"80-90%",TRUE,"More than 90%")</f>
        <v>More than 90%</v>
      </c>
      <c r="S352" t="s">
        <v>22</v>
      </c>
      <c r="T352">
        <v>3</v>
      </c>
      <c r="U352" t="s">
        <v>26</v>
      </c>
      <c r="V352">
        <v>3.19</v>
      </c>
      <c r="W352" s="4" t="str" cm="1">
        <f t="array" ref="W35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52" s="4" t="str" cm="1">
        <f t="array" ref="X352">_xlfn.IFS(stdsurvey[[#This Row],[daily_sleep_hours]]&lt;4,"&lt; 4 hrs",stdsurvey[[#This Row],[daily_sleep_hours]]&lt;=6,"4-6 hrs",stdsurvey[[#This Row],[daily_sleep_hours]]&lt;=8,"6-8 hrs",TRUE,"&gt; 8 hrs")</f>
        <v>6-8 hrs</v>
      </c>
      <c r="Y352" t="s">
        <v>27</v>
      </c>
    </row>
    <row r="353" spans="1:25" x14ac:dyDescent="0.3">
      <c r="A353" t="s">
        <v>387</v>
      </c>
      <c r="B353">
        <v>18</v>
      </c>
      <c r="C353" t="s">
        <v>61</v>
      </c>
      <c r="D353">
        <v>3</v>
      </c>
      <c r="E353" t="s">
        <v>21</v>
      </c>
      <c r="F353">
        <v>6.4</v>
      </c>
      <c r="G353">
        <v>4.2</v>
      </c>
      <c r="H353">
        <v>1</v>
      </c>
      <c r="I353">
        <v>11</v>
      </c>
      <c r="J353">
        <v>7</v>
      </c>
      <c r="K353" s="4" t="str" cm="1">
        <f t="array" ref="K353">_xlfn.IFS(stdsurvey[[#This Row],[phq9_score]]="","Answer Not Provided",stdsurvey[[#This Row],[phq9_score]]&lt;=4,"Minimal",stdsurvey[[#This Row],[phq9_score]]&lt;=9,"Mild",stdsurvey[[#This Row],[phq9_score]]&lt;=14,"Moderate",stdsurvey[[#This Row],[phq9_score]]&lt;=19,"Moderately Severe",stdsurvey[[#This Row],[phq9_score]]&lt;=27,"Severe")</f>
        <v>Moderate</v>
      </c>
      <c r="L353">
        <v>23</v>
      </c>
      <c r="M353" s="4" t="str" cm="1">
        <f t="array" ref="M353">_xlfn.IFS(stdsurvey[[#This Row],[gad7_score]]="","Answer Not Provided",stdsurvey[[#This Row],[gad7_score]]&lt;=4,"Minimal",stdsurvey[[#This Row],[gad7_score]]&lt;=9,"Mild",stdsurvey[[#This Row],[gad7_score]]&lt;=14,"Moderate",stdsurvey[[#This Row],[gad7_score]]&lt;=21,"Severe")</f>
        <v>Mild</v>
      </c>
      <c r="N353">
        <v>15.2</v>
      </c>
      <c r="O353" s="4" t="str" cm="1">
        <f t="array" ref="O353">_xlfn.IFS(stdsurvey[[#This Row],[perceived_stress_scale]]="","Answer Not Provided",stdsurvey[[#This Row],[perceived_stress_scale]]&lt;=13,"Low Stress",stdsurvey[[#This Row],[perceived_stress_scale]]&lt;=26,"Moderate Stress",stdsurvey[[#This Row],[perceived_stress_scale]]&lt;=40,"High Stress")</f>
        <v>Moderate Stress</v>
      </c>
      <c r="P353">
        <v>65.599999999999994</v>
      </c>
      <c r="Q353">
        <v>2</v>
      </c>
      <c r="R353" s="4" t="str" cm="1">
        <f t="array" ref="R353">_xlfn.IFS(stdsurvey[[#This Row],[class_attendance_percent]]&lt;60,"Less than 0%",stdsurvey[[#This Row],[class_attendance_percent]]&lt;70,"60-70 %",stdsurvey[[#This Row],[class_attendance_percent]]&lt;80, "70-80%",stdsurvey[[#This Row],[class_attendance_percent]]&lt;90,"80-90%",TRUE,"More than 90%")</f>
        <v>60-70 %</v>
      </c>
      <c r="S353" t="s">
        <v>22</v>
      </c>
      <c r="T353">
        <v>1</v>
      </c>
      <c r="U353" t="s">
        <v>23</v>
      </c>
      <c r="V353">
        <v>2.82</v>
      </c>
      <c r="W353" s="4" t="str" cm="1">
        <f t="array" ref="W35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53" s="4" t="str" cm="1">
        <f t="array" ref="X353">_xlfn.IFS(stdsurvey[[#This Row],[daily_sleep_hours]]&lt;4,"&lt; 4 hrs",stdsurvey[[#This Row],[daily_sleep_hours]]&lt;=6,"4-6 hrs",stdsurvey[[#This Row],[daily_sleep_hours]]&lt;=8,"6-8 hrs",TRUE,"&gt; 8 hrs")</f>
        <v>6-8 hrs</v>
      </c>
      <c r="Y353" t="s">
        <v>61</v>
      </c>
    </row>
    <row r="354" spans="1:25" x14ac:dyDescent="0.3">
      <c r="A354" t="s">
        <v>388</v>
      </c>
      <c r="B354">
        <v>25</v>
      </c>
      <c r="C354" t="s">
        <v>20</v>
      </c>
      <c r="D354">
        <v>4</v>
      </c>
      <c r="E354" t="s">
        <v>49</v>
      </c>
      <c r="F354">
        <v>6.1</v>
      </c>
      <c r="G354">
        <v>2.2999999999999998</v>
      </c>
      <c r="H354">
        <v>4</v>
      </c>
      <c r="I354">
        <v>0</v>
      </c>
      <c r="J354">
        <v>0</v>
      </c>
      <c r="K354" s="4" t="str" cm="1">
        <f t="array" ref="K354">_xlfn.IFS(stdsurvey[[#This Row],[phq9_score]]="","Answer Not Provided",stdsurvey[[#This Row],[phq9_score]]&lt;=4,"Minimal",stdsurvey[[#This Row],[phq9_score]]&lt;=9,"Mild",stdsurvey[[#This Row],[phq9_score]]&lt;=14,"Moderate",stdsurvey[[#This Row],[phq9_score]]&lt;=19,"Moderately Severe",stdsurvey[[#This Row],[phq9_score]]&lt;=27,"Severe")</f>
        <v>Minimal</v>
      </c>
      <c r="L354">
        <v>3</v>
      </c>
      <c r="M354" s="4" t="str" cm="1">
        <f t="array" ref="M354">_xlfn.IFS(stdsurvey[[#This Row],[gad7_score]]="","Answer Not Provided",stdsurvey[[#This Row],[gad7_score]]&lt;=4,"Minimal",stdsurvey[[#This Row],[gad7_score]]&lt;=9,"Mild",stdsurvey[[#This Row],[gad7_score]]&lt;=14,"Moderate",stdsurvey[[#This Row],[gad7_score]]&lt;=21,"Severe")</f>
        <v>Minimal</v>
      </c>
      <c r="N354">
        <v>16.8</v>
      </c>
      <c r="O354" s="4" t="str" cm="1">
        <f t="array" ref="O354">_xlfn.IFS(stdsurvey[[#This Row],[perceived_stress_scale]]="","Answer Not Provided",stdsurvey[[#This Row],[perceived_stress_scale]]&lt;=13,"Low Stress",stdsurvey[[#This Row],[perceived_stress_scale]]&lt;=26,"Moderate Stress",stdsurvey[[#This Row],[perceived_stress_scale]]&lt;=40,"High Stress")</f>
        <v>Low Stress</v>
      </c>
      <c r="P354">
        <v>93.9</v>
      </c>
      <c r="Q354">
        <v>2</v>
      </c>
      <c r="R354" s="4" t="str" cm="1">
        <f t="array" ref="R354">_xlfn.IFS(stdsurvey[[#This Row],[class_attendance_percent]]&lt;60,"Less than 0%",stdsurvey[[#This Row],[class_attendance_percent]]&lt;70,"60-70 %",stdsurvey[[#This Row],[class_attendance_percent]]&lt;80, "70-80%",stdsurvey[[#This Row],[class_attendance_percent]]&lt;90,"80-90%",TRUE,"More than 90%")</f>
        <v>More than 90%</v>
      </c>
      <c r="S354" t="s">
        <v>33</v>
      </c>
      <c r="T354">
        <v>1</v>
      </c>
      <c r="U354" t="s">
        <v>23</v>
      </c>
      <c r="V354">
        <v>4.3</v>
      </c>
      <c r="W354" s="4" t="str" cm="1">
        <f t="array" ref="W35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4" s="4" t="str" cm="1">
        <f t="array" ref="X354">_xlfn.IFS(stdsurvey[[#This Row],[daily_sleep_hours]]&lt;4,"&lt; 4 hrs",stdsurvey[[#This Row],[daily_sleep_hours]]&lt;=6,"4-6 hrs",stdsurvey[[#This Row],[daily_sleep_hours]]&lt;=8,"6-8 hrs",TRUE,"&gt; 8 hrs")</f>
        <v>6-8 hrs</v>
      </c>
      <c r="Y354" t="s">
        <v>20</v>
      </c>
    </row>
    <row r="355" spans="1:25" x14ac:dyDescent="0.3">
      <c r="A355" t="s">
        <v>389</v>
      </c>
      <c r="B355">
        <v>22</v>
      </c>
      <c r="C355" t="s">
        <v>102</v>
      </c>
      <c r="D355">
        <v>5</v>
      </c>
      <c r="E355" t="s">
        <v>32</v>
      </c>
      <c r="F355">
        <v>5.8</v>
      </c>
      <c r="G355">
        <v>3.4</v>
      </c>
      <c r="H355">
        <v>0</v>
      </c>
      <c r="I355">
        <v>5</v>
      </c>
      <c r="J355">
        <v>5</v>
      </c>
      <c r="K355" s="4" t="str" cm="1">
        <f t="array" ref="K355">_xlfn.IFS(stdsurvey[[#This Row],[phq9_score]]="","Answer Not Provided",stdsurvey[[#This Row],[phq9_score]]&lt;=4,"Minimal",stdsurvey[[#This Row],[phq9_score]]&lt;=9,"Mild",stdsurvey[[#This Row],[phq9_score]]&lt;=14,"Moderate",stdsurvey[[#This Row],[phq9_score]]&lt;=19,"Moderately Severe",stdsurvey[[#This Row],[phq9_score]]&lt;=27,"Severe")</f>
        <v>Mild</v>
      </c>
      <c r="L355">
        <v>15</v>
      </c>
      <c r="M355" s="4" t="str" cm="1">
        <f t="array" ref="M355">_xlfn.IFS(stdsurvey[[#This Row],[gad7_score]]="","Answer Not Provided",stdsurvey[[#This Row],[gad7_score]]&lt;=4,"Minimal",stdsurvey[[#This Row],[gad7_score]]&lt;=9,"Mild",stdsurvey[[#This Row],[gad7_score]]&lt;=14,"Moderate",stdsurvey[[#This Row],[gad7_score]]&lt;=21,"Severe")</f>
        <v>Mild</v>
      </c>
      <c r="N355">
        <v>26.6</v>
      </c>
      <c r="O355" s="4" t="str" cm="1">
        <f t="array" ref="O355">_xlfn.IFS(stdsurvey[[#This Row],[perceived_stress_scale]]="","Answer Not Provided",stdsurvey[[#This Row],[perceived_stress_scale]]&lt;=13,"Low Stress",stdsurvey[[#This Row],[perceived_stress_scale]]&lt;=26,"Moderate Stress",stdsurvey[[#This Row],[perceived_stress_scale]]&lt;=40,"High Stress")</f>
        <v>Moderate Stress</v>
      </c>
      <c r="P355">
        <v>72.599999999999994</v>
      </c>
      <c r="Q355">
        <v>4</v>
      </c>
      <c r="R355" s="4" t="str" cm="1">
        <f t="array" ref="R355">_xlfn.IFS(stdsurvey[[#This Row],[class_attendance_percent]]&lt;60,"Less than 0%",stdsurvey[[#This Row],[class_attendance_percent]]&lt;70,"60-70 %",stdsurvey[[#This Row],[class_attendance_percent]]&lt;80, "70-80%",stdsurvey[[#This Row],[class_attendance_percent]]&lt;90,"80-90%",TRUE,"More than 90%")</f>
        <v>70-80%</v>
      </c>
      <c r="S355" t="s">
        <v>22</v>
      </c>
      <c r="T355">
        <v>4</v>
      </c>
      <c r="U355" t="s">
        <v>23</v>
      </c>
      <c r="V355">
        <v>2.94</v>
      </c>
      <c r="W355" s="4" t="str" cm="1">
        <f t="array" ref="W35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5" s="4" t="str" cm="1">
        <f t="array" ref="X355">_xlfn.IFS(stdsurvey[[#This Row],[daily_sleep_hours]]&lt;4,"&lt; 4 hrs",stdsurvey[[#This Row],[daily_sleep_hours]]&lt;=6,"4-6 hrs",stdsurvey[[#This Row],[daily_sleep_hours]]&lt;=8,"6-8 hrs",TRUE,"&gt; 8 hrs")</f>
        <v>4-6 hrs</v>
      </c>
      <c r="Y355" t="s">
        <v>20</v>
      </c>
    </row>
    <row r="356" spans="1:25" x14ac:dyDescent="0.3">
      <c r="A356" t="s">
        <v>390</v>
      </c>
      <c r="B356">
        <v>23</v>
      </c>
      <c r="C356" t="s">
        <v>27</v>
      </c>
      <c r="D356">
        <v>4</v>
      </c>
      <c r="E356" t="s">
        <v>49</v>
      </c>
      <c r="F356">
        <v>4.5999999999999996</v>
      </c>
      <c r="G356">
        <v>3.3</v>
      </c>
      <c r="H356">
        <v>3</v>
      </c>
      <c r="I356">
        <v>7</v>
      </c>
      <c r="J356">
        <v>6</v>
      </c>
      <c r="K356" s="4" t="str" cm="1">
        <f t="array" ref="K356">_xlfn.IFS(stdsurvey[[#This Row],[phq9_score]]="","Answer Not Provided",stdsurvey[[#This Row],[phq9_score]]&lt;=4,"Minimal",stdsurvey[[#This Row],[phq9_score]]&lt;=9,"Mild",stdsurvey[[#This Row],[phq9_score]]&lt;=14,"Moderate",stdsurvey[[#This Row],[phq9_score]]&lt;=19,"Moderately Severe",stdsurvey[[#This Row],[phq9_score]]&lt;=27,"Severe")</f>
        <v>Mild</v>
      </c>
      <c r="L356">
        <v>12</v>
      </c>
      <c r="M356" s="4" t="str" cm="1">
        <f t="array" ref="M356">_xlfn.IFS(stdsurvey[[#This Row],[gad7_score]]="","Answer Not Provided",stdsurvey[[#This Row],[gad7_score]]&lt;=4,"Minimal",stdsurvey[[#This Row],[gad7_score]]&lt;=9,"Mild",stdsurvey[[#This Row],[gad7_score]]&lt;=14,"Moderate",stdsurvey[[#This Row],[gad7_score]]&lt;=21,"Severe")</f>
        <v>Mild</v>
      </c>
      <c r="N356">
        <v>20.399999999999999</v>
      </c>
      <c r="O356" s="4" t="str" cm="1">
        <f t="array" ref="O356">_xlfn.IFS(stdsurvey[[#This Row],[perceived_stress_scale]]="","Answer Not Provided",stdsurvey[[#This Row],[perceived_stress_scale]]&lt;=13,"Low Stress",stdsurvey[[#This Row],[perceived_stress_scale]]&lt;=26,"Moderate Stress",stdsurvey[[#This Row],[perceived_stress_scale]]&lt;=40,"High Stress")</f>
        <v>Low Stress</v>
      </c>
      <c r="P356">
        <v>60.6</v>
      </c>
      <c r="Q356">
        <v>3</v>
      </c>
      <c r="R356" s="4" t="str" cm="1">
        <f t="array" ref="R356">_xlfn.IFS(stdsurvey[[#This Row],[class_attendance_percent]]&lt;60,"Less than 0%",stdsurvey[[#This Row],[class_attendance_percent]]&lt;70,"60-70 %",stdsurvey[[#This Row],[class_attendance_percent]]&lt;80, "70-80%",stdsurvey[[#This Row],[class_attendance_percent]]&lt;90,"80-90%",TRUE,"More than 90%")</f>
        <v>60-70 %</v>
      </c>
      <c r="S356" t="s">
        <v>22</v>
      </c>
      <c r="T356">
        <v>2</v>
      </c>
      <c r="U356" t="s">
        <v>26</v>
      </c>
      <c r="V356">
        <v>2.9</v>
      </c>
      <c r="W356" s="4" t="str" cm="1">
        <f t="array" ref="W35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6" s="4" t="str" cm="1">
        <f t="array" ref="X356">_xlfn.IFS(stdsurvey[[#This Row],[daily_sleep_hours]]&lt;4,"&lt; 4 hrs",stdsurvey[[#This Row],[daily_sleep_hours]]&lt;=6,"4-6 hrs",stdsurvey[[#This Row],[daily_sleep_hours]]&lt;=8,"6-8 hrs",TRUE,"&gt; 8 hrs")</f>
        <v>4-6 hrs</v>
      </c>
      <c r="Y356" t="s">
        <v>27</v>
      </c>
    </row>
    <row r="357" spans="1:25" x14ac:dyDescent="0.3">
      <c r="A357" t="s">
        <v>391</v>
      </c>
      <c r="B357">
        <v>20</v>
      </c>
      <c r="C357" t="s">
        <v>27</v>
      </c>
      <c r="D357">
        <v>5</v>
      </c>
      <c r="E357" t="s">
        <v>47</v>
      </c>
      <c r="F357">
        <v>6.8</v>
      </c>
      <c r="G357">
        <v>1.8</v>
      </c>
      <c r="H357">
        <v>0</v>
      </c>
      <c r="I357">
        <v>5</v>
      </c>
      <c r="J357">
        <v>2</v>
      </c>
      <c r="K357" s="4" t="str" cm="1">
        <f t="array" ref="K357">_xlfn.IFS(stdsurvey[[#This Row],[phq9_score]]="","Answer Not Provided",stdsurvey[[#This Row],[phq9_score]]&lt;=4,"Minimal",stdsurvey[[#This Row],[phq9_score]]&lt;=9,"Mild",stdsurvey[[#This Row],[phq9_score]]&lt;=14,"Moderate",stdsurvey[[#This Row],[phq9_score]]&lt;=19,"Moderately Severe",stdsurvey[[#This Row],[phq9_score]]&lt;=27,"Severe")</f>
        <v>Mild</v>
      </c>
      <c r="L357">
        <v>12</v>
      </c>
      <c r="M357" s="4" t="str" cm="1">
        <f t="array" ref="M357">_xlfn.IFS(stdsurvey[[#This Row],[gad7_score]]="","Answer Not Provided",stdsurvey[[#This Row],[gad7_score]]&lt;=4,"Minimal",stdsurvey[[#This Row],[gad7_score]]&lt;=9,"Mild",stdsurvey[[#This Row],[gad7_score]]&lt;=14,"Moderate",stdsurvey[[#This Row],[gad7_score]]&lt;=21,"Severe")</f>
        <v>Minimal</v>
      </c>
      <c r="N357">
        <v>30.3</v>
      </c>
      <c r="O357" s="4" t="str" cm="1">
        <f t="array" ref="O357">_xlfn.IFS(stdsurvey[[#This Row],[perceived_stress_scale]]="","Answer Not Provided",stdsurvey[[#This Row],[perceived_stress_scale]]&lt;=13,"Low Stress",stdsurvey[[#This Row],[perceived_stress_scale]]&lt;=26,"Moderate Stress",stdsurvey[[#This Row],[perceived_stress_scale]]&lt;=40,"High Stress")</f>
        <v>Low Stress</v>
      </c>
      <c r="P357">
        <v>80.2</v>
      </c>
      <c r="Q357">
        <v>2</v>
      </c>
      <c r="R357" s="4" t="str" cm="1">
        <f t="array" ref="R357">_xlfn.IFS(stdsurvey[[#This Row],[class_attendance_percent]]&lt;60,"Less than 0%",stdsurvey[[#This Row],[class_attendance_percent]]&lt;70,"60-70 %",stdsurvey[[#This Row],[class_attendance_percent]]&lt;80, "70-80%",stdsurvey[[#This Row],[class_attendance_percent]]&lt;90,"80-90%",TRUE,"More than 90%")</f>
        <v>80-90%</v>
      </c>
      <c r="S357" t="s">
        <v>33</v>
      </c>
      <c r="T357">
        <v>4</v>
      </c>
      <c r="U357" t="s">
        <v>26</v>
      </c>
      <c r="V357">
        <v>3.09</v>
      </c>
      <c r="W357" s="4" t="str" cm="1">
        <f t="array" ref="W35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7" s="4" t="str" cm="1">
        <f t="array" ref="X357">_xlfn.IFS(stdsurvey[[#This Row],[daily_sleep_hours]]&lt;4,"&lt; 4 hrs",stdsurvey[[#This Row],[daily_sleep_hours]]&lt;=6,"4-6 hrs",stdsurvey[[#This Row],[daily_sleep_hours]]&lt;=8,"6-8 hrs",TRUE,"&gt; 8 hrs")</f>
        <v>6-8 hrs</v>
      </c>
      <c r="Y357" t="s">
        <v>27</v>
      </c>
    </row>
    <row r="358" spans="1:25" x14ac:dyDescent="0.3">
      <c r="A358" t="s">
        <v>392</v>
      </c>
      <c r="B358">
        <v>23</v>
      </c>
      <c r="C358" t="s">
        <v>39</v>
      </c>
      <c r="D358">
        <v>1</v>
      </c>
      <c r="E358" t="s">
        <v>49</v>
      </c>
      <c r="F358">
        <v>6.2</v>
      </c>
      <c r="G358">
        <v>1</v>
      </c>
      <c r="H358">
        <v>3</v>
      </c>
      <c r="I358">
        <v>0</v>
      </c>
      <c r="J358">
        <v>3</v>
      </c>
      <c r="K358" s="4" t="str" cm="1">
        <f t="array" ref="K358">_xlfn.IFS(stdsurvey[[#This Row],[phq9_score]]="","Answer Not Provided",stdsurvey[[#This Row],[phq9_score]]&lt;=4,"Minimal",stdsurvey[[#This Row],[phq9_score]]&lt;=9,"Mild",stdsurvey[[#This Row],[phq9_score]]&lt;=14,"Moderate",stdsurvey[[#This Row],[phq9_score]]&lt;=19,"Moderately Severe",stdsurvey[[#This Row],[phq9_score]]&lt;=27,"Severe")</f>
        <v>Minimal</v>
      </c>
      <c r="L358">
        <v>4</v>
      </c>
      <c r="M358" s="4" t="str" cm="1">
        <f t="array" ref="M358">_xlfn.IFS(stdsurvey[[#This Row],[gad7_score]]="","Answer Not Provided",stdsurvey[[#This Row],[gad7_score]]&lt;=4,"Minimal",stdsurvey[[#This Row],[gad7_score]]&lt;=9,"Mild",stdsurvey[[#This Row],[gad7_score]]&lt;=14,"Moderate",stdsurvey[[#This Row],[gad7_score]]&lt;=21,"Severe")</f>
        <v>Minimal</v>
      </c>
      <c r="N358">
        <v>24.3</v>
      </c>
      <c r="O358" s="4" t="str" cm="1">
        <f t="array" ref="O358">_xlfn.IFS(stdsurvey[[#This Row],[perceived_stress_scale]]="","Answer Not Provided",stdsurvey[[#This Row],[perceived_stress_scale]]&lt;=13,"Low Stress",stdsurvey[[#This Row],[perceived_stress_scale]]&lt;=26,"Moderate Stress",stdsurvey[[#This Row],[perceived_stress_scale]]&lt;=40,"High Stress")</f>
        <v>Low Stress</v>
      </c>
      <c r="P358">
        <v>100</v>
      </c>
      <c r="Q358">
        <v>5</v>
      </c>
      <c r="R358" s="4" t="str" cm="1">
        <f t="array" ref="R358">_xlfn.IFS(stdsurvey[[#This Row],[class_attendance_percent]]&lt;60,"Less than 0%",stdsurvey[[#This Row],[class_attendance_percent]]&lt;70,"60-70 %",stdsurvey[[#This Row],[class_attendance_percent]]&lt;80, "70-80%",stdsurvey[[#This Row],[class_attendance_percent]]&lt;90,"80-90%",TRUE,"More than 90%")</f>
        <v>More than 90%</v>
      </c>
      <c r="S358" t="s">
        <v>33</v>
      </c>
      <c r="T358">
        <v>1</v>
      </c>
      <c r="U358" t="s">
        <v>26</v>
      </c>
      <c r="V358">
        <v>3.19</v>
      </c>
      <c r="W358" s="4" t="str" cm="1">
        <f t="array" ref="W35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8" s="4" t="str" cm="1">
        <f t="array" ref="X358">_xlfn.IFS(stdsurvey[[#This Row],[daily_sleep_hours]]&lt;4,"&lt; 4 hrs",stdsurvey[[#This Row],[daily_sleep_hours]]&lt;=6,"4-6 hrs",stdsurvey[[#This Row],[daily_sleep_hours]]&lt;=8,"6-8 hrs",TRUE,"&gt; 8 hrs")</f>
        <v>6-8 hrs</v>
      </c>
      <c r="Y358" t="s">
        <v>27</v>
      </c>
    </row>
    <row r="359" spans="1:25" x14ac:dyDescent="0.3">
      <c r="A359" t="s">
        <v>393</v>
      </c>
      <c r="B359">
        <v>24</v>
      </c>
      <c r="C359" t="s">
        <v>45</v>
      </c>
      <c r="D359">
        <v>4</v>
      </c>
      <c r="E359" t="s">
        <v>30</v>
      </c>
      <c r="F359">
        <v>3.3</v>
      </c>
      <c r="G359">
        <v>3.3</v>
      </c>
      <c r="H359">
        <v>4</v>
      </c>
      <c r="I359">
        <v>6</v>
      </c>
      <c r="J359">
        <v>7</v>
      </c>
      <c r="K359" s="4" t="str" cm="1">
        <f t="array" ref="K359">_xlfn.IFS(stdsurvey[[#This Row],[phq9_score]]="","Answer Not Provided",stdsurvey[[#This Row],[phq9_score]]&lt;=4,"Minimal",stdsurvey[[#This Row],[phq9_score]]&lt;=9,"Mild",stdsurvey[[#This Row],[phq9_score]]&lt;=14,"Moderate",stdsurvey[[#This Row],[phq9_score]]&lt;=19,"Moderately Severe",stdsurvey[[#This Row],[phq9_score]]&lt;=27,"Severe")</f>
        <v>Mild</v>
      </c>
      <c r="L359">
        <v>14</v>
      </c>
      <c r="M359" s="4" t="str" cm="1">
        <f t="array" ref="M359">_xlfn.IFS(stdsurvey[[#This Row],[gad7_score]]="","Answer Not Provided",stdsurvey[[#This Row],[gad7_score]]&lt;=4,"Minimal",stdsurvey[[#This Row],[gad7_score]]&lt;=9,"Mild",stdsurvey[[#This Row],[gad7_score]]&lt;=14,"Moderate",stdsurvey[[#This Row],[gad7_score]]&lt;=21,"Severe")</f>
        <v>Mild</v>
      </c>
      <c r="N359">
        <v>22.4</v>
      </c>
      <c r="O359" s="4" t="str" cm="1">
        <f t="array" ref="O359">_xlfn.IFS(stdsurvey[[#This Row],[perceived_stress_scale]]="","Answer Not Provided",stdsurvey[[#This Row],[perceived_stress_scale]]&lt;=13,"Low Stress",stdsurvey[[#This Row],[perceived_stress_scale]]&lt;=26,"Moderate Stress",stdsurvey[[#This Row],[perceived_stress_scale]]&lt;=40,"High Stress")</f>
        <v>Moderate Stress</v>
      </c>
      <c r="P359">
        <v>83.5</v>
      </c>
      <c r="Q359">
        <v>4</v>
      </c>
      <c r="R359" s="4" t="str" cm="1">
        <f t="array" ref="R359">_xlfn.IFS(stdsurvey[[#This Row],[class_attendance_percent]]&lt;60,"Less than 0%",stdsurvey[[#This Row],[class_attendance_percent]]&lt;70,"60-70 %",stdsurvey[[#This Row],[class_attendance_percent]]&lt;80, "70-80%",stdsurvey[[#This Row],[class_attendance_percent]]&lt;90,"80-90%",TRUE,"More than 90%")</f>
        <v>80-90%</v>
      </c>
      <c r="S359" t="s">
        <v>22</v>
      </c>
      <c r="T359">
        <v>3</v>
      </c>
      <c r="U359" t="s">
        <v>23</v>
      </c>
      <c r="V359">
        <v>3.08</v>
      </c>
      <c r="W359" s="4" t="str" cm="1">
        <f t="array" ref="W35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59" s="4" t="str" cm="1">
        <f t="array" ref="X359">_xlfn.IFS(stdsurvey[[#This Row],[daily_sleep_hours]]&lt;4,"&lt; 4 hrs",stdsurvey[[#This Row],[daily_sleep_hours]]&lt;=6,"4-6 hrs",stdsurvey[[#This Row],[daily_sleep_hours]]&lt;=8,"6-8 hrs",TRUE,"&gt; 8 hrs")</f>
        <v>&lt; 4 hrs</v>
      </c>
      <c r="Y359" t="s">
        <v>20</v>
      </c>
    </row>
    <row r="360" spans="1:25" x14ac:dyDescent="0.3">
      <c r="A360" t="s">
        <v>394</v>
      </c>
      <c r="B360">
        <v>22</v>
      </c>
      <c r="C360" t="s">
        <v>27</v>
      </c>
      <c r="D360">
        <v>3</v>
      </c>
      <c r="E360" t="s">
        <v>21</v>
      </c>
      <c r="F360">
        <v>5</v>
      </c>
      <c r="G360">
        <v>7</v>
      </c>
      <c r="H360">
        <v>4</v>
      </c>
      <c r="I360">
        <v>5</v>
      </c>
      <c r="J360">
        <v>7</v>
      </c>
      <c r="K360" s="4" t="str" cm="1">
        <f t="array" ref="K360">_xlfn.IFS(stdsurvey[[#This Row],[phq9_score]]="","Answer Not Provided",stdsurvey[[#This Row],[phq9_score]]&lt;=4,"Minimal",stdsurvey[[#This Row],[phq9_score]]&lt;=9,"Mild",stdsurvey[[#This Row],[phq9_score]]&lt;=14,"Moderate",stdsurvey[[#This Row],[phq9_score]]&lt;=19,"Moderately Severe",stdsurvey[[#This Row],[phq9_score]]&lt;=27,"Severe")</f>
        <v>Mild</v>
      </c>
      <c r="L360">
        <v>11</v>
      </c>
      <c r="M360" s="4" t="str" cm="1">
        <f t="array" ref="M360">_xlfn.IFS(stdsurvey[[#This Row],[gad7_score]]="","Answer Not Provided",stdsurvey[[#This Row],[gad7_score]]&lt;=4,"Minimal",stdsurvey[[#This Row],[gad7_score]]&lt;=9,"Mild",stdsurvey[[#This Row],[gad7_score]]&lt;=14,"Moderate",stdsurvey[[#This Row],[gad7_score]]&lt;=21,"Severe")</f>
        <v>Mild</v>
      </c>
      <c r="N360">
        <v>7.4</v>
      </c>
      <c r="O360" s="4" t="str" cm="1">
        <f t="array" ref="O360">_xlfn.IFS(stdsurvey[[#This Row],[perceived_stress_scale]]="","Answer Not Provided",stdsurvey[[#This Row],[perceived_stress_scale]]&lt;=13,"Low Stress",stdsurvey[[#This Row],[perceived_stress_scale]]&lt;=26,"Moderate Stress",stdsurvey[[#This Row],[perceived_stress_scale]]&lt;=40,"High Stress")</f>
        <v>Low Stress</v>
      </c>
      <c r="P360">
        <v>98.4</v>
      </c>
      <c r="Q360">
        <v>4</v>
      </c>
      <c r="R360" s="4" t="str" cm="1">
        <f t="array" ref="R360">_xlfn.IFS(stdsurvey[[#This Row],[class_attendance_percent]]&lt;60,"Less than 0%",stdsurvey[[#This Row],[class_attendance_percent]]&lt;70,"60-70 %",stdsurvey[[#This Row],[class_attendance_percent]]&lt;80, "70-80%",stdsurvey[[#This Row],[class_attendance_percent]]&lt;90,"80-90%",TRUE,"More than 90%")</f>
        <v>More than 90%</v>
      </c>
      <c r="S360" t="s">
        <v>22</v>
      </c>
      <c r="T360">
        <v>3</v>
      </c>
      <c r="U360" t="s">
        <v>51</v>
      </c>
      <c r="V360">
        <v>2.06</v>
      </c>
      <c r="W360" s="4" t="str" cm="1">
        <f t="array" ref="W36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0" s="4" t="str" cm="1">
        <f t="array" ref="X360">_xlfn.IFS(stdsurvey[[#This Row],[daily_sleep_hours]]&lt;4,"&lt; 4 hrs",stdsurvey[[#This Row],[daily_sleep_hours]]&lt;=6,"4-6 hrs",stdsurvey[[#This Row],[daily_sleep_hours]]&lt;=8,"6-8 hrs",TRUE,"&gt; 8 hrs")</f>
        <v>4-6 hrs</v>
      </c>
      <c r="Y360" t="s">
        <v>27</v>
      </c>
    </row>
    <row r="361" spans="1:25" x14ac:dyDescent="0.3">
      <c r="A361" t="s">
        <v>395</v>
      </c>
      <c r="B361">
        <v>22</v>
      </c>
      <c r="C361" t="s">
        <v>27</v>
      </c>
      <c r="D361">
        <v>3</v>
      </c>
      <c r="E361" t="s">
        <v>32</v>
      </c>
      <c r="F361">
        <v>4.3</v>
      </c>
      <c r="G361">
        <v>9.4</v>
      </c>
      <c r="H361">
        <v>7</v>
      </c>
      <c r="I361">
        <v>4</v>
      </c>
      <c r="J361">
        <v>4</v>
      </c>
      <c r="K361" s="4" t="str" cm="1">
        <f t="array" ref="K361">_xlfn.IFS(stdsurvey[[#This Row],[phq9_score]]="","Answer Not Provided",stdsurvey[[#This Row],[phq9_score]]&lt;=4,"Minimal",stdsurvey[[#This Row],[phq9_score]]&lt;=9,"Mild",stdsurvey[[#This Row],[phq9_score]]&lt;=14,"Moderate",stdsurvey[[#This Row],[phq9_score]]&lt;=19,"Moderately Severe",stdsurvey[[#This Row],[phq9_score]]&lt;=27,"Severe")</f>
        <v>Minimal</v>
      </c>
      <c r="L361">
        <v>14</v>
      </c>
      <c r="M361" s="4" t="str" cm="1">
        <f t="array" ref="M361">_xlfn.IFS(stdsurvey[[#This Row],[gad7_score]]="","Answer Not Provided",stdsurvey[[#This Row],[gad7_score]]&lt;=4,"Minimal",stdsurvey[[#This Row],[gad7_score]]&lt;=9,"Mild",stdsurvey[[#This Row],[gad7_score]]&lt;=14,"Moderate",stdsurvey[[#This Row],[gad7_score]]&lt;=21,"Severe")</f>
        <v>Minimal</v>
      </c>
      <c r="N361">
        <v>25.1</v>
      </c>
      <c r="O361" s="4" t="str" cm="1">
        <f t="array" ref="O361">_xlfn.IFS(stdsurvey[[#This Row],[perceived_stress_scale]]="","Answer Not Provided",stdsurvey[[#This Row],[perceived_stress_scale]]&lt;=13,"Low Stress",stdsurvey[[#This Row],[perceived_stress_scale]]&lt;=26,"Moderate Stress",stdsurvey[[#This Row],[perceived_stress_scale]]&lt;=40,"High Stress")</f>
        <v>Moderate Stress</v>
      </c>
      <c r="P361">
        <v>68.099999999999994</v>
      </c>
      <c r="Q361">
        <v>1</v>
      </c>
      <c r="R361" s="4" t="str" cm="1">
        <f t="array" ref="R361">_xlfn.IFS(stdsurvey[[#This Row],[class_attendance_percent]]&lt;60,"Less than 0%",stdsurvey[[#This Row],[class_attendance_percent]]&lt;70,"60-70 %",stdsurvey[[#This Row],[class_attendance_percent]]&lt;80, "70-80%",stdsurvey[[#This Row],[class_attendance_percent]]&lt;90,"80-90%",TRUE,"More than 90%")</f>
        <v>60-70 %</v>
      </c>
      <c r="S361" t="s">
        <v>22</v>
      </c>
      <c r="T361">
        <v>4</v>
      </c>
      <c r="U361" t="s">
        <v>51</v>
      </c>
      <c r="V361">
        <v>2.78</v>
      </c>
      <c r="W361" s="4" t="str" cm="1">
        <f t="array" ref="W36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61" s="4" t="str" cm="1">
        <f t="array" ref="X361">_xlfn.IFS(stdsurvey[[#This Row],[daily_sleep_hours]]&lt;4,"&lt; 4 hrs",stdsurvey[[#This Row],[daily_sleep_hours]]&lt;=6,"4-6 hrs",stdsurvey[[#This Row],[daily_sleep_hours]]&lt;=8,"6-8 hrs",TRUE,"&gt; 8 hrs")</f>
        <v>4-6 hrs</v>
      </c>
      <c r="Y361" t="s">
        <v>27</v>
      </c>
    </row>
    <row r="362" spans="1:25" x14ac:dyDescent="0.3">
      <c r="A362" t="s">
        <v>396</v>
      </c>
      <c r="B362">
        <v>22</v>
      </c>
      <c r="C362" t="s">
        <v>27</v>
      </c>
      <c r="D362">
        <v>4</v>
      </c>
      <c r="E362" t="s">
        <v>30</v>
      </c>
      <c r="F362">
        <v>7.5</v>
      </c>
      <c r="G362">
        <v>8</v>
      </c>
      <c r="H362">
        <v>3</v>
      </c>
      <c r="I362">
        <v>3</v>
      </c>
      <c r="J362">
        <v>4</v>
      </c>
      <c r="K362" s="4" t="str" cm="1">
        <f t="array" ref="K362">_xlfn.IFS(stdsurvey[[#This Row],[phq9_score]]="","Answer Not Provided",stdsurvey[[#This Row],[phq9_score]]&lt;=4,"Minimal",stdsurvey[[#This Row],[phq9_score]]&lt;=9,"Mild",stdsurvey[[#This Row],[phq9_score]]&lt;=14,"Moderate",stdsurvey[[#This Row],[phq9_score]]&lt;=19,"Moderately Severe",stdsurvey[[#This Row],[phq9_score]]&lt;=27,"Severe")</f>
        <v>Minimal</v>
      </c>
      <c r="L362">
        <v>10</v>
      </c>
      <c r="M362" s="4" t="str" cm="1">
        <f t="array" ref="M362">_xlfn.IFS(stdsurvey[[#This Row],[gad7_score]]="","Answer Not Provided",stdsurvey[[#This Row],[gad7_score]]&lt;=4,"Minimal",stdsurvey[[#This Row],[gad7_score]]&lt;=9,"Mild",stdsurvey[[#This Row],[gad7_score]]&lt;=14,"Moderate",stdsurvey[[#This Row],[gad7_score]]&lt;=21,"Severe")</f>
        <v>Minimal</v>
      </c>
      <c r="N362">
        <v>13.9</v>
      </c>
      <c r="O362" s="4" t="str" cm="1">
        <f t="array" ref="O362">_xlfn.IFS(stdsurvey[[#This Row],[perceived_stress_scale]]="","Answer Not Provided",stdsurvey[[#This Row],[perceived_stress_scale]]&lt;=13,"Low Stress",stdsurvey[[#This Row],[perceived_stress_scale]]&lt;=26,"Moderate Stress",stdsurvey[[#This Row],[perceived_stress_scale]]&lt;=40,"High Stress")</f>
        <v>Low Stress</v>
      </c>
      <c r="P362">
        <v>95.8</v>
      </c>
      <c r="Q362">
        <v>5</v>
      </c>
      <c r="R362" s="4" t="str" cm="1">
        <f t="array" ref="R362">_xlfn.IFS(stdsurvey[[#This Row],[class_attendance_percent]]&lt;60,"Less than 0%",stdsurvey[[#This Row],[class_attendance_percent]]&lt;70,"60-70 %",stdsurvey[[#This Row],[class_attendance_percent]]&lt;80, "70-80%",stdsurvey[[#This Row],[class_attendance_percent]]&lt;90,"80-90%",TRUE,"More than 90%")</f>
        <v>More than 90%</v>
      </c>
      <c r="S362" t="s">
        <v>33</v>
      </c>
      <c r="T362">
        <v>4</v>
      </c>
      <c r="U362" t="s">
        <v>26</v>
      </c>
      <c r="V362">
        <v>2.87</v>
      </c>
      <c r="W362" s="4" t="str" cm="1">
        <f t="array" ref="W36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62" s="4" t="str" cm="1">
        <f t="array" ref="X362">_xlfn.IFS(stdsurvey[[#This Row],[daily_sleep_hours]]&lt;4,"&lt; 4 hrs",stdsurvey[[#This Row],[daily_sleep_hours]]&lt;=6,"4-6 hrs",stdsurvey[[#This Row],[daily_sleep_hours]]&lt;=8,"6-8 hrs",TRUE,"&gt; 8 hrs")</f>
        <v>6-8 hrs</v>
      </c>
      <c r="Y362" t="s">
        <v>27</v>
      </c>
    </row>
    <row r="363" spans="1:25" x14ac:dyDescent="0.3">
      <c r="A363" t="s">
        <v>397</v>
      </c>
      <c r="B363">
        <v>20</v>
      </c>
      <c r="C363" t="s">
        <v>20</v>
      </c>
      <c r="D363">
        <v>5</v>
      </c>
      <c r="E363" t="s">
        <v>30</v>
      </c>
      <c r="F363">
        <v>3.5</v>
      </c>
      <c r="G363">
        <v>8.3000000000000007</v>
      </c>
      <c r="H363">
        <v>4</v>
      </c>
      <c r="I363">
        <v>4</v>
      </c>
      <c r="J363">
        <v>5</v>
      </c>
      <c r="K363" s="4" t="str" cm="1">
        <f t="array" ref="K363">_xlfn.IFS(stdsurvey[[#This Row],[phq9_score]]="","Answer Not Provided",stdsurvey[[#This Row],[phq9_score]]&lt;=4,"Minimal",stdsurvey[[#This Row],[phq9_score]]&lt;=9,"Mild",stdsurvey[[#This Row],[phq9_score]]&lt;=14,"Moderate",stdsurvey[[#This Row],[phq9_score]]&lt;=19,"Moderately Severe",stdsurvey[[#This Row],[phq9_score]]&lt;=27,"Severe")</f>
        <v>Minimal</v>
      </c>
      <c r="L363">
        <v>13</v>
      </c>
      <c r="M363" s="4" t="str" cm="1">
        <f t="array" ref="M363">_xlfn.IFS(stdsurvey[[#This Row],[gad7_score]]="","Answer Not Provided",stdsurvey[[#This Row],[gad7_score]]&lt;=4,"Minimal",stdsurvey[[#This Row],[gad7_score]]&lt;=9,"Mild",stdsurvey[[#This Row],[gad7_score]]&lt;=14,"Moderate",stdsurvey[[#This Row],[gad7_score]]&lt;=21,"Severe")</f>
        <v>Mild</v>
      </c>
      <c r="N363">
        <v>26.8</v>
      </c>
      <c r="O363" s="4" t="str" cm="1">
        <f t="array" ref="O363">_xlfn.IFS(stdsurvey[[#This Row],[perceived_stress_scale]]="","Answer Not Provided",stdsurvey[[#This Row],[perceived_stress_scale]]&lt;=13,"Low Stress",stdsurvey[[#This Row],[perceived_stress_scale]]&lt;=26,"Moderate Stress",stdsurvey[[#This Row],[perceived_stress_scale]]&lt;=40,"High Stress")</f>
        <v>Low Stress</v>
      </c>
      <c r="P363">
        <v>74.400000000000006</v>
      </c>
      <c r="Q363">
        <v>4</v>
      </c>
      <c r="R363" s="4" t="str" cm="1">
        <f t="array" ref="R363">_xlfn.IFS(stdsurvey[[#This Row],[class_attendance_percent]]&lt;60,"Less than 0%",stdsurvey[[#This Row],[class_attendance_percent]]&lt;70,"60-70 %",stdsurvey[[#This Row],[class_attendance_percent]]&lt;80, "70-80%",stdsurvey[[#This Row],[class_attendance_percent]]&lt;90,"80-90%",TRUE,"More than 90%")</f>
        <v>70-80%</v>
      </c>
      <c r="S363" t="s">
        <v>22</v>
      </c>
      <c r="T363">
        <v>3</v>
      </c>
      <c r="U363" t="s">
        <v>26</v>
      </c>
      <c r="V363">
        <v>3.29</v>
      </c>
      <c r="W363" s="4" t="str" cm="1">
        <f t="array" ref="W36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63" s="4" t="str" cm="1">
        <f t="array" ref="X363">_xlfn.IFS(stdsurvey[[#This Row],[daily_sleep_hours]]&lt;4,"&lt; 4 hrs",stdsurvey[[#This Row],[daily_sleep_hours]]&lt;=6,"4-6 hrs",stdsurvey[[#This Row],[daily_sleep_hours]]&lt;=8,"6-8 hrs",TRUE,"&gt; 8 hrs")</f>
        <v>&lt; 4 hrs</v>
      </c>
      <c r="Y363" t="s">
        <v>20</v>
      </c>
    </row>
    <row r="364" spans="1:25" x14ac:dyDescent="0.3">
      <c r="A364" t="s">
        <v>398</v>
      </c>
      <c r="B364">
        <v>21</v>
      </c>
      <c r="C364" t="s">
        <v>20</v>
      </c>
      <c r="D364">
        <v>3</v>
      </c>
      <c r="E364" t="s">
        <v>30</v>
      </c>
      <c r="F364">
        <v>4.4000000000000004</v>
      </c>
      <c r="G364">
        <v>2</v>
      </c>
      <c r="H364">
        <v>3</v>
      </c>
      <c r="I364">
        <v>8</v>
      </c>
      <c r="J364">
        <v>11</v>
      </c>
      <c r="K364" s="4" t="str" cm="1">
        <f t="array" ref="K364">_xlfn.IFS(stdsurvey[[#This Row],[phq9_score]]="","Answer Not Provided",stdsurvey[[#This Row],[phq9_score]]&lt;=4,"Minimal",stdsurvey[[#This Row],[phq9_score]]&lt;=9,"Mild",stdsurvey[[#This Row],[phq9_score]]&lt;=14,"Moderate",stdsurvey[[#This Row],[phq9_score]]&lt;=19,"Moderately Severe",stdsurvey[[#This Row],[phq9_score]]&lt;=27,"Severe")</f>
        <v>Mild</v>
      </c>
      <c r="L364">
        <v>9</v>
      </c>
      <c r="M364" s="4" t="str" cm="1">
        <f t="array" ref="M364">_xlfn.IFS(stdsurvey[[#This Row],[gad7_score]]="","Answer Not Provided",stdsurvey[[#This Row],[gad7_score]]&lt;=4,"Minimal",stdsurvey[[#This Row],[gad7_score]]&lt;=9,"Mild",stdsurvey[[#This Row],[gad7_score]]&lt;=14,"Moderate",stdsurvey[[#This Row],[gad7_score]]&lt;=21,"Severe")</f>
        <v>Moderate</v>
      </c>
      <c r="N364">
        <v>15</v>
      </c>
      <c r="O364" s="4" t="str" cm="1">
        <f t="array" ref="O364">_xlfn.IFS(stdsurvey[[#This Row],[perceived_stress_scale]]="","Answer Not Provided",stdsurvey[[#This Row],[perceived_stress_scale]]&lt;=13,"Low Stress",stdsurvey[[#This Row],[perceived_stress_scale]]&lt;=26,"Moderate Stress",stdsurvey[[#This Row],[perceived_stress_scale]]&lt;=40,"High Stress")</f>
        <v>Low Stress</v>
      </c>
      <c r="P364">
        <v>82.4</v>
      </c>
      <c r="Q364">
        <v>3</v>
      </c>
      <c r="R364" s="4" t="str" cm="1">
        <f t="array" ref="R364">_xlfn.IFS(stdsurvey[[#This Row],[class_attendance_percent]]&lt;60,"Less than 0%",stdsurvey[[#This Row],[class_attendance_percent]]&lt;70,"60-70 %",stdsurvey[[#This Row],[class_attendance_percent]]&lt;80, "70-80%",stdsurvey[[#This Row],[class_attendance_percent]]&lt;90,"80-90%",TRUE,"More than 90%")</f>
        <v>80-90%</v>
      </c>
      <c r="S364" t="s">
        <v>33</v>
      </c>
      <c r="T364">
        <v>4</v>
      </c>
      <c r="U364" t="s">
        <v>23</v>
      </c>
      <c r="V364">
        <v>2.61</v>
      </c>
      <c r="W364" s="4" t="str" cm="1">
        <f t="array" ref="W36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64" s="4" t="str" cm="1">
        <f t="array" ref="X364">_xlfn.IFS(stdsurvey[[#This Row],[daily_sleep_hours]]&lt;4,"&lt; 4 hrs",stdsurvey[[#This Row],[daily_sleep_hours]]&lt;=6,"4-6 hrs",stdsurvey[[#This Row],[daily_sleep_hours]]&lt;=8,"6-8 hrs",TRUE,"&gt; 8 hrs")</f>
        <v>4-6 hrs</v>
      </c>
      <c r="Y364" t="s">
        <v>20</v>
      </c>
    </row>
    <row r="365" spans="1:25" x14ac:dyDescent="0.3">
      <c r="A365" t="s">
        <v>399</v>
      </c>
      <c r="B365">
        <v>21</v>
      </c>
      <c r="C365" t="s">
        <v>27</v>
      </c>
      <c r="D365">
        <v>3</v>
      </c>
      <c r="E365" t="s">
        <v>21</v>
      </c>
      <c r="F365">
        <v>7.6</v>
      </c>
      <c r="G365">
        <v>5.2</v>
      </c>
      <c r="H365">
        <v>5</v>
      </c>
      <c r="I365">
        <v>5</v>
      </c>
      <c r="J365">
        <v>0</v>
      </c>
      <c r="K365" s="4" t="str" cm="1">
        <f t="array" ref="K365">_xlfn.IFS(stdsurvey[[#This Row],[phq9_score]]="","Answer Not Provided",stdsurvey[[#This Row],[phq9_score]]&lt;=4,"Minimal",stdsurvey[[#This Row],[phq9_score]]&lt;=9,"Mild",stdsurvey[[#This Row],[phq9_score]]&lt;=14,"Moderate",stdsurvey[[#This Row],[phq9_score]]&lt;=19,"Moderately Severe",stdsurvey[[#This Row],[phq9_score]]&lt;=27,"Severe")</f>
        <v>Mild</v>
      </c>
      <c r="L365">
        <v>8</v>
      </c>
      <c r="M365" s="4" t="str" cm="1">
        <f t="array" ref="M365">_xlfn.IFS(stdsurvey[[#This Row],[gad7_score]]="","Answer Not Provided",stdsurvey[[#This Row],[gad7_score]]&lt;=4,"Minimal",stdsurvey[[#This Row],[gad7_score]]&lt;=9,"Mild",stdsurvey[[#This Row],[gad7_score]]&lt;=14,"Moderate",stdsurvey[[#This Row],[gad7_score]]&lt;=21,"Severe")</f>
        <v>Minimal</v>
      </c>
      <c r="N365">
        <v>4.0999999999999996</v>
      </c>
      <c r="O365" s="4" t="str" cm="1">
        <f t="array" ref="O365">_xlfn.IFS(stdsurvey[[#This Row],[perceived_stress_scale]]="","Answer Not Provided",stdsurvey[[#This Row],[perceived_stress_scale]]&lt;=13,"Low Stress",stdsurvey[[#This Row],[perceived_stress_scale]]&lt;=26,"Moderate Stress",stdsurvey[[#This Row],[perceived_stress_scale]]&lt;=40,"High Stress")</f>
        <v>Low Stress</v>
      </c>
      <c r="P365">
        <v>80.7</v>
      </c>
      <c r="Q365">
        <v>1</v>
      </c>
      <c r="R365" s="4" t="str" cm="1">
        <f t="array" ref="R365">_xlfn.IFS(stdsurvey[[#This Row],[class_attendance_percent]]&lt;60,"Less than 0%",stdsurvey[[#This Row],[class_attendance_percent]]&lt;70,"60-70 %",stdsurvey[[#This Row],[class_attendance_percent]]&lt;80, "70-80%",stdsurvey[[#This Row],[class_attendance_percent]]&lt;90,"80-90%",TRUE,"More than 90%")</f>
        <v>80-90%</v>
      </c>
      <c r="S365" t="s">
        <v>33</v>
      </c>
      <c r="T365">
        <v>2</v>
      </c>
      <c r="U365" t="s">
        <v>23</v>
      </c>
      <c r="V365">
        <v>2.6</v>
      </c>
      <c r="W365" s="4" t="str" cm="1">
        <f t="array" ref="W36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5" s="4" t="str" cm="1">
        <f t="array" ref="X365">_xlfn.IFS(stdsurvey[[#This Row],[daily_sleep_hours]]&lt;4,"&lt; 4 hrs",stdsurvey[[#This Row],[daily_sleep_hours]]&lt;=6,"4-6 hrs",stdsurvey[[#This Row],[daily_sleep_hours]]&lt;=8,"6-8 hrs",TRUE,"&gt; 8 hrs")</f>
        <v>6-8 hrs</v>
      </c>
      <c r="Y365" t="s">
        <v>27</v>
      </c>
    </row>
    <row r="366" spans="1:25" x14ac:dyDescent="0.3">
      <c r="A366" t="s">
        <v>400</v>
      </c>
      <c r="B366">
        <v>22</v>
      </c>
      <c r="C366" t="s">
        <v>27</v>
      </c>
      <c r="D366">
        <v>2</v>
      </c>
      <c r="E366" t="s">
        <v>21</v>
      </c>
      <c r="F366">
        <v>7.8</v>
      </c>
      <c r="G366">
        <v>6.2</v>
      </c>
      <c r="H366">
        <v>3</v>
      </c>
      <c r="I366">
        <v>4</v>
      </c>
      <c r="J366">
        <v>3</v>
      </c>
      <c r="K366" s="4" t="str" cm="1">
        <f t="array" ref="K366">_xlfn.IFS(stdsurvey[[#This Row],[phq9_score]]="","Answer Not Provided",stdsurvey[[#This Row],[phq9_score]]&lt;=4,"Minimal",stdsurvey[[#This Row],[phq9_score]]&lt;=9,"Mild",stdsurvey[[#This Row],[phq9_score]]&lt;=14,"Moderate",stdsurvey[[#This Row],[phq9_score]]&lt;=19,"Moderately Severe",stdsurvey[[#This Row],[phq9_score]]&lt;=27,"Severe")</f>
        <v>Minimal</v>
      </c>
      <c r="L366">
        <v>10</v>
      </c>
      <c r="M366" s="4" t="str" cm="1">
        <f t="array" ref="M366">_xlfn.IFS(stdsurvey[[#This Row],[gad7_score]]="","Answer Not Provided",stdsurvey[[#This Row],[gad7_score]]&lt;=4,"Minimal",stdsurvey[[#This Row],[gad7_score]]&lt;=9,"Mild",stdsurvey[[#This Row],[gad7_score]]&lt;=14,"Moderate",stdsurvey[[#This Row],[gad7_score]]&lt;=21,"Severe")</f>
        <v>Minimal</v>
      </c>
      <c r="N366">
        <v>29.6</v>
      </c>
      <c r="O366" s="4" t="str" cm="1">
        <f t="array" ref="O366">_xlfn.IFS(stdsurvey[[#This Row],[perceived_stress_scale]]="","Answer Not Provided",stdsurvey[[#This Row],[perceived_stress_scale]]&lt;=13,"Low Stress",stdsurvey[[#This Row],[perceived_stress_scale]]&lt;=26,"Moderate Stress",stdsurvey[[#This Row],[perceived_stress_scale]]&lt;=40,"High Stress")</f>
        <v>Low Stress</v>
      </c>
      <c r="P366">
        <v>97</v>
      </c>
      <c r="Q366">
        <v>5</v>
      </c>
      <c r="R366" s="4" t="str" cm="1">
        <f t="array" ref="R366">_xlfn.IFS(stdsurvey[[#This Row],[class_attendance_percent]]&lt;60,"Less than 0%",stdsurvey[[#This Row],[class_attendance_percent]]&lt;70,"60-70 %",stdsurvey[[#This Row],[class_attendance_percent]]&lt;80, "70-80%",stdsurvey[[#This Row],[class_attendance_percent]]&lt;90,"80-90%",TRUE,"More than 90%")</f>
        <v>More than 90%</v>
      </c>
      <c r="S366" t="s">
        <v>22</v>
      </c>
      <c r="T366">
        <v>3</v>
      </c>
      <c r="U366" t="s">
        <v>23</v>
      </c>
      <c r="V366">
        <v>3.43</v>
      </c>
      <c r="W366" s="4" t="str" cm="1">
        <f t="array" ref="W36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6" s="4" t="str" cm="1">
        <f t="array" ref="X366">_xlfn.IFS(stdsurvey[[#This Row],[daily_sleep_hours]]&lt;4,"&lt; 4 hrs",stdsurvey[[#This Row],[daily_sleep_hours]]&lt;=6,"4-6 hrs",stdsurvey[[#This Row],[daily_sleep_hours]]&lt;=8,"6-8 hrs",TRUE,"&gt; 8 hrs")</f>
        <v>6-8 hrs</v>
      </c>
      <c r="Y366" t="s">
        <v>27</v>
      </c>
    </row>
    <row r="367" spans="1:25" x14ac:dyDescent="0.3">
      <c r="A367" t="s">
        <v>401</v>
      </c>
      <c r="B367">
        <v>24</v>
      </c>
      <c r="C367" t="s">
        <v>20</v>
      </c>
      <c r="D367">
        <v>2</v>
      </c>
      <c r="E367" t="s">
        <v>30</v>
      </c>
      <c r="F367">
        <v>5.6</v>
      </c>
      <c r="G367">
        <v>6.4</v>
      </c>
      <c r="H367">
        <v>5</v>
      </c>
      <c r="I367">
        <v>3</v>
      </c>
      <c r="J367">
        <v>4</v>
      </c>
      <c r="K367" s="4" t="str" cm="1">
        <f t="array" ref="K367">_xlfn.IFS(stdsurvey[[#This Row],[phq9_score]]="","Answer Not Provided",stdsurvey[[#This Row],[phq9_score]]&lt;=4,"Minimal",stdsurvey[[#This Row],[phq9_score]]&lt;=9,"Mild",stdsurvey[[#This Row],[phq9_score]]&lt;=14,"Moderate",stdsurvey[[#This Row],[phq9_score]]&lt;=19,"Moderately Severe",stdsurvey[[#This Row],[phq9_score]]&lt;=27,"Severe")</f>
        <v>Minimal</v>
      </c>
      <c r="L367">
        <v>9</v>
      </c>
      <c r="M367" s="4" t="str" cm="1">
        <f t="array" ref="M367">_xlfn.IFS(stdsurvey[[#This Row],[gad7_score]]="","Answer Not Provided",stdsurvey[[#This Row],[gad7_score]]&lt;=4,"Minimal",stdsurvey[[#This Row],[gad7_score]]&lt;=9,"Mild",stdsurvey[[#This Row],[gad7_score]]&lt;=14,"Moderate",stdsurvey[[#This Row],[gad7_score]]&lt;=21,"Severe")</f>
        <v>Minimal</v>
      </c>
      <c r="N367">
        <v>13.6</v>
      </c>
      <c r="O367" s="4" t="str" cm="1">
        <f t="array" ref="O367">_xlfn.IFS(stdsurvey[[#This Row],[perceived_stress_scale]]="","Answer Not Provided",stdsurvey[[#This Row],[perceived_stress_scale]]&lt;=13,"Low Stress",stdsurvey[[#This Row],[perceived_stress_scale]]&lt;=26,"Moderate Stress",stdsurvey[[#This Row],[perceived_stress_scale]]&lt;=40,"High Stress")</f>
        <v>Low Stress</v>
      </c>
      <c r="P367">
        <v>81.5</v>
      </c>
      <c r="R367" s="4" t="str" cm="1">
        <f t="array" ref="R367">_xlfn.IFS(stdsurvey[[#This Row],[class_attendance_percent]]&lt;60,"Less than 0%",stdsurvey[[#This Row],[class_attendance_percent]]&lt;70,"60-70 %",stdsurvey[[#This Row],[class_attendance_percent]]&lt;80, "70-80%",stdsurvey[[#This Row],[class_attendance_percent]]&lt;90,"80-90%",TRUE,"More than 90%")</f>
        <v>80-90%</v>
      </c>
      <c r="S367" t="s">
        <v>33</v>
      </c>
      <c r="T367">
        <v>1</v>
      </c>
      <c r="U367" t="s">
        <v>26</v>
      </c>
      <c r="V367">
        <v>2.66</v>
      </c>
      <c r="W367" s="4" t="str" cm="1">
        <f t="array" ref="W36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7" s="4" t="str" cm="1">
        <f t="array" ref="X367">_xlfn.IFS(stdsurvey[[#This Row],[daily_sleep_hours]]&lt;4,"&lt; 4 hrs",stdsurvey[[#This Row],[daily_sleep_hours]]&lt;=6,"4-6 hrs",stdsurvey[[#This Row],[daily_sleep_hours]]&lt;=8,"6-8 hrs",TRUE,"&gt; 8 hrs")</f>
        <v>4-6 hrs</v>
      </c>
      <c r="Y367" t="s">
        <v>20</v>
      </c>
    </row>
    <row r="368" spans="1:25" x14ac:dyDescent="0.3">
      <c r="A368" t="s">
        <v>402</v>
      </c>
      <c r="B368">
        <v>19</v>
      </c>
      <c r="C368" t="s">
        <v>102</v>
      </c>
      <c r="D368">
        <v>2</v>
      </c>
      <c r="E368" t="s">
        <v>47</v>
      </c>
      <c r="F368">
        <v>5.3</v>
      </c>
      <c r="G368">
        <v>4.2</v>
      </c>
      <c r="H368">
        <v>1</v>
      </c>
      <c r="I368">
        <v>11</v>
      </c>
      <c r="J368">
        <v>7</v>
      </c>
      <c r="K368" s="4" t="str" cm="1">
        <f t="array" ref="K368">_xlfn.IFS(stdsurvey[[#This Row],[phq9_score]]="","Answer Not Provided",stdsurvey[[#This Row],[phq9_score]]&lt;=4,"Minimal",stdsurvey[[#This Row],[phq9_score]]&lt;=9,"Mild",stdsurvey[[#This Row],[phq9_score]]&lt;=14,"Moderate",stdsurvey[[#This Row],[phq9_score]]&lt;=19,"Moderately Severe",stdsurvey[[#This Row],[phq9_score]]&lt;=27,"Severe")</f>
        <v>Moderate</v>
      </c>
      <c r="L368">
        <v>18</v>
      </c>
      <c r="M368" s="4" t="str" cm="1">
        <f t="array" ref="M368">_xlfn.IFS(stdsurvey[[#This Row],[gad7_score]]="","Answer Not Provided",stdsurvey[[#This Row],[gad7_score]]&lt;=4,"Minimal",stdsurvey[[#This Row],[gad7_score]]&lt;=9,"Mild",stdsurvey[[#This Row],[gad7_score]]&lt;=14,"Moderate",stdsurvey[[#This Row],[gad7_score]]&lt;=21,"Severe")</f>
        <v>Mild</v>
      </c>
      <c r="N368">
        <v>28.8</v>
      </c>
      <c r="O368" s="4" t="str" cm="1">
        <f t="array" ref="O368">_xlfn.IFS(stdsurvey[[#This Row],[perceived_stress_scale]]="","Answer Not Provided",stdsurvey[[#This Row],[perceived_stress_scale]]&lt;=13,"Low Stress",stdsurvey[[#This Row],[perceived_stress_scale]]&lt;=26,"Moderate Stress",stdsurvey[[#This Row],[perceived_stress_scale]]&lt;=40,"High Stress")</f>
        <v>Moderate Stress</v>
      </c>
      <c r="P368">
        <v>74</v>
      </c>
      <c r="Q368">
        <v>4</v>
      </c>
      <c r="R368" s="4" t="str" cm="1">
        <f t="array" ref="R368">_xlfn.IFS(stdsurvey[[#This Row],[class_attendance_percent]]&lt;60,"Less than 0%",stdsurvey[[#This Row],[class_attendance_percent]]&lt;70,"60-70 %",stdsurvey[[#This Row],[class_attendance_percent]]&lt;80, "70-80%",stdsurvey[[#This Row],[class_attendance_percent]]&lt;90,"80-90%",TRUE,"More than 90%")</f>
        <v>70-80%</v>
      </c>
      <c r="S368" t="s">
        <v>22</v>
      </c>
      <c r="T368">
        <v>3</v>
      </c>
      <c r="U368" t="s">
        <v>26</v>
      </c>
      <c r="V368">
        <v>2.8</v>
      </c>
      <c r="W368" s="4" t="str" cm="1">
        <f t="array" ref="W36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8" s="4" t="str" cm="1">
        <f t="array" ref="X368">_xlfn.IFS(stdsurvey[[#This Row],[daily_sleep_hours]]&lt;4,"&lt; 4 hrs",stdsurvey[[#This Row],[daily_sleep_hours]]&lt;=6,"4-6 hrs",stdsurvey[[#This Row],[daily_sleep_hours]]&lt;=8,"6-8 hrs",TRUE,"&gt; 8 hrs")</f>
        <v>4-6 hrs</v>
      </c>
      <c r="Y368" t="s">
        <v>20</v>
      </c>
    </row>
    <row r="369" spans="1:25" x14ac:dyDescent="0.3">
      <c r="A369" t="s">
        <v>403</v>
      </c>
      <c r="B369">
        <v>21</v>
      </c>
      <c r="C369" t="s">
        <v>20</v>
      </c>
      <c r="D369">
        <v>2</v>
      </c>
      <c r="E369" t="s">
        <v>35</v>
      </c>
      <c r="F369">
        <v>7.1</v>
      </c>
      <c r="G369">
        <v>4.8</v>
      </c>
      <c r="H369">
        <v>3</v>
      </c>
      <c r="I369">
        <v>3</v>
      </c>
      <c r="J369">
        <v>3</v>
      </c>
      <c r="K369" s="4" t="str" cm="1">
        <f t="array" ref="K369">_xlfn.IFS(stdsurvey[[#This Row],[phq9_score]]="","Answer Not Provided",stdsurvey[[#This Row],[phq9_score]]&lt;=4,"Minimal",stdsurvey[[#This Row],[phq9_score]]&lt;=9,"Mild",stdsurvey[[#This Row],[phq9_score]]&lt;=14,"Moderate",stdsurvey[[#This Row],[phq9_score]]&lt;=19,"Moderately Severe",stdsurvey[[#This Row],[phq9_score]]&lt;=27,"Severe")</f>
        <v>Minimal</v>
      </c>
      <c r="L369">
        <v>7</v>
      </c>
      <c r="M369" s="4" t="str" cm="1">
        <f t="array" ref="M369">_xlfn.IFS(stdsurvey[[#This Row],[gad7_score]]="","Answer Not Provided",stdsurvey[[#This Row],[gad7_score]]&lt;=4,"Minimal",stdsurvey[[#This Row],[gad7_score]]&lt;=9,"Mild",stdsurvey[[#This Row],[gad7_score]]&lt;=14,"Moderate",stdsurvey[[#This Row],[gad7_score]]&lt;=21,"Severe")</f>
        <v>Minimal</v>
      </c>
      <c r="N369">
        <v>17.3</v>
      </c>
      <c r="O369" s="4" t="str" cm="1">
        <f t="array" ref="O369">_xlfn.IFS(stdsurvey[[#This Row],[perceived_stress_scale]]="","Answer Not Provided",stdsurvey[[#This Row],[perceived_stress_scale]]&lt;=13,"Low Stress",stdsurvey[[#This Row],[perceived_stress_scale]]&lt;=26,"Moderate Stress",stdsurvey[[#This Row],[perceived_stress_scale]]&lt;=40,"High Stress")</f>
        <v>Low Stress</v>
      </c>
      <c r="P369">
        <v>90.7</v>
      </c>
      <c r="Q369">
        <v>4</v>
      </c>
      <c r="R369" s="4" t="str" cm="1">
        <f t="array" ref="R369">_xlfn.IFS(stdsurvey[[#This Row],[class_attendance_percent]]&lt;60,"Less than 0%",stdsurvey[[#This Row],[class_attendance_percent]]&lt;70,"60-70 %",stdsurvey[[#This Row],[class_attendance_percent]]&lt;80, "70-80%",stdsurvey[[#This Row],[class_attendance_percent]]&lt;90,"80-90%",TRUE,"More than 90%")</f>
        <v>More than 90%</v>
      </c>
      <c r="S369" t="s">
        <v>22</v>
      </c>
      <c r="T369">
        <v>2</v>
      </c>
      <c r="U369" t="s">
        <v>23</v>
      </c>
      <c r="V369">
        <v>3.28</v>
      </c>
      <c r="W369" s="4" t="str" cm="1">
        <f t="array" ref="W36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69" s="4" t="str" cm="1">
        <f t="array" ref="X369">_xlfn.IFS(stdsurvey[[#This Row],[daily_sleep_hours]]&lt;4,"&lt; 4 hrs",stdsurvey[[#This Row],[daily_sleep_hours]]&lt;=6,"4-6 hrs",stdsurvey[[#This Row],[daily_sleep_hours]]&lt;=8,"6-8 hrs",TRUE,"&gt; 8 hrs")</f>
        <v>6-8 hrs</v>
      </c>
      <c r="Y369" t="s">
        <v>20</v>
      </c>
    </row>
    <row r="370" spans="1:25" x14ac:dyDescent="0.3">
      <c r="A370" t="s">
        <v>404</v>
      </c>
      <c r="B370">
        <v>25</v>
      </c>
      <c r="C370" t="s">
        <v>20</v>
      </c>
      <c r="D370">
        <v>1</v>
      </c>
      <c r="E370" t="s">
        <v>30</v>
      </c>
      <c r="F370">
        <v>3.2</v>
      </c>
      <c r="G370">
        <v>7.9</v>
      </c>
      <c r="H370">
        <v>4</v>
      </c>
      <c r="I370">
        <v>9</v>
      </c>
      <c r="J370">
        <v>8</v>
      </c>
      <c r="K370" s="4" t="str" cm="1">
        <f t="array" ref="K370">_xlfn.IFS(stdsurvey[[#This Row],[phq9_score]]="","Answer Not Provided",stdsurvey[[#This Row],[phq9_score]]&lt;=4,"Minimal",stdsurvey[[#This Row],[phq9_score]]&lt;=9,"Mild",stdsurvey[[#This Row],[phq9_score]]&lt;=14,"Moderate",stdsurvey[[#This Row],[phq9_score]]&lt;=19,"Moderately Severe",stdsurvey[[#This Row],[phq9_score]]&lt;=27,"Severe")</f>
        <v>Mild</v>
      </c>
      <c r="L370">
        <v>15</v>
      </c>
      <c r="M370" s="4" t="str" cm="1">
        <f t="array" ref="M370">_xlfn.IFS(stdsurvey[[#This Row],[gad7_score]]="","Answer Not Provided",stdsurvey[[#This Row],[gad7_score]]&lt;=4,"Minimal",stdsurvey[[#This Row],[gad7_score]]&lt;=9,"Mild",stdsurvey[[#This Row],[gad7_score]]&lt;=14,"Moderate",stdsurvey[[#This Row],[gad7_score]]&lt;=21,"Severe")</f>
        <v>Mild</v>
      </c>
      <c r="N370">
        <v>15</v>
      </c>
      <c r="O370" s="4" t="str" cm="1">
        <f t="array" ref="O370">_xlfn.IFS(stdsurvey[[#This Row],[perceived_stress_scale]]="","Answer Not Provided",stdsurvey[[#This Row],[perceived_stress_scale]]&lt;=13,"Low Stress",stdsurvey[[#This Row],[perceived_stress_scale]]&lt;=26,"Moderate Stress",stdsurvey[[#This Row],[perceived_stress_scale]]&lt;=40,"High Stress")</f>
        <v>Moderate Stress</v>
      </c>
      <c r="P370">
        <v>100</v>
      </c>
      <c r="Q370">
        <v>4</v>
      </c>
      <c r="R370" s="4" t="str" cm="1">
        <f t="array" ref="R370">_xlfn.IFS(stdsurvey[[#This Row],[class_attendance_percent]]&lt;60,"Less than 0%",stdsurvey[[#This Row],[class_attendance_percent]]&lt;70,"60-70 %",stdsurvey[[#This Row],[class_attendance_percent]]&lt;80, "70-80%",stdsurvey[[#This Row],[class_attendance_percent]]&lt;90,"80-90%",TRUE,"More than 90%")</f>
        <v>More than 90%</v>
      </c>
      <c r="S370" t="s">
        <v>33</v>
      </c>
      <c r="T370">
        <v>5</v>
      </c>
      <c r="U370" t="s">
        <v>23</v>
      </c>
      <c r="V370">
        <v>2.77</v>
      </c>
      <c r="W370" s="4" t="str" cm="1">
        <f t="array" ref="W37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0" s="4" t="str" cm="1">
        <f t="array" ref="X370">_xlfn.IFS(stdsurvey[[#This Row],[daily_sleep_hours]]&lt;4,"&lt; 4 hrs",stdsurvey[[#This Row],[daily_sleep_hours]]&lt;=6,"4-6 hrs",stdsurvey[[#This Row],[daily_sleep_hours]]&lt;=8,"6-8 hrs",TRUE,"&gt; 8 hrs")</f>
        <v>&lt; 4 hrs</v>
      </c>
      <c r="Y370" t="s">
        <v>20</v>
      </c>
    </row>
    <row r="371" spans="1:25" x14ac:dyDescent="0.3">
      <c r="A371" t="s">
        <v>405</v>
      </c>
      <c r="B371">
        <v>20</v>
      </c>
      <c r="C371" t="s">
        <v>27</v>
      </c>
      <c r="D371">
        <v>1</v>
      </c>
      <c r="E371" t="s">
        <v>35</v>
      </c>
      <c r="F371">
        <v>3.8</v>
      </c>
      <c r="G371">
        <v>6</v>
      </c>
      <c r="H371">
        <v>1</v>
      </c>
      <c r="I371">
        <v>2</v>
      </c>
      <c r="J371">
        <v>2</v>
      </c>
      <c r="K371" s="4" t="str" cm="1">
        <f t="array" ref="K371">_xlfn.IFS(stdsurvey[[#This Row],[phq9_score]]="","Answer Not Provided",stdsurvey[[#This Row],[phq9_score]]&lt;=4,"Minimal",stdsurvey[[#This Row],[phq9_score]]&lt;=9,"Mild",stdsurvey[[#This Row],[phq9_score]]&lt;=14,"Moderate",stdsurvey[[#This Row],[phq9_score]]&lt;=19,"Moderately Severe",stdsurvey[[#This Row],[phq9_score]]&lt;=27,"Severe")</f>
        <v>Minimal</v>
      </c>
      <c r="L371">
        <v>11</v>
      </c>
      <c r="M371" s="4" t="str" cm="1">
        <f t="array" ref="M371">_xlfn.IFS(stdsurvey[[#This Row],[gad7_score]]="","Answer Not Provided",stdsurvey[[#This Row],[gad7_score]]&lt;=4,"Minimal",stdsurvey[[#This Row],[gad7_score]]&lt;=9,"Mild",stdsurvey[[#This Row],[gad7_score]]&lt;=14,"Moderate",stdsurvey[[#This Row],[gad7_score]]&lt;=21,"Severe")</f>
        <v>Minimal</v>
      </c>
      <c r="N371">
        <v>18.8</v>
      </c>
      <c r="O371" s="4" t="str" cm="1">
        <f t="array" ref="O371">_xlfn.IFS(stdsurvey[[#This Row],[perceived_stress_scale]]="","Answer Not Provided",stdsurvey[[#This Row],[perceived_stress_scale]]&lt;=13,"Low Stress",stdsurvey[[#This Row],[perceived_stress_scale]]&lt;=26,"Moderate Stress",stdsurvey[[#This Row],[perceived_stress_scale]]&lt;=40,"High Stress")</f>
        <v>Low Stress</v>
      </c>
      <c r="P371">
        <v>76.7</v>
      </c>
      <c r="Q371">
        <v>4</v>
      </c>
      <c r="R371" s="4" t="str" cm="1">
        <f t="array" ref="R371">_xlfn.IFS(stdsurvey[[#This Row],[class_attendance_percent]]&lt;60,"Less than 0%",stdsurvey[[#This Row],[class_attendance_percent]]&lt;70,"60-70 %",stdsurvey[[#This Row],[class_attendance_percent]]&lt;80, "70-80%",stdsurvey[[#This Row],[class_attendance_percent]]&lt;90,"80-90%",TRUE,"More than 90%")</f>
        <v>70-80%</v>
      </c>
      <c r="S371" t="s">
        <v>33</v>
      </c>
      <c r="T371">
        <v>3</v>
      </c>
      <c r="U371" t="s">
        <v>26</v>
      </c>
      <c r="V371">
        <v>2.77</v>
      </c>
      <c r="W371" s="4" t="str" cm="1">
        <f t="array" ref="W37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1" s="4" t="str" cm="1">
        <f t="array" ref="X371">_xlfn.IFS(stdsurvey[[#This Row],[daily_sleep_hours]]&lt;4,"&lt; 4 hrs",stdsurvey[[#This Row],[daily_sleep_hours]]&lt;=6,"4-6 hrs",stdsurvey[[#This Row],[daily_sleep_hours]]&lt;=8,"6-8 hrs",TRUE,"&gt; 8 hrs")</f>
        <v>&lt; 4 hrs</v>
      </c>
      <c r="Y371" t="s">
        <v>27</v>
      </c>
    </row>
    <row r="372" spans="1:25" x14ac:dyDescent="0.3">
      <c r="A372" t="s">
        <v>406</v>
      </c>
      <c r="B372">
        <v>20</v>
      </c>
      <c r="C372" t="s">
        <v>27</v>
      </c>
      <c r="D372">
        <v>4</v>
      </c>
      <c r="E372" t="s">
        <v>30</v>
      </c>
      <c r="F372">
        <v>5.9</v>
      </c>
      <c r="G372">
        <v>6.8</v>
      </c>
      <c r="H372">
        <v>1</v>
      </c>
      <c r="I372">
        <v>2</v>
      </c>
      <c r="J372">
        <v>3</v>
      </c>
      <c r="K372" s="4" t="str" cm="1">
        <f t="array" ref="K372">_xlfn.IFS(stdsurvey[[#This Row],[phq9_score]]="","Answer Not Provided",stdsurvey[[#This Row],[phq9_score]]&lt;=4,"Minimal",stdsurvey[[#This Row],[phq9_score]]&lt;=9,"Mild",stdsurvey[[#This Row],[phq9_score]]&lt;=14,"Moderate",stdsurvey[[#This Row],[phq9_score]]&lt;=19,"Moderately Severe",stdsurvey[[#This Row],[phq9_score]]&lt;=27,"Severe")</f>
        <v>Minimal</v>
      </c>
      <c r="L372">
        <v>1</v>
      </c>
      <c r="M372" s="4" t="str" cm="1">
        <f t="array" ref="M372">_xlfn.IFS(stdsurvey[[#This Row],[gad7_score]]="","Answer Not Provided",stdsurvey[[#This Row],[gad7_score]]&lt;=4,"Minimal",stdsurvey[[#This Row],[gad7_score]]&lt;=9,"Mild",stdsurvey[[#This Row],[gad7_score]]&lt;=14,"Moderate",stdsurvey[[#This Row],[gad7_score]]&lt;=21,"Severe")</f>
        <v>Minimal</v>
      </c>
      <c r="N372">
        <v>10.7</v>
      </c>
      <c r="O372" s="4" t="str" cm="1">
        <f t="array" ref="O372">_xlfn.IFS(stdsurvey[[#This Row],[perceived_stress_scale]]="","Answer Not Provided",stdsurvey[[#This Row],[perceived_stress_scale]]&lt;=13,"Low Stress",stdsurvey[[#This Row],[perceived_stress_scale]]&lt;=26,"Moderate Stress",stdsurvey[[#This Row],[perceived_stress_scale]]&lt;=40,"High Stress")</f>
        <v>Low Stress</v>
      </c>
      <c r="P372">
        <v>53</v>
      </c>
      <c r="Q372">
        <v>5</v>
      </c>
      <c r="R372" s="4" t="str" cm="1">
        <f t="array" ref="R372">_xlfn.IFS(stdsurvey[[#This Row],[class_attendance_percent]]&lt;60,"Less than 0%",stdsurvey[[#This Row],[class_attendance_percent]]&lt;70,"60-70 %",stdsurvey[[#This Row],[class_attendance_percent]]&lt;80, "70-80%",stdsurvey[[#This Row],[class_attendance_percent]]&lt;90,"80-90%",TRUE,"More than 90%")</f>
        <v>Less than 0%</v>
      </c>
      <c r="S372" t="s">
        <v>22</v>
      </c>
      <c r="T372">
        <v>3</v>
      </c>
      <c r="U372" t="s">
        <v>51</v>
      </c>
      <c r="V372">
        <v>2.36</v>
      </c>
      <c r="W372" s="4" t="str" cm="1">
        <f t="array" ref="W37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2" s="4" t="str" cm="1">
        <f t="array" ref="X372">_xlfn.IFS(stdsurvey[[#This Row],[daily_sleep_hours]]&lt;4,"&lt; 4 hrs",stdsurvey[[#This Row],[daily_sleep_hours]]&lt;=6,"4-6 hrs",stdsurvey[[#This Row],[daily_sleep_hours]]&lt;=8,"6-8 hrs",TRUE,"&gt; 8 hrs")</f>
        <v>4-6 hrs</v>
      </c>
      <c r="Y372" t="s">
        <v>27</v>
      </c>
    </row>
    <row r="373" spans="1:25" x14ac:dyDescent="0.3">
      <c r="A373" t="s">
        <v>407</v>
      </c>
      <c r="B373">
        <v>22</v>
      </c>
      <c r="C373" t="s">
        <v>27</v>
      </c>
      <c r="D373">
        <v>2</v>
      </c>
      <c r="E373" t="s">
        <v>35</v>
      </c>
      <c r="F373">
        <v>8.5</v>
      </c>
      <c r="G373">
        <v>3.2</v>
      </c>
      <c r="H373">
        <v>6</v>
      </c>
      <c r="I373">
        <v>13</v>
      </c>
      <c r="J373">
        <v>12</v>
      </c>
      <c r="K373" s="4" t="str" cm="1">
        <f t="array" ref="K373">_xlfn.IFS(stdsurvey[[#This Row],[phq9_score]]="","Answer Not Provided",stdsurvey[[#This Row],[phq9_score]]&lt;=4,"Minimal",stdsurvey[[#This Row],[phq9_score]]&lt;=9,"Mild",stdsurvey[[#This Row],[phq9_score]]&lt;=14,"Moderate",stdsurvey[[#This Row],[phq9_score]]&lt;=19,"Moderately Severe",stdsurvey[[#This Row],[phq9_score]]&lt;=27,"Severe")</f>
        <v>Moderate</v>
      </c>
      <c r="L373">
        <v>21</v>
      </c>
      <c r="M373" s="4" t="str" cm="1">
        <f t="array" ref="M373">_xlfn.IFS(stdsurvey[[#This Row],[gad7_score]]="","Answer Not Provided",stdsurvey[[#This Row],[gad7_score]]&lt;=4,"Minimal",stdsurvey[[#This Row],[gad7_score]]&lt;=9,"Mild",stdsurvey[[#This Row],[gad7_score]]&lt;=14,"Moderate",stdsurvey[[#This Row],[gad7_score]]&lt;=21,"Severe")</f>
        <v>Moderate</v>
      </c>
      <c r="N373">
        <v>17</v>
      </c>
      <c r="O373" s="4" t="str" cm="1">
        <f t="array" ref="O373">_xlfn.IFS(stdsurvey[[#This Row],[perceived_stress_scale]]="","Answer Not Provided",stdsurvey[[#This Row],[perceived_stress_scale]]&lt;=13,"Low Stress",stdsurvey[[#This Row],[perceived_stress_scale]]&lt;=26,"Moderate Stress",stdsurvey[[#This Row],[perceived_stress_scale]]&lt;=40,"High Stress")</f>
        <v>Moderate Stress</v>
      </c>
      <c r="P373">
        <v>89.5</v>
      </c>
      <c r="Q373">
        <v>2</v>
      </c>
      <c r="R373" s="4" t="str" cm="1">
        <f t="array" ref="R373">_xlfn.IFS(stdsurvey[[#This Row],[class_attendance_percent]]&lt;60,"Less than 0%",stdsurvey[[#This Row],[class_attendance_percent]]&lt;70,"60-70 %",stdsurvey[[#This Row],[class_attendance_percent]]&lt;80, "70-80%",stdsurvey[[#This Row],[class_attendance_percent]]&lt;90,"80-90%",TRUE,"More than 90%")</f>
        <v>80-90%</v>
      </c>
      <c r="S373" t="s">
        <v>33</v>
      </c>
      <c r="T373">
        <v>3</v>
      </c>
      <c r="U373" t="s">
        <v>23</v>
      </c>
      <c r="V373">
        <v>2.68</v>
      </c>
      <c r="W373" s="4" t="str" cm="1">
        <f t="array" ref="W37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73" s="4" t="str" cm="1">
        <f t="array" ref="X373">_xlfn.IFS(stdsurvey[[#This Row],[daily_sleep_hours]]&lt;4,"&lt; 4 hrs",stdsurvey[[#This Row],[daily_sleep_hours]]&lt;=6,"4-6 hrs",stdsurvey[[#This Row],[daily_sleep_hours]]&lt;=8,"6-8 hrs",TRUE,"&gt; 8 hrs")</f>
        <v>&gt; 8 hrs</v>
      </c>
      <c r="Y373" t="s">
        <v>27</v>
      </c>
    </row>
    <row r="374" spans="1:25" x14ac:dyDescent="0.3">
      <c r="A374" t="s">
        <v>408</v>
      </c>
      <c r="B374">
        <v>23</v>
      </c>
      <c r="C374" t="s">
        <v>39</v>
      </c>
      <c r="D374">
        <v>5</v>
      </c>
      <c r="E374" t="s">
        <v>35</v>
      </c>
      <c r="F374">
        <v>5.6</v>
      </c>
      <c r="G374">
        <v>6.5</v>
      </c>
      <c r="H374">
        <v>2</v>
      </c>
      <c r="I374">
        <v>4</v>
      </c>
      <c r="J374">
        <v>4</v>
      </c>
      <c r="K374" s="4" t="str" cm="1">
        <f t="array" ref="K374">_xlfn.IFS(stdsurvey[[#This Row],[phq9_score]]="","Answer Not Provided",stdsurvey[[#This Row],[phq9_score]]&lt;=4,"Minimal",stdsurvey[[#This Row],[phq9_score]]&lt;=9,"Mild",stdsurvey[[#This Row],[phq9_score]]&lt;=14,"Moderate",stdsurvey[[#This Row],[phq9_score]]&lt;=19,"Moderately Severe",stdsurvey[[#This Row],[phq9_score]]&lt;=27,"Severe")</f>
        <v>Minimal</v>
      </c>
      <c r="L374">
        <v>8</v>
      </c>
      <c r="M374" s="4" t="str" cm="1">
        <f t="array" ref="M374">_xlfn.IFS(stdsurvey[[#This Row],[gad7_score]]="","Answer Not Provided",stdsurvey[[#This Row],[gad7_score]]&lt;=4,"Minimal",stdsurvey[[#This Row],[gad7_score]]&lt;=9,"Mild",stdsurvey[[#This Row],[gad7_score]]&lt;=14,"Moderate",stdsurvey[[#This Row],[gad7_score]]&lt;=21,"Severe")</f>
        <v>Minimal</v>
      </c>
      <c r="N374">
        <v>7.6</v>
      </c>
      <c r="O374" s="4" t="str" cm="1">
        <f t="array" ref="O374">_xlfn.IFS(stdsurvey[[#This Row],[perceived_stress_scale]]="","Answer Not Provided",stdsurvey[[#This Row],[perceived_stress_scale]]&lt;=13,"Low Stress",stdsurvey[[#This Row],[perceived_stress_scale]]&lt;=26,"Moderate Stress",stdsurvey[[#This Row],[perceived_stress_scale]]&lt;=40,"High Stress")</f>
        <v>Low Stress</v>
      </c>
      <c r="P374">
        <v>75.099999999999994</v>
      </c>
      <c r="Q374">
        <v>2</v>
      </c>
      <c r="R374" s="4" t="str" cm="1">
        <f t="array" ref="R374">_xlfn.IFS(stdsurvey[[#This Row],[class_attendance_percent]]&lt;60,"Less than 0%",stdsurvey[[#This Row],[class_attendance_percent]]&lt;70,"60-70 %",stdsurvey[[#This Row],[class_attendance_percent]]&lt;80, "70-80%",stdsurvey[[#This Row],[class_attendance_percent]]&lt;90,"80-90%",TRUE,"More than 90%")</f>
        <v>70-80%</v>
      </c>
      <c r="S374" t="s">
        <v>33</v>
      </c>
      <c r="T374">
        <v>2</v>
      </c>
      <c r="U374" t="s">
        <v>51</v>
      </c>
      <c r="V374">
        <v>2.61</v>
      </c>
      <c r="W374" s="4" t="str" cm="1">
        <f t="array" ref="W37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4" s="4" t="str" cm="1">
        <f t="array" ref="X374">_xlfn.IFS(stdsurvey[[#This Row],[daily_sleep_hours]]&lt;4,"&lt; 4 hrs",stdsurvey[[#This Row],[daily_sleep_hours]]&lt;=6,"4-6 hrs",stdsurvey[[#This Row],[daily_sleep_hours]]&lt;=8,"6-8 hrs",TRUE,"&gt; 8 hrs")</f>
        <v>4-6 hrs</v>
      </c>
      <c r="Y374" t="s">
        <v>27</v>
      </c>
    </row>
    <row r="375" spans="1:25" x14ac:dyDescent="0.3">
      <c r="A375" t="s">
        <v>409</v>
      </c>
      <c r="B375">
        <v>22</v>
      </c>
      <c r="C375" t="s">
        <v>45</v>
      </c>
      <c r="D375">
        <v>3</v>
      </c>
      <c r="E375" t="s">
        <v>30</v>
      </c>
      <c r="F375">
        <v>6.3</v>
      </c>
      <c r="G375">
        <v>4.8</v>
      </c>
      <c r="H375">
        <v>1</v>
      </c>
      <c r="I375">
        <v>3</v>
      </c>
      <c r="J375">
        <v>3</v>
      </c>
      <c r="K375" s="4" t="str" cm="1">
        <f t="array" ref="K375">_xlfn.IFS(stdsurvey[[#This Row],[phq9_score]]="","Answer Not Provided",stdsurvey[[#This Row],[phq9_score]]&lt;=4,"Minimal",stdsurvey[[#This Row],[phq9_score]]&lt;=9,"Mild",stdsurvey[[#This Row],[phq9_score]]&lt;=14,"Moderate",stdsurvey[[#This Row],[phq9_score]]&lt;=19,"Moderately Severe",stdsurvey[[#This Row],[phq9_score]]&lt;=27,"Severe")</f>
        <v>Minimal</v>
      </c>
      <c r="L375">
        <v>6</v>
      </c>
      <c r="M375" s="4" t="str" cm="1">
        <f t="array" ref="M375">_xlfn.IFS(stdsurvey[[#This Row],[gad7_score]]="","Answer Not Provided",stdsurvey[[#This Row],[gad7_score]]&lt;=4,"Minimal",stdsurvey[[#This Row],[gad7_score]]&lt;=9,"Mild",stdsurvey[[#This Row],[gad7_score]]&lt;=14,"Moderate",stdsurvey[[#This Row],[gad7_score]]&lt;=21,"Severe")</f>
        <v>Minimal</v>
      </c>
      <c r="N375">
        <v>15.1</v>
      </c>
      <c r="O375" s="4" t="str" cm="1">
        <f t="array" ref="O375">_xlfn.IFS(stdsurvey[[#This Row],[perceived_stress_scale]]="","Answer Not Provided",stdsurvey[[#This Row],[perceived_stress_scale]]&lt;=13,"Low Stress",stdsurvey[[#This Row],[perceived_stress_scale]]&lt;=26,"Moderate Stress",stdsurvey[[#This Row],[perceived_stress_scale]]&lt;=40,"High Stress")</f>
        <v>Low Stress</v>
      </c>
      <c r="P375">
        <v>75.7</v>
      </c>
      <c r="Q375">
        <v>4</v>
      </c>
      <c r="R375" s="4" t="str" cm="1">
        <f t="array" ref="R375">_xlfn.IFS(stdsurvey[[#This Row],[class_attendance_percent]]&lt;60,"Less than 0%",stdsurvey[[#This Row],[class_attendance_percent]]&lt;70,"60-70 %",stdsurvey[[#This Row],[class_attendance_percent]]&lt;80, "70-80%",stdsurvey[[#This Row],[class_attendance_percent]]&lt;90,"80-90%",TRUE,"More than 90%")</f>
        <v>70-80%</v>
      </c>
      <c r="S375" t="s">
        <v>22</v>
      </c>
      <c r="T375">
        <v>2</v>
      </c>
      <c r="U375" t="s">
        <v>23</v>
      </c>
      <c r="V375">
        <v>3.18</v>
      </c>
      <c r="W375" s="4" t="str" cm="1">
        <f t="array" ref="W37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5" s="4" t="str" cm="1">
        <f t="array" ref="X375">_xlfn.IFS(stdsurvey[[#This Row],[daily_sleep_hours]]&lt;4,"&lt; 4 hrs",stdsurvey[[#This Row],[daily_sleep_hours]]&lt;=6,"4-6 hrs",stdsurvey[[#This Row],[daily_sleep_hours]]&lt;=8,"6-8 hrs",TRUE,"&gt; 8 hrs")</f>
        <v>6-8 hrs</v>
      </c>
      <c r="Y375" t="s">
        <v>20</v>
      </c>
    </row>
    <row r="376" spans="1:25" x14ac:dyDescent="0.3">
      <c r="A376" t="s">
        <v>410</v>
      </c>
      <c r="B376">
        <v>24</v>
      </c>
      <c r="C376" t="s">
        <v>45</v>
      </c>
      <c r="D376">
        <v>1</v>
      </c>
      <c r="E376" t="s">
        <v>49</v>
      </c>
      <c r="F376">
        <v>7.2</v>
      </c>
      <c r="G376">
        <v>7.4</v>
      </c>
      <c r="H376">
        <v>2</v>
      </c>
      <c r="I376">
        <v>8</v>
      </c>
      <c r="J376">
        <v>7</v>
      </c>
      <c r="K376" s="4" t="str" cm="1">
        <f t="array" ref="K376">_xlfn.IFS(stdsurvey[[#This Row],[phq9_score]]="","Answer Not Provided",stdsurvey[[#This Row],[phq9_score]]&lt;=4,"Minimal",stdsurvey[[#This Row],[phq9_score]]&lt;=9,"Mild",stdsurvey[[#This Row],[phq9_score]]&lt;=14,"Moderate",stdsurvey[[#This Row],[phq9_score]]&lt;=19,"Moderately Severe",stdsurvey[[#This Row],[phq9_score]]&lt;=27,"Severe")</f>
        <v>Mild</v>
      </c>
      <c r="L376">
        <v>14</v>
      </c>
      <c r="M376" s="4" t="str" cm="1">
        <f t="array" ref="M376">_xlfn.IFS(stdsurvey[[#This Row],[gad7_score]]="","Answer Not Provided",stdsurvey[[#This Row],[gad7_score]]&lt;=4,"Minimal",stdsurvey[[#This Row],[gad7_score]]&lt;=9,"Mild",stdsurvey[[#This Row],[gad7_score]]&lt;=14,"Moderate",stdsurvey[[#This Row],[gad7_score]]&lt;=21,"Severe")</f>
        <v>Mild</v>
      </c>
      <c r="N376">
        <v>24.8</v>
      </c>
      <c r="O376" s="4" t="str" cm="1">
        <f t="array" ref="O376">_xlfn.IFS(stdsurvey[[#This Row],[perceived_stress_scale]]="","Answer Not Provided",stdsurvey[[#This Row],[perceived_stress_scale]]&lt;=13,"Low Stress",stdsurvey[[#This Row],[perceived_stress_scale]]&lt;=26,"Moderate Stress",stdsurvey[[#This Row],[perceived_stress_scale]]&lt;=40,"High Stress")</f>
        <v>Moderate Stress</v>
      </c>
      <c r="P376">
        <v>87.2</v>
      </c>
      <c r="Q376">
        <v>3</v>
      </c>
      <c r="R376" s="4" t="str" cm="1">
        <f t="array" ref="R376">_xlfn.IFS(stdsurvey[[#This Row],[class_attendance_percent]]&lt;60,"Less than 0%",stdsurvey[[#This Row],[class_attendance_percent]]&lt;70,"60-70 %",stdsurvey[[#This Row],[class_attendance_percent]]&lt;80, "70-80%",stdsurvey[[#This Row],[class_attendance_percent]]&lt;90,"80-90%",TRUE,"More than 90%")</f>
        <v>80-90%</v>
      </c>
      <c r="S376" t="s">
        <v>33</v>
      </c>
      <c r="T376">
        <v>5</v>
      </c>
      <c r="U376" t="s">
        <v>23</v>
      </c>
      <c r="V376">
        <v>2.8</v>
      </c>
      <c r="W376" s="4" t="str" cm="1">
        <f t="array" ref="W37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6" s="4" t="str" cm="1">
        <f t="array" ref="X376">_xlfn.IFS(stdsurvey[[#This Row],[daily_sleep_hours]]&lt;4,"&lt; 4 hrs",stdsurvey[[#This Row],[daily_sleep_hours]]&lt;=6,"4-6 hrs",stdsurvey[[#This Row],[daily_sleep_hours]]&lt;=8,"6-8 hrs",TRUE,"&gt; 8 hrs")</f>
        <v>6-8 hrs</v>
      </c>
      <c r="Y376" t="s">
        <v>20</v>
      </c>
    </row>
    <row r="377" spans="1:25" x14ac:dyDescent="0.3">
      <c r="A377" t="s">
        <v>411</v>
      </c>
      <c r="B377">
        <v>23</v>
      </c>
      <c r="C377" t="s">
        <v>29</v>
      </c>
      <c r="D377">
        <v>1</v>
      </c>
      <c r="E377" t="s">
        <v>63</v>
      </c>
      <c r="F377">
        <v>8.6</v>
      </c>
      <c r="G377">
        <v>2.6</v>
      </c>
      <c r="H377">
        <v>2</v>
      </c>
      <c r="I377">
        <v>10</v>
      </c>
      <c r="J377">
        <v>8</v>
      </c>
      <c r="K377" s="4" t="str" cm="1">
        <f t="array" ref="K377">_xlfn.IFS(stdsurvey[[#This Row],[phq9_score]]="","Answer Not Provided",stdsurvey[[#This Row],[phq9_score]]&lt;=4,"Minimal",stdsurvey[[#This Row],[phq9_score]]&lt;=9,"Mild",stdsurvey[[#This Row],[phq9_score]]&lt;=14,"Moderate",stdsurvey[[#This Row],[phq9_score]]&lt;=19,"Moderately Severe",stdsurvey[[#This Row],[phq9_score]]&lt;=27,"Severe")</f>
        <v>Moderate</v>
      </c>
      <c r="L377">
        <v>19</v>
      </c>
      <c r="M377" s="4" t="str" cm="1">
        <f t="array" ref="M377">_xlfn.IFS(stdsurvey[[#This Row],[gad7_score]]="","Answer Not Provided",stdsurvey[[#This Row],[gad7_score]]&lt;=4,"Minimal",stdsurvey[[#This Row],[gad7_score]]&lt;=9,"Mild",stdsurvey[[#This Row],[gad7_score]]&lt;=14,"Moderate",stdsurvey[[#This Row],[gad7_score]]&lt;=21,"Severe")</f>
        <v>Mild</v>
      </c>
      <c r="N377">
        <v>18.8</v>
      </c>
      <c r="O377" s="4" t="str" cm="1">
        <f t="array" ref="O377">_xlfn.IFS(stdsurvey[[#This Row],[perceived_stress_scale]]="","Answer Not Provided",stdsurvey[[#This Row],[perceived_stress_scale]]&lt;=13,"Low Stress",stdsurvey[[#This Row],[perceived_stress_scale]]&lt;=26,"Moderate Stress",stdsurvey[[#This Row],[perceived_stress_scale]]&lt;=40,"High Stress")</f>
        <v>Moderate Stress</v>
      </c>
      <c r="P377">
        <v>75.8</v>
      </c>
      <c r="R377" s="4" t="str" cm="1">
        <f t="array" ref="R377">_xlfn.IFS(stdsurvey[[#This Row],[class_attendance_percent]]&lt;60,"Less than 0%",stdsurvey[[#This Row],[class_attendance_percent]]&lt;70,"60-70 %",stdsurvey[[#This Row],[class_attendance_percent]]&lt;80, "70-80%",stdsurvey[[#This Row],[class_attendance_percent]]&lt;90,"80-90%",TRUE,"More than 90%")</f>
        <v>70-80%</v>
      </c>
      <c r="S377" t="s">
        <v>22</v>
      </c>
      <c r="T377">
        <v>4</v>
      </c>
      <c r="U377" t="s">
        <v>51</v>
      </c>
      <c r="V377">
        <v>3.23</v>
      </c>
      <c r="W377" s="4" t="str" cm="1">
        <f t="array" ref="W37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77" s="4" t="str" cm="1">
        <f t="array" ref="X377">_xlfn.IFS(stdsurvey[[#This Row],[daily_sleep_hours]]&lt;4,"&lt; 4 hrs",stdsurvey[[#This Row],[daily_sleep_hours]]&lt;=6,"4-6 hrs",stdsurvey[[#This Row],[daily_sleep_hours]]&lt;=8,"6-8 hrs",TRUE,"&gt; 8 hrs")</f>
        <v>&gt; 8 hrs</v>
      </c>
      <c r="Y377" t="s">
        <v>29</v>
      </c>
    </row>
    <row r="378" spans="1:25" x14ac:dyDescent="0.3">
      <c r="A378" t="s">
        <v>412</v>
      </c>
      <c r="B378">
        <v>23</v>
      </c>
      <c r="C378" t="s">
        <v>29</v>
      </c>
      <c r="D378">
        <v>1</v>
      </c>
      <c r="E378" t="s">
        <v>35</v>
      </c>
      <c r="F378">
        <v>5</v>
      </c>
      <c r="G378">
        <v>7</v>
      </c>
      <c r="H378">
        <v>3</v>
      </c>
      <c r="I378">
        <v>6</v>
      </c>
      <c r="J378">
        <v>2</v>
      </c>
      <c r="K378" s="4" t="str" cm="1">
        <f t="array" ref="K378">_xlfn.IFS(stdsurvey[[#This Row],[phq9_score]]="","Answer Not Provided",stdsurvey[[#This Row],[phq9_score]]&lt;=4,"Minimal",stdsurvey[[#This Row],[phq9_score]]&lt;=9,"Mild",stdsurvey[[#This Row],[phq9_score]]&lt;=14,"Moderate",stdsurvey[[#This Row],[phq9_score]]&lt;=19,"Moderately Severe",stdsurvey[[#This Row],[phq9_score]]&lt;=27,"Severe")</f>
        <v>Mild</v>
      </c>
      <c r="L378">
        <v>13</v>
      </c>
      <c r="M378" s="4" t="str" cm="1">
        <f t="array" ref="M378">_xlfn.IFS(stdsurvey[[#This Row],[gad7_score]]="","Answer Not Provided",stdsurvey[[#This Row],[gad7_score]]&lt;=4,"Minimal",stdsurvey[[#This Row],[gad7_score]]&lt;=9,"Mild",stdsurvey[[#This Row],[gad7_score]]&lt;=14,"Moderate",stdsurvey[[#This Row],[gad7_score]]&lt;=21,"Severe")</f>
        <v>Minimal</v>
      </c>
      <c r="N378">
        <v>8.6</v>
      </c>
      <c r="O378" s="4" t="str" cm="1">
        <f t="array" ref="O378">_xlfn.IFS(stdsurvey[[#This Row],[perceived_stress_scale]]="","Answer Not Provided",stdsurvey[[#This Row],[perceived_stress_scale]]&lt;=13,"Low Stress",stdsurvey[[#This Row],[perceived_stress_scale]]&lt;=26,"Moderate Stress",stdsurvey[[#This Row],[perceived_stress_scale]]&lt;=40,"High Stress")</f>
        <v>Low Stress</v>
      </c>
      <c r="P378">
        <v>76.900000000000006</v>
      </c>
      <c r="Q378">
        <v>4</v>
      </c>
      <c r="R378" s="4" t="str" cm="1">
        <f t="array" ref="R378">_xlfn.IFS(stdsurvey[[#This Row],[class_attendance_percent]]&lt;60,"Less than 0%",stdsurvey[[#This Row],[class_attendance_percent]]&lt;70,"60-70 %",stdsurvey[[#This Row],[class_attendance_percent]]&lt;80, "70-80%",stdsurvey[[#This Row],[class_attendance_percent]]&lt;90,"80-90%",TRUE,"More than 90%")</f>
        <v>70-80%</v>
      </c>
      <c r="S378" t="s">
        <v>22</v>
      </c>
      <c r="T378">
        <v>2</v>
      </c>
      <c r="U378" t="s">
        <v>51</v>
      </c>
      <c r="W378" s="4" t="str" cm="1">
        <f t="array" ref="W37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78" s="4" t="str" cm="1">
        <f t="array" ref="X378">_xlfn.IFS(stdsurvey[[#This Row],[daily_sleep_hours]]&lt;4,"&lt; 4 hrs",stdsurvey[[#This Row],[daily_sleep_hours]]&lt;=6,"4-6 hrs",stdsurvey[[#This Row],[daily_sleep_hours]]&lt;=8,"6-8 hrs",TRUE,"&gt; 8 hrs")</f>
        <v>4-6 hrs</v>
      </c>
      <c r="Y378" t="s">
        <v>29</v>
      </c>
    </row>
    <row r="379" spans="1:25" x14ac:dyDescent="0.3">
      <c r="A379" t="s">
        <v>413</v>
      </c>
      <c r="B379">
        <v>23</v>
      </c>
      <c r="C379" t="s">
        <v>102</v>
      </c>
      <c r="D379">
        <v>5</v>
      </c>
      <c r="E379" t="s">
        <v>63</v>
      </c>
      <c r="F379">
        <v>6.2</v>
      </c>
      <c r="G379">
        <v>3.5</v>
      </c>
      <c r="H379">
        <v>5</v>
      </c>
      <c r="I379">
        <v>5</v>
      </c>
      <c r="J379">
        <v>6</v>
      </c>
      <c r="K379" s="4" t="str" cm="1">
        <f t="array" ref="K379">_xlfn.IFS(stdsurvey[[#This Row],[phq9_score]]="","Answer Not Provided",stdsurvey[[#This Row],[phq9_score]]&lt;=4,"Minimal",stdsurvey[[#This Row],[phq9_score]]&lt;=9,"Mild",stdsurvey[[#This Row],[phq9_score]]&lt;=14,"Moderate",stdsurvey[[#This Row],[phq9_score]]&lt;=19,"Moderately Severe",stdsurvey[[#This Row],[phq9_score]]&lt;=27,"Severe")</f>
        <v>Mild</v>
      </c>
      <c r="L379">
        <v>10</v>
      </c>
      <c r="M379" s="4" t="str" cm="1">
        <f t="array" ref="M379">_xlfn.IFS(stdsurvey[[#This Row],[gad7_score]]="","Answer Not Provided",stdsurvey[[#This Row],[gad7_score]]&lt;=4,"Minimal",stdsurvey[[#This Row],[gad7_score]]&lt;=9,"Mild",stdsurvey[[#This Row],[gad7_score]]&lt;=14,"Moderate",stdsurvey[[#This Row],[gad7_score]]&lt;=21,"Severe")</f>
        <v>Mild</v>
      </c>
      <c r="N379">
        <v>22.1</v>
      </c>
      <c r="O379" s="4" t="str" cm="1">
        <f t="array" ref="O379">_xlfn.IFS(stdsurvey[[#This Row],[perceived_stress_scale]]="","Answer Not Provided",stdsurvey[[#This Row],[perceived_stress_scale]]&lt;=13,"Low Stress",stdsurvey[[#This Row],[perceived_stress_scale]]&lt;=26,"Moderate Stress",stdsurvey[[#This Row],[perceived_stress_scale]]&lt;=40,"High Stress")</f>
        <v>Low Stress</v>
      </c>
      <c r="P379">
        <v>76.3</v>
      </c>
      <c r="Q379">
        <v>3</v>
      </c>
      <c r="R379" s="4" t="str" cm="1">
        <f t="array" ref="R379">_xlfn.IFS(stdsurvey[[#This Row],[class_attendance_percent]]&lt;60,"Less than 0%",stdsurvey[[#This Row],[class_attendance_percent]]&lt;70,"60-70 %",stdsurvey[[#This Row],[class_attendance_percent]]&lt;80, "70-80%",stdsurvey[[#This Row],[class_attendance_percent]]&lt;90,"80-90%",TRUE,"More than 90%")</f>
        <v>70-80%</v>
      </c>
      <c r="S379" t="s">
        <v>33</v>
      </c>
      <c r="T379">
        <v>4</v>
      </c>
      <c r="U379" t="s">
        <v>51</v>
      </c>
      <c r="V379">
        <v>3.33</v>
      </c>
      <c r="W379" s="4" t="str" cm="1">
        <f t="array" ref="W37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79" s="4" t="str" cm="1">
        <f t="array" ref="X379">_xlfn.IFS(stdsurvey[[#This Row],[daily_sleep_hours]]&lt;4,"&lt; 4 hrs",stdsurvey[[#This Row],[daily_sleep_hours]]&lt;=6,"4-6 hrs",stdsurvey[[#This Row],[daily_sleep_hours]]&lt;=8,"6-8 hrs",TRUE,"&gt; 8 hrs")</f>
        <v>6-8 hrs</v>
      </c>
      <c r="Y379" t="s">
        <v>20</v>
      </c>
    </row>
    <row r="380" spans="1:25" x14ac:dyDescent="0.3">
      <c r="A380" t="s">
        <v>414</v>
      </c>
      <c r="B380">
        <v>26</v>
      </c>
      <c r="C380" t="s">
        <v>27</v>
      </c>
      <c r="D380">
        <v>1</v>
      </c>
      <c r="E380" t="s">
        <v>32</v>
      </c>
      <c r="F380">
        <v>7.8</v>
      </c>
      <c r="G380">
        <v>7.1</v>
      </c>
      <c r="H380">
        <v>7</v>
      </c>
      <c r="I380">
        <v>0</v>
      </c>
      <c r="J380">
        <v>1</v>
      </c>
      <c r="K380" s="4" t="str" cm="1">
        <f t="array" ref="K380">_xlfn.IFS(stdsurvey[[#This Row],[phq9_score]]="","Answer Not Provided",stdsurvey[[#This Row],[phq9_score]]&lt;=4,"Minimal",stdsurvey[[#This Row],[phq9_score]]&lt;=9,"Mild",stdsurvey[[#This Row],[phq9_score]]&lt;=14,"Moderate",stdsurvey[[#This Row],[phq9_score]]&lt;=19,"Moderately Severe",stdsurvey[[#This Row],[phq9_score]]&lt;=27,"Severe")</f>
        <v>Minimal</v>
      </c>
      <c r="L380">
        <v>8</v>
      </c>
      <c r="M380" s="4" t="str" cm="1">
        <f t="array" ref="M380">_xlfn.IFS(stdsurvey[[#This Row],[gad7_score]]="","Answer Not Provided",stdsurvey[[#This Row],[gad7_score]]&lt;=4,"Minimal",stdsurvey[[#This Row],[gad7_score]]&lt;=9,"Mild",stdsurvey[[#This Row],[gad7_score]]&lt;=14,"Moderate",stdsurvey[[#This Row],[gad7_score]]&lt;=21,"Severe")</f>
        <v>Minimal</v>
      </c>
      <c r="N380">
        <v>16.399999999999999</v>
      </c>
      <c r="O380" s="4" t="str" cm="1">
        <f t="array" ref="O380">_xlfn.IFS(stdsurvey[[#This Row],[perceived_stress_scale]]="","Answer Not Provided",stdsurvey[[#This Row],[perceived_stress_scale]]&lt;=13,"Low Stress",stdsurvey[[#This Row],[perceived_stress_scale]]&lt;=26,"Moderate Stress",stdsurvey[[#This Row],[perceived_stress_scale]]&lt;=40,"High Stress")</f>
        <v>Low Stress</v>
      </c>
      <c r="P380">
        <v>100</v>
      </c>
      <c r="Q380">
        <v>4</v>
      </c>
      <c r="R380" s="4" t="str" cm="1">
        <f t="array" ref="R380">_xlfn.IFS(stdsurvey[[#This Row],[class_attendance_percent]]&lt;60,"Less than 0%",stdsurvey[[#This Row],[class_attendance_percent]]&lt;70,"60-70 %",stdsurvey[[#This Row],[class_attendance_percent]]&lt;80, "70-80%",stdsurvey[[#This Row],[class_attendance_percent]]&lt;90,"80-90%",TRUE,"More than 90%")</f>
        <v>More than 90%</v>
      </c>
      <c r="S380" t="s">
        <v>22</v>
      </c>
      <c r="T380">
        <v>3</v>
      </c>
      <c r="U380" t="s">
        <v>23</v>
      </c>
      <c r="V380">
        <v>3.45</v>
      </c>
      <c r="W380" s="4" t="str" cm="1">
        <f t="array" ref="W38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0" s="4" t="str" cm="1">
        <f t="array" ref="X380">_xlfn.IFS(stdsurvey[[#This Row],[daily_sleep_hours]]&lt;4,"&lt; 4 hrs",stdsurvey[[#This Row],[daily_sleep_hours]]&lt;=6,"4-6 hrs",stdsurvey[[#This Row],[daily_sleep_hours]]&lt;=8,"6-8 hrs",TRUE,"&gt; 8 hrs")</f>
        <v>6-8 hrs</v>
      </c>
      <c r="Y380" t="s">
        <v>27</v>
      </c>
    </row>
    <row r="381" spans="1:25" x14ac:dyDescent="0.3">
      <c r="A381" t="s">
        <v>415</v>
      </c>
      <c r="B381">
        <v>21</v>
      </c>
      <c r="C381" t="s">
        <v>27</v>
      </c>
      <c r="D381">
        <v>3</v>
      </c>
      <c r="E381" t="s">
        <v>30</v>
      </c>
      <c r="F381">
        <v>4.5</v>
      </c>
      <c r="G381">
        <v>5.2</v>
      </c>
      <c r="H381">
        <v>3</v>
      </c>
      <c r="I381">
        <v>2</v>
      </c>
      <c r="J381">
        <v>6</v>
      </c>
      <c r="K381" s="4" t="str" cm="1">
        <f t="array" ref="K381">_xlfn.IFS(stdsurvey[[#This Row],[phq9_score]]="","Answer Not Provided",stdsurvey[[#This Row],[phq9_score]]&lt;=4,"Minimal",stdsurvey[[#This Row],[phq9_score]]&lt;=9,"Mild",stdsurvey[[#This Row],[phq9_score]]&lt;=14,"Moderate",stdsurvey[[#This Row],[phq9_score]]&lt;=19,"Moderately Severe",stdsurvey[[#This Row],[phq9_score]]&lt;=27,"Severe")</f>
        <v>Minimal</v>
      </c>
      <c r="L381">
        <v>11</v>
      </c>
      <c r="M381" s="4" t="str" cm="1">
        <f t="array" ref="M381">_xlfn.IFS(stdsurvey[[#This Row],[gad7_score]]="","Answer Not Provided",stdsurvey[[#This Row],[gad7_score]]&lt;=4,"Minimal",stdsurvey[[#This Row],[gad7_score]]&lt;=9,"Mild",stdsurvey[[#This Row],[gad7_score]]&lt;=14,"Moderate",stdsurvey[[#This Row],[gad7_score]]&lt;=21,"Severe")</f>
        <v>Mild</v>
      </c>
      <c r="N381">
        <v>19.600000000000001</v>
      </c>
      <c r="O381" s="4" t="str" cm="1">
        <f t="array" ref="O381">_xlfn.IFS(stdsurvey[[#This Row],[perceived_stress_scale]]="","Answer Not Provided",stdsurvey[[#This Row],[perceived_stress_scale]]&lt;=13,"Low Stress",stdsurvey[[#This Row],[perceived_stress_scale]]&lt;=26,"Moderate Stress",stdsurvey[[#This Row],[perceived_stress_scale]]&lt;=40,"High Stress")</f>
        <v>Low Stress</v>
      </c>
      <c r="P381">
        <v>82.4</v>
      </c>
      <c r="R381" s="4" t="str" cm="1">
        <f t="array" ref="R381">_xlfn.IFS(stdsurvey[[#This Row],[class_attendance_percent]]&lt;60,"Less than 0%",stdsurvey[[#This Row],[class_attendance_percent]]&lt;70,"60-70 %",stdsurvey[[#This Row],[class_attendance_percent]]&lt;80, "70-80%",stdsurvey[[#This Row],[class_attendance_percent]]&lt;90,"80-90%",TRUE,"More than 90%")</f>
        <v>80-90%</v>
      </c>
      <c r="S381" t="s">
        <v>22</v>
      </c>
      <c r="T381">
        <v>1</v>
      </c>
      <c r="U381" t="s">
        <v>23</v>
      </c>
      <c r="V381">
        <v>3.14</v>
      </c>
      <c r="W381" s="4" t="str" cm="1">
        <f t="array" ref="W38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1" s="4" t="str" cm="1">
        <f t="array" ref="X381">_xlfn.IFS(stdsurvey[[#This Row],[daily_sleep_hours]]&lt;4,"&lt; 4 hrs",stdsurvey[[#This Row],[daily_sleep_hours]]&lt;=6,"4-6 hrs",stdsurvey[[#This Row],[daily_sleep_hours]]&lt;=8,"6-8 hrs",TRUE,"&gt; 8 hrs")</f>
        <v>4-6 hrs</v>
      </c>
      <c r="Y381" t="s">
        <v>27</v>
      </c>
    </row>
    <row r="382" spans="1:25" x14ac:dyDescent="0.3">
      <c r="A382" t="s">
        <v>416</v>
      </c>
      <c r="B382">
        <v>17</v>
      </c>
      <c r="C382" t="s">
        <v>27</v>
      </c>
      <c r="D382">
        <v>5</v>
      </c>
      <c r="E382" t="s">
        <v>47</v>
      </c>
      <c r="F382">
        <v>7.9</v>
      </c>
      <c r="G382">
        <v>4.5</v>
      </c>
      <c r="H382">
        <v>4</v>
      </c>
      <c r="I382">
        <v>3</v>
      </c>
      <c r="J382">
        <v>5</v>
      </c>
      <c r="K382" s="4" t="str" cm="1">
        <f t="array" ref="K382">_xlfn.IFS(stdsurvey[[#This Row],[phq9_score]]="","Answer Not Provided",stdsurvey[[#This Row],[phq9_score]]&lt;=4,"Minimal",stdsurvey[[#This Row],[phq9_score]]&lt;=9,"Mild",stdsurvey[[#This Row],[phq9_score]]&lt;=14,"Moderate",stdsurvey[[#This Row],[phq9_score]]&lt;=19,"Moderately Severe",stdsurvey[[#This Row],[phq9_score]]&lt;=27,"Severe")</f>
        <v>Minimal</v>
      </c>
      <c r="L382">
        <v>9</v>
      </c>
      <c r="M382" s="4" t="str" cm="1">
        <f t="array" ref="M382">_xlfn.IFS(stdsurvey[[#This Row],[gad7_score]]="","Answer Not Provided",stdsurvey[[#This Row],[gad7_score]]&lt;=4,"Minimal",stdsurvey[[#This Row],[gad7_score]]&lt;=9,"Mild",stdsurvey[[#This Row],[gad7_score]]&lt;=14,"Moderate",stdsurvey[[#This Row],[gad7_score]]&lt;=21,"Severe")</f>
        <v>Mild</v>
      </c>
      <c r="N382">
        <v>22.7</v>
      </c>
      <c r="O382" s="4" t="str" cm="1">
        <f t="array" ref="O382">_xlfn.IFS(stdsurvey[[#This Row],[perceived_stress_scale]]="","Answer Not Provided",stdsurvey[[#This Row],[perceived_stress_scale]]&lt;=13,"Low Stress",stdsurvey[[#This Row],[perceived_stress_scale]]&lt;=26,"Moderate Stress",stdsurvey[[#This Row],[perceived_stress_scale]]&lt;=40,"High Stress")</f>
        <v>Low Stress</v>
      </c>
      <c r="P382">
        <v>62.8</v>
      </c>
      <c r="Q382">
        <v>5</v>
      </c>
      <c r="R382" s="4" t="str" cm="1">
        <f t="array" ref="R382">_xlfn.IFS(stdsurvey[[#This Row],[class_attendance_percent]]&lt;60,"Less than 0%",stdsurvey[[#This Row],[class_attendance_percent]]&lt;70,"60-70 %",stdsurvey[[#This Row],[class_attendance_percent]]&lt;80, "70-80%",stdsurvey[[#This Row],[class_attendance_percent]]&lt;90,"80-90%",TRUE,"More than 90%")</f>
        <v>60-70 %</v>
      </c>
      <c r="S382" t="s">
        <v>22</v>
      </c>
      <c r="T382">
        <v>3</v>
      </c>
      <c r="U382" t="s">
        <v>26</v>
      </c>
      <c r="V382">
        <v>3.64</v>
      </c>
      <c r="W382" s="4" t="str" cm="1">
        <f t="array" ref="W38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2" s="4" t="str" cm="1">
        <f t="array" ref="X382">_xlfn.IFS(stdsurvey[[#This Row],[daily_sleep_hours]]&lt;4,"&lt; 4 hrs",stdsurvey[[#This Row],[daily_sleep_hours]]&lt;=6,"4-6 hrs",stdsurvey[[#This Row],[daily_sleep_hours]]&lt;=8,"6-8 hrs",TRUE,"&gt; 8 hrs")</f>
        <v>6-8 hrs</v>
      </c>
      <c r="Y382" t="s">
        <v>27</v>
      </c>
    </row>
    <row r="383" spans="1:25" x14ac:dyDescent="0.3">
      <c r="A383" t="s">
        <v>417</v>
      </c>
      <c r="B383">
        <v>25</v>
      </c>
      <c r="C383" t="s">
        <v>20</v>
      </c>
      <c r="D383">
        <v>5</v>
      </c>
      <c r="E383" t="s">
        <v>32</v>
      </c>
      <c r="F383">
        <v>4.9000000000000004</v>
      </c>
      <c r="G383">
        <v>3.6</v>
      </c>
      <c r="H383">
        <v>2</v>
      </c>
      <c r="I383">
        <v>12</v>
      </c>
      <c r="J383">
        <v>12</v>
      </c>
      <c r="K383" s="4" t="str" cm="1">
        <f t="array" ref="K383">_xlfn.IFS(stdsurvey[[#This Row],[phq9_score]]="","Answer Not Provided",stdsurvey[[#This Row],[phq9_score]]&lt;=4,"Minimal",stdsurvey[[#This Row],[phq9_score]]&lt;=9,"Mild",stdsurvey[[#This Row],[phq9_score]]&lt;=14,"Moderate",stdsurvey[[#This Row],[phq9_score]]&lt;=19,"Moderately Severe",stdsurvey[[#This Row],[phq9_score]]&lt;=27,"Severe")</f>
        <v>Moderate</v>
      </c>
      <c r="L383">
        <v>16</v>
      </c>
      <c r="M383" s="4" t="str" cm="1">
        <f t="array" ref="M383">_xlfn.IFS(stdsurvey[[#This Row],[gad7_score]]="","Answer Not Provided",stdsurvey[[#This Row],[gad7_score]]&lt;=4,"Minimal",stdsurvey[[#This Row],[gad7_score]]&lt;=9,"Mild",stdsurvey[[#This Row],[gad7_score]]&lt;=14,"Moderate",stdsurvey[[#This Row],[gad7_score]]&lt;=21,"Severe")</f>
        <v>Moderate</v>
      </c>
      <c r="N383">
        <v>17.5</v>
      </c>
      <c r="O383" s="4" t="str" cm="1">
        <f t="array" ref="O383">_xlfn.IFS(stdsurvey[[#This Row],[perceived_stress_scale]]="","Answer Not Provided",stdsurvey[[#This Row],[perceived_stress_scale]]&lt;=13,"Low Stress",stdsurvey[[#This Row],[perceived_stress_scale]]&lt;=26,"Moderate Stress",stdsurvey[[#This Row],[perceived_stress_scale]]&lt;=40,"High Stress")</f>
        <v>Moderate Stress</v>
      </c>
      <c r="P383">
        <v>68.2</v>
      </c>
      <c r="Q383">
        <v>2</v>
      </c>
      <c r="R383" s="4" t="str" cm="1">
        <f t="array" ref="R383">_xlfn.IFS(stdsurvey[[#This Row],[class_attendance_percent]]&lt;60,"Less than 0%",stdsurvey[[#This Row],[class_attendance_percent]]&lt;70,"60-70 %",stdsurvey[[#This Row],[class_attendance_percent]]&lt;80, "70-80%",stdsurvey[[#This Row],[class_attendance_percent]]&lt;90,"80-90%",TRUE,"More than 90%")</f>
        <v>60-70 %</v>
      </c>
      <c r="S383" t="s">
        <v>33</v>
      </c>
      <c r="T383">
        <v>2</v>
      </c>
      <c r="U383" t="s">
        <v>26</v>
      </c>
      <c r="V383">
        <v>2.52</v>
      </c>
      <c r="W383" s="4" t="str" cm="1">
        <f t="array" ref="W38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83" s="4" t="str" cm="1">
        <f t="array" ref="X383">_xlfn.IFS(stdsurvey[[#This Row],[daily_sleep_hours]]&lt;4,"&lt; 4 hrs",stdsurvey[[#This Row],[daily_sleep_hours]]&lt;=6,"4-6 hrs",stdsurvey[[#This Row],[daily_sleep_hours]]&lt;=8,"6-8 hrs",TRUE,"&gt; 8 hrs")</f>
        <v>4-6 hrs</v>
      </c>
      <c r="Y383" t="s">
        <v>20</v>
      </c>
    </row>
    <row r="384" spans="1:25" x14ac:dyDescent="0.3">
      <c r="A384" t="s">
        <v>418</v>
      </c>
      <c r="B384">
        <v>21</v>
      </c>
      <c r="C384" t="s">
        <v>27</v>
      </c>
      <c r="D384">
        <v>2</v>
      </c>
      <c r="E384" t="s">
        <v>32</v>
      </c>
      <c r="F384">
        <v>6.5</v>
      </c>
      <c r="G384">
        <v>4.2</v>
      </c>
      <c r="H384">
        <v>5</v>
      </c>
      <c r="I384">
        <v>14</v>
      </c>
      <c r="J384">
        <v>9</v>
      </c>
      <c r="K384" s="4" t="str" cm="1">
        <f t="array" ref="K384">_xlfn.IFS(stdsurvey[[#This Row],[phq9_score]]="","Answer Not Provided",stdsurvey[[#This Row],[phq9_score]]&lt;=4,"Minimal",stdsurvey[[#This Row],[phq9_score]]&lt;=9,"Mild",stdsurvey[[#This Row],[phq9_score]]&lt;=14,"Moderate",stdsurvey[[#This Row],[phq9_score]]&lt;=19,"Moderately Severe",stdsurvey[[#This Row],[phq9_score]]&lt;=27,"Severe")</f>
        <v>Moderate</v>
      </c>
      <c r="L384">
        <v>16</v>
      </c>
      <c r="M384" s="4" t="str" cm="1">
        <f t="array" ref="M384">_xlfn.IFS(stdsurvey[[#This Row],[gad7_score]]="","Answer Not Provided",stdsurvey[[#This Row],[gad7_score]]&lt;=4,"Minimal",stdsurvey[[#This Row],[gad7_score]]&lt;=9,"Mild",stdsurvey[[#This Row],[gad7_score]]&lt;=14,"Moderate",stdsurvey[[#This Row],[gad7_score]]&lt;=21,"Severe")</f>
        <v>Mild</v>
      </c>
      <c r="N384">
        <v>10.4</v>
      </c>
      <c r="O384" s="4" t="str" cm="1">
        <f t="array" ref="O384">_xlfn.IFS(stdsurvey[[#This Row],[perceived_stress_scale]]="","Answer Not Provided",stdsurvey[[#This Row],[perceived_stress_scale]]&lt;=13,"Low Stress",stdsurvey[[#This Row],[perceived_stress_scale]]&lt;=26,"Moderate Stress",stdsurvey[[#This Row],[perceived_stress_scale]]&lt;=40,"High Stress")</f>
        <v>Moderate Stress</v>
      </c>
      <c r="P384">
        <v>78.5</v>
      </c>
      <c r="Q384">
        <v>4</v>
      </c>
      <c r="R384" s="4" t="str" cm="1">
        <f t="array" ref="R384">_xlfn.IFS(stdsurvey[[#This Row],[class_attendance_percent]]&lt;60,"Less than 0%",stdsurvey[[#This Row],[class_attendance_percent]]&lt;70,"60-70 %",stdsurvey[[#This Row],[class_attendance_percent]]&lt;80, "70-80%",stdsurvey[[#This Row],[class_attendance_percent]]&lt;90,"80-90%",TRUE,"More than 90%")</f>
        <v>70-80%</v>
      </c>
      <c r="S384" t="s">
        <v>22</v>
      </c>
      <c r="T384">
        <v>2</v>
      </c>
      <c r="U384" t="s">
        <v>51</v>
      </c>
      <c r="V384">
        <v>2.59</v>
      </c>
      <c r="W384" s="4" t="str" cm="1">
        <f t="array" ref="W38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4" s="4" t="str" cm="1">
        <f t="array" ref="X384">_xlfn.IFS(stdsurvey[[#This Row],[daily_sleep_hours]]&lt;4,"&lt; 4 hrs",stdsurvey[[#This Row],[daily_sleep_hours]]&lt;=6,"4-6 hrs",stdsurvey[[#This Row],[daily_sleep_hours]]&lt;=8,"6-8 hrs",TRUE,"&gt; 8 hrs")</f>
        <v>6-8 hrs</v>
      </c>
      <c r="Y384" t="s">
        <v>27</v>
      </c>
    </row>
    <row r="385" spans="1:25" x14ac:dyDescent="0.3">
      <c r="A385" t="s">
        <v>419</v>
      </c>
      <c r="B385">
        <v>22</v>
      </c>
      <c r="C385" t="s">
        <v>25</v>
      </c>
      <c r="D385">
        <v>1</v>
      </c>
      <c r="E385" t="s">
        <v>21</v>
      </c>
      <c r="F385">
        <v>5.8</v>
      </c>
      <c r="G385">
        <v>3.3</v>
      </c>
      <c r="H385">
        <v>1</v>
      </c>
      <c r="I385">
        <v>6</v>
      </c>
      <c r="J385">
        <v>5</v>
      </c>
      <c r="K385" s="4" t="str" cm="1">
        <f t="array" ref="K385">_xlfn.IFS(stdsurvey[[#This Row],[phq9_score]]="","Answer Not Provided",stdsurvey[[#This Row],[phq9_score]]&lt;=4,"Minimal",stdsurvey[[#This Row],[phq9_score]]&lt;=9,"Mild",stdsurvey[[#This Row],[phq9_score]]&lt;=14,"Moderate",stdsurvey[[#This Row],[phq9_score]]&lt;=19,"Moderately Severe",stdsurvey[[#This Row],[phq9_score]]&lt;=27,"Severe")</f>
        <v>Mild</v>
      </c>
      <c r="L385">
        <v>14</v>
      </c>
      <c r="M385" s="4" t="str" cm="1">
        <f t="array" ref="M385">_xlfn.IFS(stdsurvey[[#This Row],[gad7_score]]="","Answer Not Provided",stdsurvey[[#This Row],[gad7_score]]&lt;=4,"Minimal",stdsurvey[[#This Row],[gad7_score]]&lt;=9,"Mild",stdsurvey[[#This Row],[gad7_score]]&lt;=14,"Moderate",stdsurvey[[#This Row],[gad7_score]]&lt;=21,"Severe")</f>
        <v>Mild</v>
      </c>
      <c r="N385">
        <v>31.8</v>
      </c>
      <c r="O385" s="4" t="str" cm="1">
        <f t="array" ref="O385">_xlfn.IFS(stdsurvey[[#This Row],[perceived_stress_scale]]="","Answer Not Provided",stdsurvey[[#This Row],[perceived_stress_scale]]&lt;=13,"Low Stress",stdsurvey[[#This Row],[perceived_stress_scale]]&lt;=26,"Moderate Stress",stdsurvey[[#This Row],[perceived_stress_scale]]&lt;=40,"High Stress")</f>
        <v>Moderate Stress</v>
      </c>
      <c r="P385">
        <v>66.599999999999994</v>
      </c>
      <c r="Q385">
        <v>5</v>
      </c>
      <c r="R385" s="4" t="str" cm="1">
        <f t="array" ref="R385">_xlfn.IFS(stdsurvey[[#This Row],[class_attendance_percent]]&lt;60,"Less than 0%",stdsurvey[[#This Row],[class_attendance_percent]]&lt;70,"60-70 %",stdsurvey[[#This Row],[class_attendance_percent]]&lt;80, "70-80%",stdsurvey[[#This Row],[class_attendance_percent]]&lt;90,"80-90%",TRUE,"More than 90%")</f>
        <v>60-70 %</v>
      </c>
      <c r="S385" t="s">
        <v>33</v>
      </c>
      <c r="T385">
        <v>4</v>
      </c>
      <c r="U385" t="s">
        <v>26</v>
      </c>
      <c r="V385">
        <v>2.48</v>
      </c>
      <c r="W385" s="4" t="str" cm="1">
        <f t="array" ref="W38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85" s="4" t="str" cm="1">
        <f t="array" ref="X385">_xlfn.IFS(stdsurvey[[#This Row],[daily_sleep_hours]]&lt;4,"&lt; 4 hrs",stdsurvey[[#This Row],[daily_sleep_hours]]&lt;=6,"4-6 hrs",stdsurvey[[#This Row],[daily_sleep_hours]]&lt;=8,"6-8 hrs",TRUE,"&gt; 8 hrs")</f>
        <v>4-6 hrs</v>
      </c>
      <c r="Y385" t="s">
        <v>27</v>
      </c>
    </row>
    <row r="386" spans="1:25" x14ac:dyDescent="0.3">
      <c r="A386" t="s">
        <v>420</v>
      </c>
      <c r="B386">
        <v>24</v>
      </c>
      <c r="C386" t="s">
        <v>20</v>
      </c>
      <c r="D386">
        <v>1</v>
      </c>
      <c r="E386" t="s">
        <v>32</v>
      </c>
      <c r="F386">
        <v>5.0999999999999996</v>
      </c>
      <c r="G386">
        <v>3.6</v>
      </c>
      <c r="H386">
        <v>0</v>
      </c>
      <c r="I386">
        <v>3</v>
      </c>
      <c r="J386">
        <v>1</v>
      </c>
      <c r="K386" s="4" t="str" cm="1">
        <f t="array" ref="K386">_xlfn.IFS(stdsurvey[[#This Row],[phq9_score]]="","Answer Not Provided",stdsurvey[[#This Row],[phq9_score]]&lt;=4,"Minimal",stdsurvey[[#This Row],[phq9_score]]&lt;=9,"Mild",stdsurvey[[#This Row],[phq9_score]]&lt;=14,"Moderate",stdsurvey[[#This Row],[phq9_score]]&lt;=19,"Moderately Severe",stdsurvey[[#This Row],[phq9_score]]&lt;=27,"Severe")</f>
        <v>Minimal</v>
      </c>
      <c r="L386">
        <v>7</v>
      </c>
      <c r="M386" s="4" t="str" cm="1">
        <f t="array" ref="M386">_xlfn.IFS(stdsurvey[[#This Row],[gad7_score]]="","Answer Not Provided",stdsurvey[[#This Row],[gad7_score]]&lt;=4,"Minimal",stdsurvey[[#This Row],[gad7_score]]&lt;=9,"Mild",stdsurvey[[#This Row],[gad7_score]]&lt;=14,"Moderate",stdsurvey[[#This Row],[gad7_score]]&lt;=21,"Severe")</f>
        <v>Minimal</v>
      </c>
      <c r="N386">
        <v>16.100000000000001</v>
      </c>
      <c r="O386" s="4" t="str" cm="1">
        <f t="array" ref="O386">_xlfn.IFS(stdsurvey[[#This Row],[perceived_stress_scale]]="","Answer Not Provided",stdsurvey[[#This Row],[perceived_stress_scale]]&lt;=13,"Low Stress",stdsurvey[[#This Row],[perceived_stress_scale]]&lt;=26,"Moderate Stress",stdsurvey[[#This Row],[perceived_stress_scale]]&lt;=40,"High Stress")</f>
        <v>Low Stress</v>
      </c>
      <c r="P386">
        <v>62</v>
      </c>
      <c r="Q386">
        <v>3</v>
      </c>
      <c r="R386" s="4" t="str" cm="1">
        <f t="array" ref="R386">_xlfn.IFS(stdsurvey[[#This Row],[class_attendance_percent]]&lt;60,"Less than 0%",stdsurvey[[#This Row],[class_attendance_percent]]&lt;70,"60-70 %",stdsurvey[[#This Row],[class_attendance_percent]]&lt;80, "70-80%",stdsurvey[[#This Row],[class_attendance_percent]]&lt;90,"80-90%",TRUE,"More than 90%")</f>
        <v>60-70 %</v>
      </c>
      <c r="S386" t="s">
        <v>22</v>
      </c>
      <c r="T386">
        <v>2</v>
      </c>
      <c r="U386" t="s">
        <v>23</v>
      </c>
      <c r="V386">
        <v>3.24</v>
      </c>
      <c r="W386" s="4" t="str" cm="1">
        <f t="array" ref="W38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86" s="4" t="str" cm="1">
        <f t="array" ref="X386">_xlfn.IFS(stdsurvey[[#This Row],[daily_sleep_hours]]&lt;4,"&lt; 4 hrs",stdsurvey[[#This Row],[daily_sleep_hours]]&lt;=6,"4-6 hrs",stdsurvey[[#This Row],[daily_sleep_hours]]&lt;=8,"6-8 hrs",TRUE,"&gt; 8 hrs")</f>
        <v>4-6 hrs</v>
      </c>
      <c r="Y386" t="s">
        <v>20</v>
      </c>
    </row>
    <row r="387" spans="1:25" x14ac:dyDescent="0.3">
      <c r="A387" t="s">
        <v>421</v>
      </c>
      <c r="B387">
        <v>18</v>
      </c>
      <c r="C387" t="s">
        <v>20</v>
      </c>
      <c r="D387">
        <v>1</v>
      </c>
      <c r="E387" t="s">
        <v>30</v>
      </c>
      <c r="F387">
        <v>4.7</v>
      </c>
      <c r="G387">
        <v>5.9</v>
      </c>
      <c r="H387">
        <v>6</v>
      </c>
      <c r="I387">
        <v>19</v>
      </c>
      <c r="J387">
        <v>13</v>
      </c>
      <c r="K387" s="4" t="str" cm="1">
        <f t="array" ref="K387">_xlfn.IFS(stdsurvey[[#This Row],[phq9_score]]="","Answer Not Provided",stdsurvey[[#This Row],[phq9_score]]&lt;=4,"Minimal",stdsurvey[[#This Row],[phq9_score]]&lt;=9,"Mild",stdsurvey[[#This Row],[phq9_score]]&lt;=14,"Moderate",stdsurvey[[#This Row],[phq9_score]]&lt;=19,"Moderately Severe",stdsurvey[[#This Row],[phq9_score]]&lt;=27,"Severe")</f>
        <v>Moderately Severe</v>
      </c>
      <c r="L387">
        <v>20</v>
      </c>
      <c r="M387" s="4" t="str" cm="1">
        <f t="array" ref="M387">_xlfn.IFS(stdsurvey[[#This Row],[gad7_score]]="","Answer Not Provided",stdsurvey[[#This Row],[gad7_score]]&lt;=4,"Minimal",stdsurvey[[#This Row],[gad7_score]]&lt;=9,"Mild",stdsurvey[[#This Row],[gad7_score]]&lt;=14,"Moderate",stdsurvey[[#This Row],[gad7_score]]&lt;=21,"Severe")</f>
        <v>Moderate</v>
      </c>
      <c r="N387">
        <v>15.9</v>
      </c>
      <c r="O387" s="4" t="str" cm="1">
        <f t="array" ref="O387">_xlfn.IFS(stdsurvey[[#This Row],[perceived_stress_scale]]="","Answer Not Provided",stdsurvey[[#This Row],[perceived_stress_scale]]&lt;=13,"Low Stress",stdsurvey[[#This Row],[perceived_stress_scale]]&lt;=26,"Moderate Stress",stdsurvey[[#This Row],[perceived_stress_scale]]&lt;=40,"High Stress")</f>
        <v>Moderate Stress</v>
      </c>
      <c r="P387">
        <v>83.3</v>
      </c>
      <c r="Q387">
        <v>3</v>
      </c>
      <c r="R387" s="4" t="str" cm="1">
        <f t="array" ref="R387">_xlfn.IFS(stdsurvey[[#This Row],[class_attendance_percent]]&lt;60,"Less than 0%",stdsurvey[[#This Row],[class_attendance_percent]]&lt;70,"60-70 %",stdsurvey[[#This Row],[class_attendance_percent]]&lt;80, "70-80%",stdsurvey[[#This Row],[class_attendance_percent]]&lt;90,"80-90%",TRUE,"More than 90%")</f>
        <v>80-90%</v>
      </c>
      <c r="S387" t="s">
        <v>33</v>
      </c>
      <c r="T387">
        <v>5</v>
      </c>
      <c r="U387" t="s">
        <v>51</v>
      </c>
      <c r="V387">
        <v>3.04</v>
      </c>
      <c r="W387" s="4" t="str" cm="1">
        <f t="array" ref="W38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7" s="4" t="str" cm="1">
        <f t="array" ref="X387">_xlfn.IFS(stdsurvey[[#This Row],[daily_sleep_hours]]&lt;4,"&lt; 4 hrs",stdsurvey[[#This Row],[daily_sleep_hours]]&lt;=6,"4-6 hrs",stdsurvey[[#This Row],[daily_sleep_hours]]&lt;=8,"6-8 hrs",TRUE,"&gt; 8 hrs")</f>
        <v>4-6 hrs</v>
      </c>
      <c r="Y387" t="s">
        <v>20</v>
      </c>
    </row>
    <row r="388" spans="1:25" x14ac:dyDescent="0.3">
      <c r="A388" t="s">
        <v>422</v>
      </c>
      <c r="B388">
        <v>19</v>
      </c>
      <c r="C388" t="s">
        <v>27</v>
      </c>
      <c r="D388">
        <v>1</v>
      </c>
      <c r="E388" t="s">
        <v>49</v>
      </c>
      <c r="F388">
        <v>7.2</v>
      </c>
      <c r="G388">
        <v>1.1000000000000001</v>
      </c>
      <c r="H388">
        <v>5</v>
      </c>
      <c r="I388">
        <v>5</v>
      </c>
      <c r="J388">
        <v>8</v>
      </c>
      <c r="K388" s="4" t="str" cm="1">
        <f t="array" ref="K388">_xlfn.IFS(stdsurvey[[#This Row],[phq9_score]]="","Answer Not Provided",stdsurvey[[#This Row],[phq9_score]]&lt;=4,"Minimal",stdsurvey[[#This Row],[phq9_score]]&lt;=9,"Mild",stdsurvey[[#This Row],[phq9_score]]&lt;=14,"Moderate",stdsurvey[[#This Row],[phq9_score]]&lt;=19,"Moderately Severe",stdsurvey[[#This Row],[phq9_score]]&lt;=27,"Severe")</f>
        <v>Mild</v>
      </c>
      <c r="L388">
        <v>7</v>
      </c>
      <c r="M388" s="4" t="str" cm="1">
        <f t="array" ref="M388">_xlfn.IFS(stdsurvey[[#This Row],[gad7_score]]="","Answer Not Provided",stdsurvey[[#This Row],[gad7_score]]&lt;=4,"Minimal",stdsurvey[[#This Row],[gad7_score]]&lt;=9,"Mild",stdsurvey[[#This Row],[gad7_score]]&lt;=14,"Moderate",stdsurvey[[#This Row],[gad7_score]]&lt;=21,"Severe")</f>
        <v>Mild</v>
      </c>
      <c r="N388">
        <v>14</v>
      </c>
      <c r="O388" s="4" t="str" cm="1">
        <f t="array" ref="O388">_xlfn.IFS(stdsurvey[[#This Row],[perceived_stress_scale]]="","Answer Not Provided",stdsurvey[[#This Row],[perceived_stress_scale]]&lt;=13,"Low Stress",stdsurvey[[#This Row],[perceived_stress_scale]]&lt;=26,"Moderate Stress",stdsurvey[[#This Row],[perceived_stress_scale]]&lt;=40,"High Stress")</f>
        <v>Low Stress</v>
      </c>
      <c r="P388">
        <v>91.9</v>
      </c>
      <c r="Q388">
        <v>3</v>
      </c>
      <c r="R388" s="4" t="str" cm="1">
        <f t="array" ref="R388">_xlfn.IFS(stdsurvey[[#This Row],[class_attendance_percent]]&lt;60,"Less than 0%",stdsurvey[[#This Row],[class_attendance_percent]]&lt;70,"60-70 %",stdsurvey[[#This Row],[class_attendance_percent]]&lt;80, "70-80%",stdsurvey[[#This Row],[class_attendance_percent]]&lt;90,"80-90%",TRUE,"More than 90%")</f>
        <v>More than 90%</v>
      </c>
      <c r="S388" t="s">
        <v>22</v>
      </c>
      <c r="T388">
        <v>4</v>
      </c>
      <c r="U388" t="s">
        <v>51</v>
      </c>
      <c r="V388">
        <v>2.92</v>
      </c>
      <c r="W388" s="4" t="str" cm="1">
        <f t="array" ref="W38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88" s="4" t="str" cm="1">
        <f t="array" ref="X388">_xlfn.IFS(stdsurvey[[#This Row],[daily_sleep_hours]]&lt;4,"&lt; 4 hrs",stdsurvey[[#This Row],[daily_sleep_hours]]&lt;=6,"4-6 hrs",stdsurvey[[#This Row],[daily_sleep_hours]]&lt;=8,"6-8 hrs",TRUE,"&gt; 8 hrs")</f>
        <v>6-8 hrs</v>
      </c>
      <c r="Y388" t="s">
        <v>27</v>
      </c>
    </row>
    <row r="389" spans="1:25" x14ac:dyDescent="0.3">
      <c r="A389" t="s">
        <v>423</v>
      </c>
      <c r="B389">
        <v>18</v>
      </c>
      <c r="C389" t="s">
        <v>27</v>
      </c>
      <c r="D389">
        <v>3</v>
      </c>
      <c r="E389" t="s">
        <v>30</v>
      </c>
      <c r="F389">
        <v>7</v>
      </c>
      <c r="G389">
        <v>7</v>
      </c>
      <c r="H389">
        <v>2</v>
      </c>
      <c r="I389">
        <v>7</v>
      </c>
      <c r="J389">
        <v>10</v>
      </c>
      <c r="K389" s="4" t="str" cm="1">
        <f t="array" ref="K389">_xlfn.IFS(stdsurvey[[#This Row],[phq9_score]]="","Answer Not Provided",stdsurvey[[#This Row],[phq9_score]]&lt;=4,"Minimal",stdsurvey[[#This Row],[phq9_score]]&lt;=9,"Mild",stdsurvey[[#This Row],[phq9_score]]&lt;=14,"Moderate",stdsurvey[[#This Row],[phq9_score]]&lt;=19,"Moderately Severe",stdsurvey[[#This Row],[phq9_score]]&lt;=27,"Severe")</f>
        <v>Mild</v>
      </c>
      <c r="L389">
        <v>16</v>
      </c>
      <c r="M389" s="4" t="str" cm="1">
        <f t="array" ref="M389">_xlfn.IFS(stdsurvey[[#This Row],[gad7_score]]="","Answer Not Provided",stdsurvey[[#This Row],[gad7_score]]&lt;=4,"Minimal",stdsurvey[[#This Row],[gad7_score]]&lt;=9,"Mild",stdsurvey[[#This Row],[gad7_score]]&lt;=14,"Moderate",stdsurvey[[#This Row],[gad7_score]]&lt;=21,"Severe")</f>
        <v>Moderate</v>
      </c>
      <c r="N389">
        <v>25.6</v>
      </c>
      <c r="O389" s="4" t="str" cm="1">
        <f t="array" ref="O389">_xlfn.IFS(stdsurvey[[#This Row],[perceived_stress_scale]]="","Answer Not Provided",stdsurvey[[#This Row],[perceived_stress_scale]]&lt;=13,"Low Stress",stdsurvey[[#This Row],[perceived_stress_scale]]&lt;=26,"Moderate Stress",stdsurvey[[#This Row],[perceived_stress_scale]]&lt;=40,"High Stress")</f>
        <v>Moderate Stress</v>
      </c>
      <c r="P389">
        <v>70.900000000000006</v>
      </c>
      <c r="Q389">
        <v>3</v>
      </c>
      <c r="R389" s="4" t="str" cm="1">
        <f t="array" ref="R389">_xlfn.IFS(stdsurvey[[#This Row],[class_attendance_percent]]&lt;60,"Less than 0%",stdsurvey[[#This Row],[class_attendance_percent]]&lt;70,"60-70 %",stdsurvey[[#This Row],[class_attendance_percent]]&lt;80, "70-80%",stdsurvey[[#This Row],[class_attendance_percent]]&lt;90,"80-90%",TRUE,"More than 90%")</f>
        <v>70-80%</v>
      </c>
      <c r="S389" t="s">
        <v>33</v>
      </c>
      <c r="T389">
        <v>4</v>
      </c>
      <c r="U389" t="s">
        <v>51</v>
      </c>
      <c r="V389">
        <v>2.84</v>
      </c>
      <c r="W389" s="4" t="str" cm="1">
        <f t="array" ref="W38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89" s="4" t="str" cm="1">
        <f t="array" ref="X389">_xlfn.IFS(stdsurvey[[#This Row],[daily_sleep_hours]]&lt;4,"&lt; 4 hrs",stdsurvey[[#This Row],[daily_sleep_hours]]&lt;=6,"4-6 hrs",stdsurvey[[#This Row],[daily_sleep_hours]]&lt;=8,"6-8 hrs",TRUE,"&gt; 8 hrs")</f>
        <v>6-8 hrs</v>
      </c>
      <c r="Y389" t="s">
        <v>27</v>
      </c>
    </row>
    <row r="390" spans="1:25" x14ac:dyDescent="0.3">
      <c r="A390" t="s">
        <v>424</v>
      </c>
      <c r="B390">
        <v>20</v>
      </c>
      <c r="C390" t="s">
        <v>27</v>
      </c>
      <c r="D390">
        <v>4</v>
      </c>
      <c r="E390" t="s">
        <v>49</v>
      </c>
      <c r="F390">
        <v>6.1</v>
      </c>
      <c r="G390">
        <v>7.1</v>
      </c>
      <c r="H390">
        <v>3</v>
      </c>
      <c r="I390">
        <v>8</v>
      </c>
      <c r="J390">
        <v>5</v>
      </c>
      <c r="K390" s="4" t="str" cm="1">
        <f t="array" ref="K390">_xlfn.IFS(stdsurvey[[#This Row],[phq9_score]]="","Answer Not Provided",stdsurvey[[#This Row],[phq9_score]]&lt;=4,"Minimal",stdsurvey[[#This Row],[phq9_score]]&lt;=9,"Mild",stdsurvey[[#This Row],[phq9_score]]&lt;=14,"Moderate",stdsurvey[[#This Row],[phq9_score]]&lt;=19,"Moderately Severe",stdsurvey[[#This Row],[phq9_score]]&lt;=27,"Severe")</f>
        <v>Mild</v>
      </c>
      <c r="L390">
        <v>11</v>
      </c>
      <c r="M390" s="4" t="str" cm="1">
        <f t="array" ref="M390">_xlfn.IFS(stdsurvey[[#This Row],[gad7_score]]="","Answer Not Provided",stdsurvey[[#This Row],[gad7_score]]&lt;=4,"Minimal",stdsurvey[[#This Row],[gad7_score]]&lt;=9,"Mild",stdsurvey[[#This Row],[gad7_score]]&lt;=14,"Moderate",stdsurvey[[#This Row],[gad7_score]]&lt;=21,"Severe")</f>
        <v>Mild</v>
      </c>
      <c r="N390">
        <v>11.2</v>
      </c>
      <c r="O390" s="4" t="str" cm="1">
        <f t="array" ref="O390">_xlfn.IFS(stdsurvey[[#This Row],[perceived_stress_scale]]="","Answer Not Provided",stdsurvey[[#This Row],[perceived_stress_scale]]&lt;=13,"Low Stress",stdsurvey[[#This Row],[perceived_stress_scale]]&lt;=26,"Moderate Stress",stdsurvey[[#This Row],[perceived_stress_scale]]&lt;=40,"High Stress")</f>
        <v>Low Stress</v>
      </c>
      <c r="P390">
        <v>80.599999999999994</v>
      </c>
      <c r="Q390">
        <v>3</v>
      </c>
      <c r="R390" s="4" t="str" cm="1">
        <f t="array" ref="R390">_xlfn.IFS(stdsurvey[[#This Row],[class_attendance_percent]]&lt;60,"Less than 0%",stdsurvey[[#This Row],[class_attendance_percent]]&lt;70,"60-70 %",stdsurvey[[#This Row],[class_attendance_percent]]&lt;80, "70-80%",stdsurvey[[#This Row],[class_attendance_percent]]&lt;90,"80-90%",TRUE,"More than 90%")</f>
        <v>80-90%</v>
      </c>
      <c r="S390" t="s">
        <v>22</v>
      </c>
      <c r="T390">
        <v>3</v>
      </c>
      <c r="U390" t="s">
        <v>23</v>
      </c>
      <c r="V390">
        <v>2.91</v>
      </c>
      <c r="W390" s="4" t="str" cm="1">
        <f t="array" ref="W39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90" s="4" t="str" cm="1">
        <f t="array" ref="X390">_xlfn.IFS(stdsurvey[[#This Row],[daily_sleep_hours]]&lt;4,"&lt; 4 hrs",stdsurvey[[#This Row],[daily_sleep_hours]]&lt;=6,"4-6 hrs",stdsurvey[[#This Row],[daily_sleep_hours]]&lt;=8,"6-8 hrs",TRUE,"&gt; 8 hrs")</f>
        <v>6-8 hrs</v>
      </c>
      <c r="Y390" t="s">
        <v>27</v>
      </c>
    </row>
    <row r="391" spans="1:25" x14ac:dyDescent="0.3">
      <c r="A391" t="s">
        <v>425</v>
      </c>
      <c r="B391">
        <v>22</v>
      </c>
      <c r="C391" t="s">
        <v>25</v>
      </c>
      <c r="D391">
        <v>3</v>
      </c>
      <c r="E391" t="s">
        <v>47</v>
      </c>
      <c r="F391">
        <v>6.4</v>
      </c>
      <c r="G391">
        <v>3.7</v>
      </c>
      <c r="H391">
        <v>3</v>
      </c>
      <c r="I391">
        <v>4</v>
      </c>
      <c r="J391">
        <v>4</v>
      </c>
      <c r="K391" s="4" t="str" cm="1">
        <f t="array" ref="K391">_xlfn.IFS(stdsurvey[[#This Row],[phq9_score]]="","Answer Not Provided",stdsurvey[[#This Row],[phq9_score]]&lt;=4,"Minimal",stdsurvey[[#This Row],[phq9_score]]&lt;=9,"Mild",stdsurvey[[#This Row],[phq9_score]]&lt;=14,"Moderate",stdsurvey[[#This Row],[phq9_score]]&lt;=19,"Moderately Severe",stdsurvey[[#This Row],[phq9_score]]&lt;=27,"Severe")</f>
        <v>Minimal</v>
      </c>
      <c r="L391">
        <v>10</v>
      </c>
      <c r="M391" s="4" t="str" cm="1">
        <f t="array" ref="M391">_xlfn.IFS(stdsurvey[[#This Row],[gad7_score]]="","Answer Not Provided",stdsurvey[[#This Row],[gad7_score]]&lt;=4,"Minimal",stdsurvey[[#This Row],[gad7_score]]&lt;=9,"Mild",stdsurvey[[#This Row],[gad7_score]]&lt;=14,"Moderate",stdsurvey[[#This Row],[gad7_score]]&lt;=21,"Severe")</f>
        <v>Minimal</v>
      </c>
      <c r="N391">
        <v>10.9</v>
      </c>
      <c r="O391" s="4" t="str" cm="1">
        <f t="array" ref="O391">_xlfn.IFS(stdsurvey[[#This Row],[perceived_stress_scale]]="","Answer Not Provided",stdsurvey[[#This Row],[perceived_stress_scale]]&lt;=13,"Low Stress",stdsurvey[[#This Row],[perceived_stress_scale]]&lt;=26,"Moderate Stress",stdsurvey[[#This Row],[perceived_stress_scale]]&lt;=40,"High Stress")</f>
        <v>Low Stress</v>
      </c>
      <c r="P391">
        <v>84.8</v>
      </c>
      <c r="Q391">
        <v>2</v>
      </c>
      <c r="R391" s="4" t="str" cm="1">
        <f t="array" ref="R391">_xlfn.IFS(stdsurvey[[#This Row],[class_attendance_percent]]&lt;60,"Less than 0%",stdsurvey[[#This Row],[class_attendance_percent]]&lt;70,"60-70 %",stdsurvey[[#This Row],[class_attendance_percent]]&lt;80, "70-80%",stdsurvey[[#This Row],[class_attendance_percent]]&lt;90,"80-90%",TRUE,"More than 90%")</f>
        <v>80-90%</v>
      </c>
      <c r="S391" t="s">
        <v>22</v>
      </c>
      <c r="T391">
        <v>5</v>
      </c>
      <c r="U391" t="s">
        <v>23</v>
      </c>
      <c r="V391">
        <v>3.38</v>
      </c>
      <c r="W391" s="4" t="str" cm="1">
        <f t="array" ref="W39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91" s="4" t="str" cm="1">
        <f t="array" ref="X391">_xlfn.IFS(stdsurvey[[#This Row],[daily_sleep_hours]]&lt;4,"&lt; 4 hrs",stdsurvey[[#This Row],[daily_sleep_hours]]&lt;=6,"4-6 hrs",stdsurvey[[#This Row],[daily_sleep_hours]]&lt;=8,"6-8 hrs",TRUE,"&gt; 8 hrs")</f>
        <v>6-8 hrs</v>
      </c>
      <c r="Y391" t="s">
        <v>27</v>
      </c>
    </row>
    <row r="392" spans="1:25" x14ac:dyDescent="0.3">
      <c r="A392" t="s">
        <v>426</v>
      </c>
      <c r="B392">
        <v>23</v>
      </c>
      <c r="C392" t="s">
        <v>20</v>
      </c>
      <c r="D392">
        <v>3</v>
      </c>
      <c r="E392" t="s">
        <v>21</v>
      </c>
      <c r="F392">
        <v>6.7</v>
      </c>
      <c r="G392">
        <v>4.9000000000000004</v>
      </c>
      <c r="H392">
        <v>2</v>
      </c>
      <c r="I392">
        <v>5</v>
      </c>
      <c r="J392">
        <v>5</v>
      </c>
      <c r="K392" s="4" t="str" cm="1">
        <f t="array" ref="K392">_xlfn.IFS(stdsurvey[[#This Row],[phq9_score]]="","Answer Not Provided",stdsurvey[[#This Row],[phq9_score]]&lt;=4,"Minimal",stdsurvey[[#This Row],[phq9_score]]&lt;=9,"Mild",stdsurvey[[#This Row],[phq9_score]]&lt;=14,"Moderate",stdsurvey[[#This Row],[phq9_score]]&lt;=19,"Moderately Severe",stdsurvey[[#This Row],[phq9_score]]&lt;=27,"Severe")</f>
        <v>Mild</v>
      </c>
      <c r="L392">
        <v>14</v>
      </c>
      <c r="M392" s="4" t="str" cm="1">
        <f t="array" ref="M392">_xlfn.IFS(stdsurvey[[#This Row],[gad7_score]]="","Answer Not Provided",stdsurvey[[#This Row],[gad7_score]]&lt;=4,"Minimal",stdsurvey[[#This Row],[gad7_score]]&lt;=9,"Mild",stdsurvey[[#This Row],[gad7_score]]&lt;=14,"Moderate",stdsurvey[[#This Row],[gad7_score]]&lt;=21,"Severe")</f>
        <v>Mild</v>
      </c>
      <c r="N392">
        <v>13.8</v>
      </c>
      <c r="O392" s="4" t="str" cm="1">
        <f t="array" ref="O392">_xlfn.IFS(stdsurvey[[#This Row],[perceived_stress_scale]]="","Answer Not Provided",stdsurvey[[#This Row],[perceived_stress_scale]]&lt;=13,"Low Stress",stdsurvey[[#This Row],[perceived_stress_scale]]&lt;=26,"Moderate Stress",stdsurvey[[#This Row],[perceived_stress_scale]]&lt;=40,"High Stress")</f>
        <v>Moderate Stress</v>
      </c>
      <c r="P392">
        <v>92.4</v>
      </c>
      <c r="Q392">
        <v>5</v>
      </c>
      <c r="R392" s="4" t="str" cm="1">
        <f t="array" ref="R392">_xlfn.IFS(stdsurvey[[#This Row],[class_attendance_percent]]&lt;60,"Less than 0%",stdsurvey[[#This Row],[class_attendance_percent]]&lt;70,"60-70 %",stdsurvey[[#This Row],[class_attendance_percent]]&lt;80, "70-80%",stdsurvey[[#This Row],[class_attendance_percent]]&lt;90,"80-90%",TRUE,"More than 90%")</f>
        <v>More than 90%</v>
      </c>
      <c r="S392" t="s">
        <v>22</v>
      </c>
      <c r="T392">
        <v>3</v>
      </c>
      <c r="U392" t="s">
        <v>51</v>
      </c>
      <c r="V392">
        <v>2.85</v>
      </c>
      <c r="W392" s="4" t="str" cm="1">
        <f t="array" ref="W39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92" s="4" t="str" cm="1">
        <f t="array" ref="X392">_xlfn.IFS(stdsurvey[[#This Row],[daily_sleep_hours]]&lt;4,"&lt; 4 hrs",stdsurvey[[#This Row],[daily_sleep_hours]]&lt;=6,"4-6 hrs",stdsurvey[[#This Row],[daily_sleep_hours]]&lt;=8,"6-8 hrs",TRUE,"&gt; 8 hrs")</f>
        <v>6-8 hrs</v>
      </c>
      <c r="Y392" t="s">
        <v>20</v>
      </c>
    </row>
    <row r="393" spans="1:25" x14ac:dyDescent="0.3">
      <c r="A393" t="s">
        <v>427</v>
      </c>
      <c r="B393">
        <v>22</v>
      </c>
      <c r="C393" t="s">
        <v>39</v>
      </c>
      <c r="D393">
        <v>1</v>
      </c>
      <c r="E393" t="s">
        <v>21</v>
      </c>
      <c r="F393">
        <v>5</v>
      </c>
      <c r="G393">
        <v>2.2000000000000002</v>
      </c>
      <c r="H393">
        <v>2</v>
      </c>
      <c r="I393">
        <v>6</v>
      </c>
      <c r="J393">
        <v>7</v>
      </c>
      <c r="K393" s="4" t="str" cm="1">
        <f t="array" ref="K393">_xlfn.IFS(stdsurvey[[#This Row],[phq9_score]]="","Answer Not Provided",stdsurvey[[#This Row],[phq9_score]]&lt;=4,"Minimal",stdsurvey[[#This Row],[phq9_score]]&lt;=9,"Mild",stdsurvey[[#This Row],[phq9_score]]&lt;=14,"Moderate",stdsurvey[[#This Row],[phq9_score]]&lt;=19,"Moderately Severe",stdsurvey[[#This Row],[phq9_score]]&lt;=27,"Severe")</f>
        <v>Mild</v>
      </c>
      <c r="L393">
        <v>8</v>
      </c>
      <c r="M393" s="4" t="str" cm="1">
        <f t="array" ref="M393">_xlfn.IFS(stdsurvey[[#This Row],[gad7_score]]="","Answer Not Provided",stdsurvey[[#This Row],[gad7_score]]&lt;=4,"Minimal",stdsurvey[[#This Row],[gad7_score]]&lt;=9,"Mild",stdsurvey[[#This Row],[gad7_score]]&lt;=14,"Moderate",stdsurvey[[#This Row],[gad7_score]]&lt;=21,"Severe")</f>
        <v>Mild</v>
      </c>
      <c r="N393">
        <v>24.3</v>
      </c>
      <c r="O393" s="4" t="str" cm="1">
        <f t="array" ref="O393">_xlfn.IFS(stdsurvey[[#This Row],[perceived_stress_scale]]="","Answer Not Provided",stdsurvey[[#This Row],[perceived_stress_scale]]&lt;=13,"Low Stress",stdsurvey[[#This Row],[perceived_stress_scale]]&lt;=26,"Moderate Stress",stdsurvey[[#This Row],[perceived_stress_scale]]&lt;=40,"High Stress")</f>
        <v>Low Stress</v>
      </c>
      <c r="P393">
        <v>87.2</v>
      </c>
      <c r="R393" s="4" t="str" cm="1">
        <f t="array" ref="R393">_xlfn.IFS(stdsurvey[[#This Row],[class_attendance_percent]]&lt;60,"Less than 0%",stdsurvey[[#This Row],[class_attendance_percent]]&lt;70,"60-70 %",stdsurvey[[#This Row],[class_attendance_percent]]&lt;80, "70-80%",stdsurvey[[#This Row],[class_attendance_percent]]&lt;90,"80-90%",TRUE,"More than 90%")</f>
        <v>80-90%</v>
      </c>
      <c r="S393" t="s">
        <v>33</v>
      </c>
      <c r="T393">
        <v>3</v>
      </c>
      <c r="U393" t="s">
        <v>26</v>
      </c>
      <c r="V393">
        <v>2.4500000000000002</v>
      </c>
      <c r="W393" s="4" t="str" cm="1">
        <f t="array" ref="W39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93" s="4" t="str" cm="1">
        <f t="array" ref="X393">_xlfn.IFS(stdsurvey[[#This Row],[daily_sleep_hours]]&lt;4,"&lt; 4 hrs",stdsurvey[[#This Row],[daily_sleep_hours]]&lt;=6,"4-6 hrs",stdsurvey[[#This Row],[daily_sleep_hours]]&lt;=8,"6-8 hrs",TRUE,"&gt; 8 hrs")</f>
        <v>4-6 hrs</v>
      </c>
      <c r="Y393" t="s">
        <v>27</v>
      </c>
    </row>
    <row r="394" spans="1:25" x14ac:dyDescent="0.3">
      <c r="A394" t="s">
        <v>428</v>
      </c>
      <c r="B394">
        <v>19</v>
      </c>
      <c r="C394" t="s">
        <v>27</v>
      </c>
      <c r="D394">
        <v>4</v>
      </c>
      <c r="E394" t="s">
        <v>21</v>
      </c>
      <c r="F394">
        <v>7.1</v>
      </c>
      <c r="G394">
        <v>5.7</v>
      </c>
      <c r="H394">
        <v>1</v>
      </c>
      <c r="I394">
        <v>13</v>
      </c>
      <c r="J394">
        <v>7</v>
      </c>
      <c r="K394" s="4" t="str" cm="1">
        <f t="array" ref="K394">_xlfn.IFS(stdsurvey[[#This Row],[phq9_score]]="","Answer Not Provided",stdsurvey[[#This Row],[phq9_score]]&lt;=4,"Minimal",stdsurvey[[#This Row],[phq9_score]]&lt;=9,"Mild",stdsurvey[[#This Row],[phq9_score]]&lt;=14,"Moderate",stdsurvey[[#This Row],[phq9_score]]&lt;=19,"Moderately Severe",stdsurvey[[#This Row],[phq9_score]]&lt;=27,"Severe")</f>
        <v>Moderate</v>
      </c>
      <c r="L394">
        <v>17</v>
      </c>
      <c r="M394" s="4" t="str" cm="1">
        <f t="array" ref="M394">_xlfn.IFS(stdsurvey[[#This Row],[gad7_score]]="","Answer Not Provided",stdsurvey[[#This Row],[gad7_score]]&lt;=4,"Minimal",stdsurvey[[#This Row],[gad7_score]]&lt;=9,"Mild",stdsurvey[[#This Row],[gad7_score]]&lt;=14,"Moderate",stdsurvey[[#This Row],[gad7_score]]&lt;=21,"Severe")</f>
        <v>Mild</v>
      </c>
      <c r="N394">
        <v>23.2</v>
      </c>
      <c r="O394" s="4" t="str" cm="1">
        <f t="array" ref="O394">_xlfn.IFS(stdsurvey[[#This Row],[perceived_stress_scale]]="","Answer Not Provided",stdsurvey[[#This Row],[perceived_stress_scale]]&lt;=13,"Low Stress",stdsurvey[[#This Row],[perceived_stress_scale]]&lt;=26,"Moderate Stress",stdsurvey[[#This Row],[perceived_stress_scale]]&lt;=40,"High Stress")</f>
        <v>Moderate Stress</v>
      </c>
      <c r="P394">
        <v>39.6</v>
      </c>
      <c r="Q394">
        <v>3</v>
      </c>
      <c r="R394" s="4" t="str" cm="1">
        <f t="array" ref="R394">_xlfn.IFS(stdsurvey[[#This Row],[class_attendance_percent]]&lt;60,"Less than 0%",stdsurvey[[#This Row],[class_attendance_percent]]&lt;70,"60-70 %",stdsurvey[[#This Row],[class_attendance_percent]]&lt;80, "70-80%",stdsurvey[[#This Row],[class_attendance_percent]]&lt;90,"80-90%",TRUE,"More than 90%")</f>
        <v>Less than 0%</v>
      </c>
      <c r="S394" t="s">
        <v>22</v>
      </c>
      <c r="T394">
        <v>3</v>
      </c>
      <c r="U394" t="s">
        <v>26</v>
      </c>
      <c r="V394">
        <v>3.32</v>
      </c>
      <c r="W394" s="4" t="str" cm="1">
        <f t="array" ref="W39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94" s="4" t="str" cm="1">
        <f t="array" ref="X394">_xlfn.IFS(stdsurvey[[#This Row],[daily_sleep_hours]]&lt;4,"&lt; 4 hrs",stdsurvey[[#This Row],[daily_sleep_hours]]&lt;=6,"4-6 hrs",stdsurvey[[#This Row],[daily_sleep_hours]]&lt;=8,"6-8 hrs",TRUE,"&gt; 8 hrs")</f>
        <v>6-8 hrs</v>
      </c>
      <c r="Y394" t="s">
        <v>27</v>
      </c>
    </row>
    <row r="395" spans="1:25" x14ac:dyDescent="0.3">
      <c r="A395" t="s">
        <v>429</v>
      </c>
      <c r="B395">
        <v>17</v>
      </c>
      <c r="C395" t="s">
        <v>20</v>
      </c>
      <c r="D395">
        <v>3</v>
      </c>
      <c r="E395" t="s">
        <v>63</v>
      </c>
      <c r="F395">
        <v>7.8</v>
      </c>
      <c r="G395">
        <v>2.4</v>
      </c>
      <c r="H395">
        <v>3</v>
      </c>
      <c r="I395">
        <v>5</v>
      </c>
      <c r="J395">
        <v>2</v>
      </c>
      <c r="K395" s="4" t="str" cm="1">
        <f t="array" ref="K395">_xlfn.IFS(stdsurvey[[#This Row],[phq9_score]]="","Answer Not Provided",stdsurvey[[#This Row],[phq9_score]]&lt;=4,"Minimal",stdsurvey[[#This Row],[phq9_score]]&lt;=9,"Mild",stdsurvey[[#This Row],[phq9_score]]&lt;=14,"Moderate",stdsurvey[[#This Row],[phq9_score]]&lt;=19,"Moderately Severe",stdsurvey[[#This Row],[phq9_score]]&lt;=27,"Severe")</f>
        <v>Mild</v>
      </c>
      <c r="L395">
        <v>9</v>
      </c>
      <c r="M395" s="4" t="str" cm="1">
        <f t="array" ref="M395">_xlfn.IFS(stdsurvey[[#This Row],[gad7_score]]="","Answer Not Provided",stdsurvey[[#This Row],[gad7_score]]&lt;=4,"Minimal",stdsurvey[[#This Row],[gad7_score]]&lt;=9,"Mild",stdsurvey[[#This Row],[gad7_score]]&lt;=14,"Moderate",stdsurvey[[#This Row],[gad7_score]]&lt;=21,"Severe")</f>
        <v>Minimal</v>
      </c>
      <c r="N395">
        <v>16.399999999999999</v>
      </c>
      <c r="O395" s="4" t="str" cm="1">
        <f t="array" ref="O395">_xlfn.IFS(stdsurvey[[#This Row],[perceived_stress_scale]]="","Answer Not Provided",stdsurvey[[#This Row],[perceived_stress_scale]]&lt;=13,"Low Stress",stdsurvey[[#This Row],[perceived_stress_scale]]&lt;=26,"Moderate Stress",stdsurvey[[#This Row],[perceived_stress_scale]]&lt;=40,"High Stress")</f>
        <v>Low Stress</v>
      </c>
      <c r="P395">
        <v>78.099999999999994</v>
      </c>
      <c r="Q395">
        <v>4</v>
      </c>
      <c r="R395" s="4" t="str" cm="1">
        <f t="array" ref="R395">_xlfn.IFS(stdsurvey[[#This Row],[class_attendance_percent]]&lt;60,"Less than 0%",stdsurvey[[#This Row],[class_attendance_percent]]&lt;70,"60-70 %",stdsurvey[[#This Row],[class_attendance_percent]]&lt;80, "70-80%",stdsurvey[[#This Row],[class_attendance_percent]]&lt;90,"80-90%",TRUE,"More than 90%")</f>
        <v>70-80%</v>
      </c>
      <c r="S395" t="s">
        <v>22</v>
      </c>
      <c r="T395">
        <v>5</v>
      </c>
      <c r="U395" t="s">
        <v>51</v>
      </c>
      <c r="V395">
        <v>3.21</v>
      </c>
      <c r="W395" s="4" t="str" cm="1">
        <f t="array" ref="W39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95" s="4" t="str" cm="1">
        <f t="array" ref="X395">_xlfn.IFS(stdsurvey[[#This Row],[daily_sleep_hours]]&lt;4,"&lt; 4 hrs",stdsurvey[[#This Row],[daily_sleep_hours]]&lt;=6,"4-6 hrs",stdsurvey[[#This Row],[daily_sleep_hours]]&lt;=8,"6-8 hrs",TRUE,"&gt; 8 hrs")</f>
        <v>6-8 hrs</v>
      </c>
      <c r="Y395" t="s">
        <v>20</v>
      </c>
    </row>
    <row r="396" spans="1:25" x14ac:dyDescent="0.3">
      <c r="A396" t="s">
        <v>430</v>
      </c>
      <c r="B396">
        <v>22</v>
      </c>
      <c r="C396" t="s">
        <v>20</v>
      </c>
      <c r="D396">
        <v>4</v>
      </c>
      <c r="E396" t="s">
        <v>49</v>
      </c>
      <c r="F396">
        <v>9.9</v>
      </c>
      <c r="G396">
        <v>1</v>
      </c>
      <c r="H396">
        <v>2</v>
      </c>
      <c r="I396">
        <v>5</v>
      </c>
      <c r="J396">
        <v>6</v>
      </c>
      <c r="K396" s="4" t="str" cm="1">
        <f t="array" ref="K396">_xlfn.IFS(stdsurvey[[#This Row],[phq9_score]]="","Answer Not Provided",stdsurvey[[#This Row],[phq9_score]]&lt;=4,"Minimal",stdsurvey[[#This Row],[phq9_score]]&lt;=9,"Mild",stdsurvey[[#This Row],[phq9_score]]&lt;=14,"Moderate",stdsurvey[[#This Row],[phq9_score]]&lt;=19,"Moderately Severe",stdsurvey[[#This Row],[phq9_score]]&lt;=27,"Severe")</f>
        <v>Mild</v>
      </c>
      <c r="L396">
        <v>12</v>
      </c>
      <c r="M396" s="4" t="str" cm="1">
        <f t="array" ref="M396">_xlfn.IFS(stdsurvey[[#This Row],[gad7_score]]="","Answer Not Provided",stdsurvey[[#This Row],[gad7_score]]&lt;=4,"Minimal",stdsurvey[[#This Row],[gad7_score]]&lt;=9,"Mild",stdsurvey[[#This Row],[gad7_score]]&lt;=14,"Moderate",stdsurvey[[#This Row],[gad7_score]]&lt;=21,"Severe")</f>
        <v>Mild</v>
      </c>
      <c r="N396">
        <v>29.9</v>
      </c>
      <c r="O396" s="4" t="str" cm="1">
        <f t="array" ref="O396">_xlfn.IFS(stdsurvey[[#This Row],[perceived_stress_scale]]="","Answer Not Provided",stdsurvey[[#This Row],[perceived_stress_scale]]&lt;=13,"Low Stress",stdsurvey[[#This Row],[perceived_stress_scale]]&lt;=26,"Moderate Stress",stdsurvey[[#This Row],[perceived_stress_scale]]&lt;=40,"High Stress")</f>
        <v>Low Stress</v>
      </c>
      <c r="P396">
        <v>87.9</v>
      </c>
      <c r="Q396">
        <v>1</v>
      </c>
      <c r="R396" s="4" t="str" cm="1">
        <f t="array" ref="R396">_xlfn.IFS(stdsurvey[[#This Row],[class_attendance_percent]]&lt;60,"Less than 0%",stdsurvey[[#This Row],[class_attendance_percent]]&lt;70,"60-70 %",stdsurvey[[#This Row],[class_attendance_percent]]&lt;80, "70-80%",stdsurvey[[#This Row],[class_attendance_percent]]&lt;90,"80-90%",TRUE,"More than 90%")</f>
        <v>80-90%</v>
      </c>
      <c r="S396" t="s">
        <v>22</v>
      </c>
      <c r="T396">
        <v>2</v>
      </c>
      <c r="U396" t="s">
        <v>23</v>
      </c>
      <c r="V396">
        <v>3.32</v>
      </c>
      <c r="W396" s="4" t="str" cm="1">
        <f t="array" ref="W39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96" s="4" t="str" cm="1">
        <f t="array" ref="X396">_xlfn.IFS(stdsurvey[[#This Row],[daily_sleep_hours]]&lt;4,"&lt; 4 hrs",stdsurvey[[#This Row],[daily_sleep_hours]]&lt;=6,"4-6 hrs",stdsurvey[[#This Row],[daily_sleep_hours]]&lt;=8,"6-8 hrs",TRUE,"&gt; 8 hrs")</f>
        <v>&gt; 8 hrs</v>
      </c>
      <c r="Y396" t="s">
        <v>20</v>
      </c>
    </row>
    <row r="397" spans="1:25" x14ac:dyDescent="0.3">
      <c r="A397" t="s">
        <v>431</v>
      </c>
      <c r="B397">
        <v>21</v>
      </c>
      <c r="C397" t="s">
        <v>39</v>
      </c>
      <c r="D397">
        <v>5</v>
      </c>
      <c r="E397" t="s">
        <v>21</v>
      </c>
      <c r="F397">
        <v>5.9</v>
      </c>
      <c r="G397">
        <v>9.1999999999999993</v>
      </c>
      <c r="H397">
        <v>3</v>
      </c>
      <c r="I397">
        <v>1</v>
      </c>
      <c r="J397">
        <v>0</v>
      </c>
      <c r="K397" s="4" t="str" cm="1">
        <f t="array" ref="K397">_xlfn.IFS(stdsurvey[[#This Row],[phq9_score]]="","Answer Not Provided",stdsurvey[[#This Row],[phq9_score]]&lt;=4,"Minimal",stdsurvey[[#This Row],[phq9_score]]&lt;=9,"Mild",stdsurvey[[#This Row],[phq9_score]]&lt;=14,"Moderate",stdsurvey[[#This Row],[phq9_score]]&lt;=19,"Moderately Severe",stdsurvey[[#This Row],[phq9_score]]&lt;=27,"Severe")</f>
        <v>Minimal</v>
      </c>
      <c r="L397">
        <v>9</v>
      </c>
      <c r="M397" s="4" t="str" cm="1">
        <f t="array" ref="M397">_xlfn.IFS(stdsurvey[[#This Row],[gad7_score]]="","Answer Not Provided",stdsurvey[[#This Row],[gad7_score]]&lt;=4,"Minimal",stdsurvey[[#This Row],[gad7_score]]&lt;=9,"Mild",stdsurvey[[#This Row],[gad7_score]]&lt;=14,"Moderate",stdsurvey[[#This Row],[gad7_score]]&lt;=21,"Severe")</f>
        <v>Minimal</v>
      </c>
      <c r="N397">
        <v>24.2</v>
      </c>
      <c r="O397" s="4" t="str" cm="1">
        <f t="array" ref="O397">_xlfn.IFS(stdsurvey[[#This Row],[perceived_stress_scale]]="","Answer Not Provided",stdsurvey[[#This Row],[perceived_stress_scale]]&lt;=13,"Low Stress",stdsurvey[[#This Row],[perceived_stress_scale]]&lt;=26,"Moderate Stress",stdsurvey[[#This Row],[perceived_stress_scale]]&lt;=40,"High Stress")</f>
        <v>Low Stress</v>
      </c>
      <c r="P397">
        <v>76</v>
      </c>
      <c r="Q397">
        <v>2</v>
      </c>
      <c r="R397" s="4" t="str" cm="1">
        <f t="array" ref="R397">_xlfn.IFS(stdsurvey[[#This Row],[class_attendance_percent]]&lt;60,"Less than 0%",stdsurvey[[#This Row],[class_attendance_percent]]&lt;70,"60-70 %",stdsurvey[[#This Row],[class_attendance_percent]]&lt;80, "70-80%",stdsurvey[[#This Row],[class_attendance_percent]]&lt;90,"80-90%",TRUE,"More than 90%")</f>
        <v>70-80%</v>
      </c>
      <c r="S397" t="s">
        <v>22</v>
      </c>
      <c r="T397">
        <v>3</v>
      </c>
      <c r="U397" t="s">
        <v>23</v>
      </c>
      <c r="V397">
        <v>3</v>
      </c>
      <c r="W397" s="4" t="str" cm="1">
        <f t="array" ref="W39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397" s="4" t="str" cm="1">
        <f t="array" ref="X397">_xlfn.IFS(stdsurvey[[#This Row],[daily_sleep_hours]]&lt;4,"&lt; 4 hrs",stdsurvey[[#This Row],[daily_sleep_hours]]&lt;=6,"4-6 hrs",stdsurvey[[#This Row],[daily_sleep_hours]]&lt;=8,"6-8 hrs",TRUE,"&gt; 8 hrs")</f>
        <v>4-6 hrs</v>
      </c>
      <c r="Y397" t="s">
        <v>27</v>
      </c>
    </row>
    <row r="398" spans="1:25" x14ac:dyDescent="0.3">
      <c r="A398" t="s">
        <v>432</v>
      </c>
      <c r="B398">
        <v>22</v>
      </c>
      <c r="C398" t="s">
        <v>39</v>
      </c>
      <c r="D398">
        <v>2</v>
      </c>
      <c r="E398" t="s">
        <v>30</v>
      </c>
      <c r="F398">
        <v>6.4</v>
      </c>
      <c r="G398">
        <v>2</v>
      </c>
      <c r="H398">
        <v>1</v>
      </c>
      <c r="I398">
        <v>1</v>
      </c>
      <c r="J398">
        <v>2</v>
      </c>
      <c r="K398" s="4" t="str" cm="1">
        <f t="array" ref="K398">_xlfn.IFS(stdsurvey[[#This Row],[phq9_score]]="","Answer Not Provided",stdsurvey[[#This Row],[phq9_score]]&lt;=4,"Minimal",stdsurvey[[#This Row],[phq9_score]]&lt;=9,"Mild",stdsurvey[[#This Row],[phq9_score]]&lt;=14,"Moderate",stdsurvey[[#This Row],[phq9_score]]&lt;=19,"Moderately Severe",stdsurvey[[#This Row],[phq9_score]]&lt;=27,"Severe")</f>
        <v>Minimal</v>
      </c>
      <c r="L398">
        <v>3</v>
      </c>
      <c r="M398" s="4" t="str" cm="1">
        <f t="array" ref="M398">_xlfn.IFS(stdsurvey[[#This Row],[gad7_score]]="","Answer Not Provided",stdsurvey[[#This Row],[gad7_score]]&lt;=4,"Minimal",stdsurvey[[#This Row],[gad7_score]]&lt;=9,"Mild",stdsurvey[[#This Row],[gad7_score]]&lt;=14,"Moderate",stdsurvey[[#This Row],[gad7_score]]&lt;=21,"Severe")</f>
        <v>Minimal</v>
      </c>
      <c r="N398">
        <v>21.1</v>
      </c>
      <c r="O398" s="4" t="str" cm="1">
        <f t="array" ref="O398">_xlfn.IFS(stdsurvey[[#This Row],[perceived_stress_scale]]="","Answer Not Provided",stdsurvey[[#This Row],[perceived_stress_scale]]&lt;=13,"Low Stress",stdsurvey[[#This Row],[perceived_stress_scale]]&lt;=26,"Moderate Stress",stdsurvey[[#This Row],[perceived_stress_scale]]&lt;=40,"High Stress")</f>
        <v>Low Stress</v>
      </c>
      <c r="P398">
        <v>85.1</v>
      </c>
      <c r="R398" s="4" t="str" cm="1">
        <f t="array" ref="R398">_xlfn.IFS(stdsurvey[[#This Row],[class_attendance_percent]]&lt;60,"Less than 0%",stdsurvey[[#This Row],[class_attendance_percent]]&lt;70,"60-70 %",stdsurvey[[#This Row],[class_attendance_percent]]&lt;80, "70-80%",stdsurvey[[#This Row],[class_attendance_percent]]&lt;90,"80-90%",TRUE,"More than 90%")</f>
        <v>80-90%</v>
      </c>
      <c r="S398" t="s">
        <v>33</v>
      </c>
      <c r="T398">
        <v>4</v>
      </c>
      <c r="U398" t="s">
        <v>26</v>
      </c>
      <c r="V398">
        <v>3.34</v>
      </c>
      <c r="W398" s="4" t="str" cm="1">
        <f t="array" ref="W39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398" s="4" t="str" cm="1">
        <f t="array" ref="X398">_xlfn.IFS(stdsurvey[[#This Row],[daily_sleep_hours]]&lt;4,"&lt; 4 hrs",stdsurvey[[#This Row],[daily_sleep_hours]]&lt;=6,"4-6 hrs",stdsurvey[[#This Row],[daily_sleep_hours]]&lt;=8,"6-8 hrs",TRUE,"&gt; 8 hrs")</f>
        <v>6-8 hrs</v>
      </c>
      <c r="Y398" t="s">
        <v>27</v>
      </c>
    </row>
    <row r="399" spans="1:25" x14ac:dyDescent="0.3">
      <c r="A399" t="s">
        <v>433</v>
      </c>
      <c r="B399">
        <v>23</v>
      </c>
      <c r="C399" t="s">
        <v>27</v>
      </c>
      <c r="D399">
        <v>1</v>
      </c>
      <c r="E399" t="s">
        <v>30</v>
      </c>
      <c r="F399">
        <v>7.1</v>
      </c>
      <c r="G399">
        <v>4.2</v>
      </c>
      <c r="H399">
        <v>5</v>
      </c>
      <c r="I399">
        <v>1</v>
      </c>
      <c r="J399">
        <v>3</v>
      </c>
      <c r="K399" s="4" t="str" cm="1">
        <f t="array" ref="K399">_xlfn.IFS(stdsurvey[[#This Row],[phq9_score]]="","Answer Not Provided",stdsurvey[[#This Row],[phq9_score]]&lt;=4,"Minimal",stdsurvey[[#This Row],[phq9_score]]&lt;=9,"Mild",stdsurvey[[#This Row],[phq9_score]]&lt;=14,"Moderate",stdsurvey[[#This Row],[phq9_score]]&lt;=19,"Moderately Severe",stdsurvey[[#This Row],[phq9_score]]&lt;=27,"Severe")</f>
        <v>Minimal</v>
      </c>
      <c r="L399">
        <v>9</v>
      </c>
      <c r="M399" s="4" t="str" cm="1">
        <f t="array" ref="M399">_xlfn.IFS(stdsurvey[[#This Row],[gad7_score]]="","Answer Not Provided",stdsurvey[[#This Row],[gad7_score]]&lt;=4,"Minimal",stdsurvey[[#This Row],[gad7_score]]&lt;=9,"Mild",stdsurvey[[#This Row],[gad7_score]]&lt;=14,"Moderate",stdsurvey[[#This Row],[gad7_score]]&lt;=21,"Severe")</f>
        <v>Minimal</v>
      </c>
      <c r="N399">
        <v>20.6</v>
      </c>
      <c r="O399" s="4" t="str" cm="1">
        <f t="array" ref="O399">_xlfn.IFS(stdsurvey[[#This Row],[perceived_stress_scale]]="","Answer Not Provided",stdsurvey[[#This Row],[perceived_stress_scale]]&lt;=13,"Low Stress",stdsurvey[[#This Row],[perceived_stress_scale]]&lt;=26,"Moderate Stress",stdsurvey[[#This Row],[perceived_stress_scale]]&lt;=40,"High Stress")</f>
        <v>Low Stress</v>
      </c>
      <c r="P399">
        <v>90.7</v>
      </c>
      <c r="Q399">
        <v>4</v>
      </c>
      <c r="R399" s="4" t="str" cm="1">
        <f t="array" ref="R399">_xlfn.IFS(stdsurvey[[#This Row],[class_attendance_percent]]&lt;60,"Less than 0%",stdsurvey[[#This Row],[class_attendance_percent]]&lt;70,"60-70 %",stdsurvey[[#This Row],[class_attendance_percent]]&lt;80, "70-80%",stdsurvey[[#This Row],[class_attendance_percent]]&lt;90,"80-90%",TRUE,"More than 90%")</f>
        <v>More than 90%</v>
      </c>
      <c r="S399" t="s">
        <v>22</v>
      </c>
      <c r="T399">
        <v>3</v>
      </c>
      <c r="U399" t="s">
        <v>23</v>
      </c>
      <c r="V399">
        <v>2.95</v>
      </c>
      <c r="W399" s="4" t="str" cm="1">
        <f t="array" ref="W39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399" s="4" t="str" cm="1">
        <f t="array" ref="X399">_xlfn.IFS(stdsurvey[[#This Row],[daily_sleep_hours]]&lt;4,"&lt; 4 hrs",stdsurvey[[#This Row],[daily_sleep_hours]]&lt;=6,"4-6 hrs",stdsurvey[[#This Row],[daily_sleep_hours]]&lt;=8,"6-8 hrs",TRUE,"&gt; 8 hrs")</f>
        <v>6-8 hrs</v>
      </c>
      <c r="Y399" t="s">
        <v>27</v>
      </c>
    </row>
    <row r="400" spans="1:25" x14ac:dyDescent="0.3">
      <c r="A400" t="s">
        <v>434</v>
      </c>
      <c r="B400">
        <v>22</v>
      </c>
      <c r="C400" t="s">
        <v>102</v>
      </c>
      <c r="D400">
        <v>2</v>
      </c>
      <c r="E400" t="s">
        <v>21</v>
      </c>
      <c r="F400">
        <v>7.1</v>
      </c>
      <c r="G400">
        <v>5</v>
      </c>
      <c r="H400">
        <v>3</v>
      </c>
      <c r="I400">
        <v>3</v>
      </c>
      <c r="J400">
        <v>5</v>
      </c>
      <c r="K400" s="4" t="str" cm="1">
        <f t="array" ref="K400">_xlfn.IFS(stdsurvey[[#This Row],[phq9_score]]="","Answer Not Provided",stdsurvey[[#This Row],[phq9_score]]&lt;=4,"Minimal",stdsurvey[[#This Row],[phq9_score]]&lt;=9,"Mild",stdsurvey[[#This Row],[phq9_score]]&lt;=14,"Moderate",stdsurvey[[#This Row],[phq9_score]]&lt;=19,"Moderately Severe",stdsurvey[[#This Row],[phq9_score]]&lt;=27,"Severe")</f>
        <v>Minimal</v>
      </c>
      <c r="L400">
        <v>12</v>
      </c>
      <c r="M400" s="4" t="str" cm="1">
        <f t="array" ref="M400">_xlfn.IFS(stdsurvey[[#This Row],[gad7_score]]="","Answer Not Provided",stdsurvey[[#This Row],[gad7_score]]&lt;=4,"Minimal",stdsurvey[[#This Row],[gad7_score]]&lt;=9,"Mild",stdsurvey[[#This Row],[gad7_score]]&lt;=14,"Moderate",stdsurvey[[#This Row],[gad7_score]]&lt;=21,"Severe")</f>
        <v>Mild</v>
      </c>
      <c r="N400">
        <v>21.8</v>
      </c>
      <c r="O400" s="4" t="str" cm="1">
        <f t="array" ref="O400">_xlfn.IFS(stdsurvey[[#This Row],[perceived_stress_scale]]="","Answer Not Provided",stdsurvey[[#This Row],[perceived_stress_scale]]&lt;=13,"Low Stress",stdsurvey[[#This Row],[perceived_stress_scale]]&lt;=26,"Moderate Stress",stdsurvey[[#This Row],[perceived_stress_scale]]&lt;=40,"High Stress")</f>
        <v>Low Stress</v>
      </c>
      <c r="P400">
        <v>76.7</v>
      </c>
      <c r="Q400">
        <v>1</v>
      </c>
      <c r="R400" s="4" t="str" cm="1">
        <f t="array" ref="R400">_xlfn.IFS(stdsurvey[[#This Row],[class_attendance_percent]]&lt;60,"Less than 0%",stdsurvey[[#This Row],[class_attendance_percent]]&lt;70,"60-70 %",stdsurvey[[#This Row],[class_attendance_percent]]&lt;80, "70-80%",stdsurvey[[#This Row],[class_attendance_percent]]&lt;90,"80-90%",TRUE,"More than 90%")</f>
        <v>70-80%</v>
      </c>
      <c r="S400" t="s">
        <v>33</v>
      </c>
      <c r="T400">
        <v>5</v>
      </c>
      <c r="U400" t="s">
        <v>51</v>
      </c>
      <c r="V400">
        <v>2.9</v>
      </c>
      <c r="W400" s="4" t="str" cm="1">
        <f t="array" ref="W40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0" s="4" t="str" cm="1">
        <f t="array" ref="X400">_xlfn.IFS(stdsurvey[[#This Row],[daily_sleep_hours]]&lt;4,"&lt; 4 hrs",stdsurvey[[#This Row],[daily_sleep_hours]]&lt;=6,"4-6 hrs",stdsurvey[[#This Row],[daily_sleep_hours]]&lt;=8,"6-8 hrs",TRUE,"&gt; 8 hrs")</f>
        <v>6-8 hrs</v>
      </c>
      <c r="Y400" t="s">
        <v>20</v>
      </c>
    </row>
    <row r="401" spans="1:25" x14ac:dyDescent="0.3">
      <c r="A401" t="s">
        <v>435</v>
      </c>
      <c r="B401">
        <v>23</v>
      </c>
      <c r="C401" t="s">
        <v>27</v>
      </c>
      <c r="D401">
        <v>2</v>
      </c>
      <c r="E401" t="s">
        <v>35</v>
      </c>
      <c r="F401">
        <v>5.6</v>
      </c>
      <c r="G401">
        <v>5.9</v>
      </c>
      <c r="H401">
        <v>5</v>
      </c>
      <c r="I401">
        <v>11</v>
      </c>
      <c r="J401">
        <v>9</v>
      </c>
      <c r="K401" s="4" t="str" cm="1">
        <f t="array" ref="K401">_xlfn.IFS(stdsurvey[[#This Row],[phq9_score]]="","Answer Not Provided",stdsurvey[[#This Row],[phq9_score]]&lt;=4,"Minimal",stdsurvey[[#This Row],[phq9_score]]&lt;=9,"Mild",stdsurvey[[#This Row],[phq9_score]]&lt;=14,"Moderate",stdsurvey[[#This Row],[phq9_score]]&lt;=19,"Moderately Severe",stdsurvey[[#This Row],[phq9_score]]&lt;=27,"Severe")</f>
        <v>Moderate</v>
      </c>
      <c r="L401">
        <v>16</v>
      </c>
      <c r="M401" s="4" t="str" cm="1">
        <f t="array" ref="M401">_xlfn.IFS(stdsurvey[[#This Row],[gad7_score]]="","Answer Not Provided",stdsurvey[[#This Row],[gad7_score]]&lt;=4,"Minimal",stdsurvey[[#This Row],[gad7_score]]&lt;=9,"Mild",stdsurvey[[#This Row],[gad7_score]]&lt;=14,"Moderate",stdsurvey[[#This Row],[gad7_score]]&lt;=21,"Severe")</f>
        <v>Mild</v>
      </c>
      <c r="N401">
        <v>8</v>
      </c>
      <c r="O401" s="4" t="str" cm="1">
        <f t="array" ref="O401">_xlfn.IFS(stdsurvey[[#This Row],[perceived_stress_scale]]="","Answer Not Provided",stdsurvey[[#This Row],[perceived_stress_scale]]&lt;=13,"Low Stress",stdsurvey[[#This Row],[perceived_stress_scale]]&lt;=26,"Moderate Stress",stdsurvey[[#This Row],[perceived_stress_scale]]&lt;=40,"High Stress")</f>
        <v>Moderate Stress</v>
      </c>
      <c r="P401">
        <v>93.5</v>
      </c>
      <c r="Q401">
        <v>4</v>
      </c>
      <c r="R401" s="4" t="str" cm="1">
        <f t="array" ref="R401">_xlfn.IFS(stdsurvey[[#This Row],[class_attendance_percent]]&lt;60,"Less than 0%",stdsurvey[[#This Row],[class_attendance_percent]]&lt;70,"60-70 %",stdsurvey[[#This Row],[class_attendance_percent]]&lt;80, "70-80%",stdsurvey[[#This Row],[class_attendance_percent]]&lt;90,"80-90%",TRUE,"More than 90%")</f>
        <v>More than 90%</v>
      </c>
      <c r="S401" t="s">
        <v>33</v>
      </c>
      <c r="T401">
        <v>3</v>
      </c>
      <c r="U401" t="s">
        <v>23</v>
      </c>
      <c r="V401">
        <v>2.66</v>
      </c>
      <c r="W401" s="4" t="str" cm="1">
        <f t="array" ref="W40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1" s="4" t="str" cm="1">
        <f t="array" ref="X401">_xlfn.IFS(stdsurvey[[#This Row],[daily_sleep_hours]]&lt;4,"&lt; 4 hrs",stdsurvey[[#This Row],[daily_sleep_hours]]&lt;=6,"4-6 hrs",stdsurvey[[#This Row],[daily_sleep_hours]]&lt;=8,"6-8 hrs",TRUE,"&gt; 8 hrs")</f>
        <v>4-6 hrs</v>
      </c>
      <c r="Y401" t="s">
        <v>27</v>
      </c>
    </row>
    <row r="402" spans="1:25" x14ac:dyDescent="0.3">
      <c r="A402" t="s">
        <v>436</v>
      </c>
      <c r="B402">
        <v>22</v>
      </c>
      <c r="C402" t="s">
        <v>45</v>
      </c>
      <c r="D402">
        <v>5</v>
      </c>
      <c r="E402" t="s">
        <v>49</v>
      </c>
      <c r="F402">
        <v>5.5</v>
      </c>
      <c r="G402">
        <v>4.4000000000000004</v>
      </c>
      <c r="H402">
        <v>0</v>
      </c>
      <c r="I402">
        <v>8</v>
      </c>
      <c r="J402">
        <v>6</v>
      </c>
      <c r="K402" s="4" t="str" cm="1">
        <f t="array" ref="K402">_xlfn.IFS(stdsurvey[[#This Row],[phq9_score]]="","Answer Not Provided",stdsurvey[[#This Row],[phq9_score]]&lt;=4,"Minimal",stdsurvey[[#This Row],[phq9_score]]&lt;=9,"Mild",stdsurvey[[#This Row],[phq9_score]]&lt;=14,"Moderate",stdsurvey[[#This Row],[phq9_score]]&lt;=19,"Moderately Severe",stdsurvey[[#This Row],[phq9_score]]&lt;=27,"Severe")</f>
        <v>Mild</v>
      </c>
      <c r="L402">
        <v>13</v>
      </c>
      <c r="M402" s="4" t="str" cm="1">
        <f t="array" ref="M402">_xlfn.IFS(stdsurvey[[#This Row],[gad7_score]]="","Answer Not Provided",stdsurvey[[#This Row],[gad7_score]]&lt;=4,"Minimal",stdsurvey[[#This Row],[gad7_score]]&lt;=9,"Mild",stdsurvey[[#This Row],[gad7_score]]&lt;=14,"Moderate",stdsurvey[[#This Row],[gad7_score]]&lt;=21,"Severe")</f>
        <v>Mild</v>
      </c>
      <c r="N402">
        <v>16.600000000000001</v>
      </c>
      <c r="O402" s="4" t="str" cm="1">
        <f t="array" ref="O402">_xlfn.IFS(stdsurvey[[#This Row],[perceived_stress_scale]]="","Answer Not Provided",stdsurvey[[#This Row],[perceived_stress_scale]]&lt;=13,"Low Stress",stdsurvey[[#This Row],[perceived_stress_scale]]&lt;=26,"Moderate Stress",stdsurvey[[#This Row],[perceived_stress_scale]]&lt;=40,"High Stress")</f>
        <v>Low Stress</v>
      </c>
      <c r="P402">
        <v>94.7</v>
      </c>
      <c r="Q402">
        <v>3</v>
      </c>
      <c r="R402" s="4" t="str" cm="1">
        <f t="array" ref="R402">_xlfn.IFS(stdsurvey[[#This Row],[class_attendance_percent]]&lt;60,"Less than 0%",stdsurvey[[#This Row],[class_attendance_percent]]&lt;70,"60-70 %",stdsurvey[[#This Row],[class_attendance_percent]]&lt;80, "70-80%",stdsurvey[[#This Row],[class_attendance_percent]]&lt;90,"80-90%",TRUE,"More than 90%")</f>
        <v>More than 90%</v>
      </c>
      <c r="S402" t="s">
        <v>33</v>
      </c>
      <c r="T402">
        <v>2</v>
      </c>
      <c r="U402" t="s">
        <v>26</v>
      </c>
      <c r="V402">
        <v>2.3199999999999998</v>
      </c>
      <c r="W402" s="4" t="str" cm="1">
        <f t="array" ref="W40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2" s="4" t="str" cm="1">
        <f t="array" ref="X402">_xlfn.IFS(stdsurvey[[#This Row],[daily_sleep_hours]]&lt;4,"&lt; 4 hrs",stdsurvey[[#This Row],[daily_sleep_hours]]&lt;=6,"4-6 hrs",stdsurvey[[#This Row],[daily_sleep_hours]]&lt;=8,"6-8 hrs",TRUE,"&gt; 8 hrs")</f>
        <v>4-6 hrs</v>
      </c>
      <c r="Y402" t="s">
        <v>20</v>
      </c>
    </row>
    <row r="403" spans="1:25" x14ac:dyDescent="0.3">
      <c r="A403" t="s">
        <v>437</v>
      </c>
      <c r="B403">
        <v>23</v>
      </c>
      <c r="C403" t="s">
        <v>27</v>
      </c>
      <c r="D403">
        <v>2</v>
      </c>
      <c r="E403" t="s">
        <v>30</v>
      </c>
      <c r="F403">
        <v>7.2</v>
      </c>
      <c r="G403">
        <v>5.3</v>
      </c>
      <c r="H403">
        <v>3</v>
      </c>
      <c r="I403">
        <v>10</v>
      </c>
      <c r="J403">
        <v>10</v>
      </c>
      <c r="K403" s="4" t="str" cm="1">
        <f t="array" ref="K403">_xlfn.IFS(stdsurvey[[#This Row],[phq9_score]]="","Answer Not Provided",stdsurvey[[#This Row],[phq9_score]]&lt;=4,"Minimal",stdsurvey[[#This Row],[phq9_score]]&lt;=9,"Mild",stdsurvey[[#This Row],[phq9_score]]&lt;=14,"Moderate",stdsurvey[[#This Row],[phq9_score]]&lt;=19,"Moderately Severe",stdsurvey[[#This Row],[phq9_score]]&lt;=27,"Severe")</f>
        <v>Moderate</v>
      </c>
      <c r="L403">
        <v>17</v>
      </c>
      <c r="M403" s="4" t="str" cm="1">
        <f t="array" ref="M403">_xlfn.IFS(stdsurvey[[#This Row],[gad7_score]]="","Answer Not Provided",stdsurvey[[#This Row],[gad7_score]]&lt;=4,"Minimal",stdsurvey[[#This Row],[gad7_score]]&lt;=9,"Mild",stdsurvey[[#This Row],[gad7_score]]&lt;=14,"Moderate",stdsurvey[[#This Row],[gad7_score]]&lt;=21,"Severe")</f>
        <v>Moderate</v>
      </c>
      <c r="N403">
        <v>21.6</v>
      </c>
      <c r="O403" s="4" t="str" cm="1">
        <f t="array" ref="O403">_xlfn.IFS(stdsurvey[[#This Row],[perceived_stress_scale]]="","Answer Not Provided",stdsurvey[[#This Row],[perceived_stress_scale]]&lt;=13,"Low Stress",stdsurvey[[#This Row],[perceived_stress_scale]]&lt;=26,"Moderate Stress",stdsurvey[[#This Row],[perceived_stress_scale]]&lt;=40,"High Stress")</f>
        <v>Moderate Stress</v>
      </c>
      <c r="P403">
        <v>72.099999999999994</v>
      </c>
      <c r="Q403">
        <v>1</v>
      </c>
      <c r="R403" s="4" t="str" cm="1">
        <f t="array" ref="R403">_xlfn.IFS(stdsurvey[[#This Row],[class_attendance_percent]]&lt;60,"Less than 0%",stdsurvey[[#This Row],[class_attendance_percent]]&lt;70,"60-70 %",stdsurvey[[#This Row],[class_attendance_percent]]&lt;80, "70-80%",stdsurvey[[#This Row],[class_attendance_percent]]&lt;90,"80-90%",TRUE,"More than 90%")</f>
        <v>70-80%</v>
      </c>
      <c r="S403" t="s">
        <v>22</v>
      </c>
      <c r="T403">
        <v>3</v>
      </c>
      <c r="U403" t="s">
        <v>23</v>
      </c>
      <c r="V403">
        <v>2.95</v>
      </c>
      <c r="W403" s="4" t="str" cm="1">
        <f t="array" ref="W40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3" s="4" t="str" cm="1">
        <f t="array" ref="X403">_xlfn.IFS(stdsurvey[[#This Row],[daily_sleep_hours]]&lt;4,"&lt; 4 hrs",stdsurvey[[#This Row],[daily_sleep_hours]]&lt;=6,"4-6 hrs",stdsurvey[[#This Row],[daily_sleep_hours]]&lt;=8,"6-8 hrs",TRUE,"&gt; 8 hrs")</f>
        <v>6-8 hrs</v>
      </c>
      <c r="Y403" t="s">
        <v>27</v>
      </c>
    </row>
    <row r="404" spans="1:25" x14ac:dyDescent="0.3">
      <c r="A404" t="s">
        <v>438</v>
      </c>
      <c r="B404">
        <v>20</v>
      </c>
      <c r="C404" t="s">
        <v>27</v>
      </c>
      <c r="D404">
        <v>4</v>
      </c>
      <c r="E404" t="s">
        <v>47</v>
      </c>
      <c r="F404">
        <v>5.5</v>
      </c>
      <c r="G404">
        <v>3.6</v>
      </c>
      <c r="H404">
        <v>4</v>
      </c>
      <c r="K404" s="4" t="str" cm="1">
        <f t="array" ref="K404">_xlfn.IFS(stdsurvey[[#This Row],[phq9_score]]="","Answer Not Provided",stdsurvey[[#This Row],[phq9_score]]&lt;=4,"Minimal",stdsurvey[[#This Row],[phq9_score]]&lt;=9,"Mild",stdsurvey[[#This Row],[phq9_score]]&lt;=14,"Moderate",stdsurvey[[#This Row],[phq9_score]]&lt;=19,"Moderately Severe",stdsurvey[[#This Row],[phq9_score]]&lt;=27,"Severe")</f>
        <v>Answer Not Provided</v>
      </c>
      <c r="L404">
        <v>9</v>
      </c>
      <c r="M404" s="4" t="str" cm="1">
        <f t="array" ref="M404">_xlfn.IFS(stdsurvey[[#This Row],[gad7_score]]="","Answer Not Provided",stdsurvey[[#This Row],[gad7_score]]&lt;=4,"Minimal",stdsurvey[[#This Row],[gad7_score]]&lt;=9,"Mild",stdsurvey[[#This Row],[gad7_score]]&lt;=14,"Moderate",stdsurvey[[#This Row],[gad7_score]]&lt;=21,"Severe")</f>
        <v>Answer Not Provided</v>
      </c>
      <c r="N404">
        <v>8.4</v>
      </c>
      <c r="O404" s="4" t="str" cm="1">
        <f t="array" ref="O404">_xlfn.IFS(stdsurvey[[#This Row],[perceived_stress_scale]]="","Answer Not Provided",stdsurvey[[#This Row],[perceived_stress_scale]]&lt;=13,"Low Stress",stdsurvey[[#This Row],[perceived_stress_scale]]&lt;=26,"Moderate Stress",stdsurvey[[#This Row],[perceived_stress_scale]]&lt;=40,"High Stress")</f>
        <v>Low Stress</v>
      </c>
      <c r="P404">
        <v>75.400000000000006</v>
      </c>
      <c r="Q404">
        <v>4</v>
      </c>
      <c r="R404" s="4" t="str" cm="1">
        <f t="array" ref="R404">_xlfn.IFS(stdsurvey[[#This Row],[class_attendance_percent]]&lt;60,"Less than 0%",stdsurvey[[#This Row],[class_attendance_percent]]&lt;70,"60-70 %",stdsurvey[[#This Row],[class_attendance_percent]]&lt;80, "70-80%",stdsurvey[[#This Row],[class_attendance_percent]]&lt;90,"80-90%",TRUE,"More than 90%")</f>
        <v>70-80%</v>
      </c>
      <c r="S404" t="s">
        <v>22</v>
      </c>
      <c r="T404">
        <v>3</v>
      </c>
      <c r="U404" t="s">
        <v>51</v>
      </c>
      <c r="V404">
        <v>2.63</v>
      </c>
      <c r="W404" s="4" t="str" cm="1">
        <f t="array" ref="W40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04" s="4" t="str" cm="1">
        <f t="array" ref="X404">_xlfn.IFS(stdsurvey[[#This Row],[daily_sleep_hours]]&lt;4,"&lt; 4 hrs",stdsurvey[[#This Row],[daily_sleep_hours]]&lt;=6,"4-6 hrs",stdsurvey[[#This Row],[daily_sleep_hours]]&lt;=8,"6-8 hrs",TRUE,"&gt; 8 hrs")</f>
        <v>4-6 hrs</v>
      </c>
      <c r="Y404" t="s">
        <v>27</v>
      </c>
    </row>
    <row r="405" spans="1:25" x14ac:dyDescent="0.3">
      <c r="A405" t="s">
        <v>439</v>
      </c>
      <c r="B405">
        <v>21</v>
      </c>
      <c r="C405" t="s">
        <v>25</v>
      </c>
      <c r="D405">
        <v>3</v>
      </c>
      <c r="E405" t="s">
        <v>21</v>
      </c>
      <c r="F405">
        <v>6.2</v>
      </c>
      <c r="G405">
        <v>1.3</v>
      </c>
      <c r="H405">
        <v>2</v>
      </c>
      <c r="I405">
        <v>5</v>
      </c>
      <c r="J405">
        <v>4</v>
      </c>
      <c r="K405" s="4" t="str" cm="1">
        <f t="array" ref="K405">_xlfn.IFS(stdsurvey[[#This Row],[phq9_score]]="","Answer Not Provided",stdsurvey[[#This Row],[phq9_score]]&lt;=4,"Minimal",stdsurvey[[#This Row],[phq9_score]]&lt;=9,"Mild",stdsurvey[[#This Row],[phq9_score]]&lt;=14,"Moderate",stdsurvey[[#This Row],[phq9_score]]&lt;=19,"Moderately Severe",stdsurvey[[#This Row],[phq9_score]]&lt;=27,"Severe")</f>
        <v>Mild</v>
      </c>
      <c r="L405">
        <v>12</v>
      </c>
      <c r="M405" s="4" t="str" cm="1">
        <f t="array" ref="M405">_xlfn.IFS(stdsurvey[[#This Row],[gad7_score]]="","Answer Not Provided",stdsurvey[[#This Row],[gad7_score]]&lt;=4,"Minimal",stdsurvey[[#This Row],[gad7_score]]&lt;=9,"Mild",stdsurvey[[#This Row],[gad7_score]]&lt;=14,"Moderate",stdsurvey[[#This Row],[gad7_score]]&lt;=21,"Severe")</f>
        <v>Minimal</v>
      </c>
      <c r="N405">
        <v>16.8</v>
      </c>
      <c r="O405" s="4" t="str" cm="1">
        <f t="array" ref="O405">_xlfn.IFS(stdsurvey[[#This Row],[perceived_stress_scale]]="","Answer Not Provided",stdsurvey[[#This Row],[perceived_stress_scale]]&lt;=13,"Low Stress",stdsurvey[[#This Row],[perceived_stress_scale]]&lt;=26,"Moderate Stress",stdsurvey[[#This Row],[perceived_stress_scale]]&lt;=40,"High Stress")</f>
        <v>Low Stress</v>
      </c>
      <c r="P405">
        <v>35.799999999999997</v>
      </c>
      <c r="Q405">
        <v>3</v>
      </c>
      <c r="R405" s="4" t="str" cm="1">
        <f t="array" ref="R405">_xlfn.IFS(stdsurvey[[#This Row],[class_attendance_percent]]&lt;60,"Less than 0%",stdsurvey[[#This Row],[class_attendance_percent]]&lt;70,"60-70 %",stdsurvey[[#This Row],[class_attendance_percent]]&lt;80, "70-80%",stdsurvey[[#This Row],[class_attendance_percent]]&lt;90,"80-90%",TRUE,"More than 90%")</f>
        <v>Less than 0%</v>
      </c>
      <c r="S405" t="s">
        <v>22</v>
      </c>
      <c r="T405">
        <v>1</v>
      </c>
      <c r="U405" t="s">
        <v>51</v>
      </c>
      <c r="V405">
        <v>2.7</v>
      </c>
      <c r="W405" s="4" t="str" cm="1">
        <f t="array" ref="W40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05" s="4" t="str" cm="1">
        <f t="array" ref="X405">_xlfn.IFS(stdsurvey[[#This Row],[daily_sleep_hours]]&lt;4,"&lt; 4 hrs",stdsurvey[[#This Row],[daily_sleep_hours]]&lt;=6,"4-6 hrs",stdsurvey[[#This Row],[daily_sleep_hours]]&lt;=8,"6-8 hrs",TRUE,"&gt; 8 hrs")</f>
        <v>6-8 hrs</v>
      </c>
      <c r="Y405" t="s">
        <v>27</v>
      </c>
    </row>
    <row r="406" spans="1:25" x14ac:dyDescent="0.3">
      <c r="A406" t="s">
        <v>440</v>
      </c>
      <c r="B406">
        <v>22</v>
      </c>
      <c r="C406" t="s">
        <v>27</v>
      </c>
      <c r="D406">
        <v>1</v>
      </c>
      <c r="E406" t="s">
        <v>47</v>
      </c>
      <c r="F406">
        <v>6.6</v>
      </c>
      <c r="G406">
        <v>4.3</v>
      </c>
      <c r="H406">
        <v>1</v>
      </c>
      <c r="I406">
        <v>1</v>
      </c>
      <c r="J406">
        <v>3</v>
      </c>
      <c r="K406" s="4" t="str" cm="1">
        <f t="array" ref="K406">_xlfn.IFS(stdsurvey[[#This Row],[phq9_score]]="","Answer Not Provided",stdsurvey[[#This Row],[phq9_score]]&lt;=4,"Minimal",stdsurvey[[#This Row],[phq9_score]]&lt;=9,"Mild",stdsurvey[[#This Row],[phq9_score]]&lt;=14,"Moderate",stdsurvey[[#This Row],[phq9_score]]&lt;=19,"Moderately Severe",stdsurvey[[#This Row],[phq9_score]]&lt;=27,"Severe")</f>
        <v>Minimal</v>
      </c>
      <c r="L406">
        <v>9</v>
      </c>
      <c r="M406" s="4" t="str" cm="1">
        <f t="array" ref="M406">_xlfn.IFS(stdsurvey[[#This Row],[gad7_score]]="","Answer Not Provided",stdsurvey[[#This Row],[gad7_score]]&lt;=4,"Minimal",stdsurvey[[#This Row],[gad7_score]]&lt;=9,"Mild",stdsurvey[[#This Row],[gad7_score]]&lt;=14,"Moderate",stdsurvey[[#This Row],[gad7_score]]&lt;=21,"Severe")</f>
        <v>Minimal</v>
      </c>
      <c r="N406">
        <v>20</v>
      </c>
      <c r="O406" s="4" t="str" cm="1">
        <f t="array" ref="O406">_xlfn.IFS(stdsurvey[[#This Row],[perceived_stress_scale]]="","Answer Not Provided",stdsurvey[[#This Row],[perceived_stress_scale]]&lt;=13,"Low Stress",stdsurvey[[#This Row],[perceived_stress_scale]]&lt;=26,"Moderate Stress",stdsurvey[[#This Row],[perceived_stress_scale]]&lt;=40,"High Stress")</f>
        <v>Low Stress</v>
      </c>
      <c r="P406">
        <v>82</v>
      </c>
      <c r="Q406">
        <v>2</v>
      </c>
      <c r="R406" s="4" t="str" cm="1">
        <f t="array" ref="R406">_xlfn.IFS(stdsurvey[[#This Row],[class_attendance_percent]]&lt;60,"Less than 0%",stdsurvey[[#This Row],[class_attendance_percent]]&lt;70,"60-70 %",stdsurvey[[#This Row],[class_attendance_percent]]&lt;80, "70-80%",stdsurvey[[#This Row],[class_attendance_percent]]&lt;90,"80-90%",TRUE,"More than 90%")</f>
        <v>80-90%</v>
      </c>
      <c r="S406" t="s">
        <v>33</v>
      </c>
      <c r="T406">
        <v>1</v>
      </c>
      <c r="U406" t="s">
        <v>26</v>
      </c>
      <c r="V406">
        <v>3.03</v>
      </c>
      <c r="W406" s="4" t="str" cm="1">
        <f t="array" ref="W40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6" s="4" t="str" cm="1">
        <f t="array" ref="X406">_xlfn.IFS(stdsurvey[[#This Row],[daily_sleep_hours]]&lt;4,"&lt; 4 hrs",stdsurvey[[#This Row],[daily_sleep_hours]]&lt;=6,"4-6 hrs",stdsurvey[[#This Row],[daily_sleep_hours]]&lt;=8,"6-8 hrs",TRUE,"&gt; 8 hrs")</f>
        <v>6-8 hrs</v>
      </c>
      <c r="Y406" t="s">
        <v>27</v>
      </c>
    </row>
    <row r="407" spans="1:25" x14ac:dyDescent="0.3">
      <c r="A407" t="s">
        <v>441</v>
      </c>
      <c r="B407">
        <v>23</v>
      </c>
      <c r="C407" t="s">
        <v>20</v>
      </c>
      <c r="D407">
        <v>2</v>
      </c>
      <c r="E407" t="s">
        <v>30</v>
      </c>
      <c r="F407">
        <v>7.7</v>
      </c>
      <c r="G407">
        <v>6.4</v>
      </c>
      <c r="H407">
        <v>2</v>
      </c>
      <c r="I407">
        <v>3</v>
      </c>
      <c r="J407">
        <v>5</v>
      </c>
      <c r="K407" s="4" t="str" cm="1">
        <f t="array" ref="K407">_xlfn.IFS(stdsurvey[[#This Row],[phq9_score]]="","Answer Not Provided",stdsurvey[[#This Row],[phq9_score]]&lt;=4,"Minimal",stdsurvey[[#This Row],[phq9_score]]&lt;=9,"Mild",stdsurvey[[#This Row],[phq9_score]]&lt;=14,"Moderate",stdsurvey[[#This Row],[phq9_score]]&lt;=19,"Moderately Severe",stdsurvey[[#This Row],[phq9_score]]&lt;=27,"Severe")</f>
        <v>Minimal</v>
      </c>
      <c r="L407">
        <v>6</v>
      </c>
      <c r="M407" s="4" t="str" cm="1">
        <f t="array" ref="M407">_xlfn.IFS(stdsurvey[[#This Row],[gad7_score]]="","Answer Not Provided",stdsurvey[[#This Row],[gad7_score]]&lt;=4,"Minimal",stdsurvey[[#This Row],[gad7_score]]&lt;=9,"Mild",stdsurvey[[#This Row],[gad7_score]]&lt;=14,"Moderate",stdsurvey[[#This Row],[gad7_score]]&lt;=21,"Severe")</f>
        <v>Mild</v>
      </c>
      <c r="N407">
        <v>28.5</v>
      </c>
      <c r="O407" s="4" t="str" cm="1">
        <f t="array" ref="O407">_xlfn.IFS(stdsurvey[[#This Row],[perceived_stress_scale]]="","Answer Not Provided",stdsurvey[[#This Row],[perceived_stress_scale]]&lt;=13,"Low Stress",stdsurvey[[#This Row],[perceived_stress_scale]]&lt;=26,"Moderate Stress",stdsurvey[[#This Row],[perceived_stress_scale]]&lt;=40,"High Stress")</f>
        <v>Low Stress</v>
      </c>
      <c r="P407">
        <v>70.3</v>
      </c>
      <c r="Q407">
        <v>5</v>
      </c>
      <c r="R407" s="4" t="str" cm="1">
        <f t="array" ref="R407">_xlfn.IFS(stdsurvey[[#This Row],[class_attendance_percent]]&lt;60,"Less than 0%",stdsurvey[[#This Row],[class_attendance_percent]]&lt;70,"60-70 %",stdsurvey[[#This Row],[class_attendance_percent]]&lt;80, "70-80%",stdsurvey[[#This Row],[class_attendance_percent]]&lt;90,"80-90%",TRUE,"More than 90%")</f>
        <v>70-80%</v>
      </c>
      <c r="S407" t="s">
        <v>33</v>
      </c>
      <c r="T407">
        <v>2</v>
      </c>
      <c r="U407" t="s">
        <v>23</v>
      </c>
      <c r="V407">
        <v>2.89</v>
      </c>
      <c r="W407" s="4" t="str" cm="1">
        <f t="array" ref="W40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7" s="4" t="str" cm="1">
        <f t="array" ref="X407">_xlfn.IFS(stdsurvey[[#This Row],[daily_sleep_hours]]&lt;4,"&lt; 4 hrs",stdsurvey[[#This Row],[daily_sleep_hours]]&lt;=6,"4-6 hrs",stdsurvey[[#This Row],[daily_sleep_hours]]&lt;=8,"6-8 hrs",TRUE,"&gt; 8 hrs")</f>
        <v>6-8 hrs</v>
      </c>
      <c r="Y407" t="s">
        <v>20</v>
      </c>
    </row>
    <row r="408" spans="1:25" x14ac:dyDescent="0.3">
      <c r="A408" t="s">
        <v>442</v>
      </c>
      <c r="B408">
        <v>21</v>
      </c>
      <c r="C408" t="s">
        <v>20</v>
      </c>
      <c r="D408">
        <v>3</v>
      </c>
      <c r="E408" t="s">
        <v>32</v>
      </c>
      <c r="F408">
        <v>5.9</v>
      </c>
      <c r="G408">
        <v>2.1</v>
      </c>
      <c r="H408">
        <v>2</v>
      </c>
      <c r="I408">
        <v>12</v>
      </c>
      <c r="J408">
        <v>13</v>
      </c>
      <c r="K408" s="4" t="str" cm="1">
        <f t="array" ref="K408">_xlfn.IFS(stdsurvey[[#This Row],[phq9_score]]="","Answer Not Provided",stdsurvey[[#This Row],[phq9_score]]&lt;=4,"Minimal",stdsurvey[[#This Row],[phq9_score]]&lt;=9,"Mild",stdsurvey[[#This Row],[phq9_score]]&lt;=14,"Moderate",stdsurvey[[#This Row],[phq9_score]]&lt;=19,"Moderately Severe",stdsurvey[[#This Row],[phq9_score]]&lt;=27,"Severe")</f>
        <v>Moderate</v>
      </c>
      <c r="L408">
        <v>22</v>
      </c>
      <c r="M408" s="4" t="str" cm="1">
        <f t="array" ref="M408">_xlfn.IFS(stdsurvey[[#This Row],[gad7_score]]="","Answer Not Provided",stdsurvey[[#This Row],[gad7_score]]&lt;=4,"Minimal",stdsurvey[[#This Row],[gad7_score]]&lt;=9,"Mild",stdsurvey[[#This Row],[gad7_score]]&lt;=14,"Moderate",stdsurvey[[#This Row],[gad7_score]]&lt;=21,"Severe")</f>
        <v>Moderate</v>
      </c>
      <c r="N408">
        <v>2.9</v>
      </c>
      <c r="O408" s="4" t="str" cm="1">
        <f t="array" ref="O408">_xlfn.IFS(stdsurvey[[#This Row],[perceived_stress_scale]]="","Answer Not Provided",stdsurvey[[#This Row],[perceived_stress_scale]]&lt;=13,"Low Stress",stdsurvey[[#This Row],[perceived_stress_scale]]&lt;=26,"Moderate Stress",stdsurvey[[#This Row],[perceived_stress_scale]]&lt;=40,"High Stress")</f>
        <v>Moderate Stress</v>
      </c>
      <c r="P408">
        <v>74.900000000000006</v>
      </c>
      <c r="Q408">
        <v>3</v>
      </c>
      <c r="R408" s="4" t="str" cm="1">
        <f t="array" ref="R408">_xlfn.IFS(stdsurvey[[#This Row],[class_attendance_percent]]&lt;60,"Less than 0%",stdsurvey[[#This Row],[class_attendance_percent]]&lt;70,"60-70 %",stdsurvey[[#This Row],[class_attendance_percent]]&lt;80, "70-80%",stdsurvey[[#This Row],[class_attendance_percent]]&lt;90,"80-90%",TRUE,"More than 90%")</f>
        <v>70-80%</v>
      </c>
      <c r="S408" t="s">
        <v>22</v>
      </c>
      <c r="T408">
        <v>4</v>
      </c>
      <c r="U408" t="s">
        <v>26</v>
      </c>
      <c r="V408">
        <v>1.83</v>
      </c>
      <c r="W408" s="4" t="str" cm="1">
        <f t="array" ref="W40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08" s="4" t="str" cm="1">
        <f t="array" ref="X408">_xlfn.IFS(stdsurvey[[#This Row],[daily_sleep_hours]]&lt;4,"&lt; 4 hrs",stdsurvey[[#This Row],[daily_sleep_hours]]&lt;=6,"4-6 hrs",stdsurvey[[#This Row],[daily_sleep_hours]]&lt;=8,"6-8 hrs",TRUE,"&gt; 8 hrs")</f>
        <v>4-6 hrs</v>
      </c>
      <c r="Y408" t="s">
        <v>20</v>
      </c>
    </row>
    <row r="409" spans="1:25" x14ac:dyDescent="0.3">
      <c r="A409" t="s">
        <v>443</v>
      </c>
      <c r="B409">
        <v>23</v>
      </c>
      <c r="C409" t="s">
        <v>27</v>
      </c>
      <c r="D409">
        <v>3</v>
      </c>
      <c r="E409" t="s">
        <v>35</v>
      </c>
      <c r="F409">
        <v>4</v>
      </c>
      <c r="G409">
        <v>5</v>
      </c>
      <c r="H409">
        <v>2</v>
      </c>
      <c r="I409">
        <v>7</v>
      </c>
      <c r="J409">
        <v>8</v>
      </c>
      <c r="K409" s="4" t="str" cm="1">
        <f t="array" ref="K409">_xlfn.IFS(stdsurvey[[#This Row],[phq9_score]]="","Answer Not Provided",stdsurvey[[#This Row],[phq9_score]]&lt;=4,"Minimal",stdsurvey[[#This Row],[phq9_score]]&lt;=9,"Mild",stdsurvey[[#This Row],[phq9_score]]&lt;=14,"Moderate",stdsurvey[[#This Row],[phq9_score]]&lt;=19,"Moderately Severe",stdsurvey[[#This Row],[phq9_score]]&lt;=27,"Severe")</f>
        <v>Mild</v>
      </c>
      <c r="L409">
        <v>17</v>
      </c>
      <c r="M409" s="4" t="str" cm="1">
        <f t="array" ref="M409">_xlfn.IFS(stdsurvey[[#This Row],[gad7_score]]="","Answer Not Provided",stdsurvey[[#This Row],[gad7_score]]&lt;=4,"Minimal",stdsurvey[[#This Row],[gad7_score]]&lt;=9,"Mild",stdsurvey[[#This Row],[gad7_score]]&lt;=14,"Moderate",stdsurvey[[#This Row],[gad7_score]]&lt;=21,"Severe")</f>
        <v>Mild</v>
      </c>
      <c r="N409">
        <v>12.8</v>
      </c>
      <c r="O409" s="4" t="str" cm="1">
        <f t="array" ref="O409">_xlfn.IFS(stdsurvey[[#This Row],[perceived_stress_scale]]="","Answer Not Provided",stdsurvey[[#This Row],[perceived_stress_scale]]&lt;=13,"Low Stress",stdsurvey[[#This Row],[perceived_stress_scale]]&lt;=26,"Moderate Stress",stdsurvey[[#This Row],[perceived_stress_scale]]&lt;=40,"High Stress")</f>
        <v>Moderate Stress</v>
      </c>
      <c r="P409">
        <v>81.400000000000006</v>
      </c>
      <c r="Q409">
        <v>3</v>
      </c>
      <c r="R409" s="4" t="str" cm="1">
        <f t="array" ref="R409">_xlfn.IFS(stdsurvey[[#This Row],[class_attendance_percent]]&lt;60,"Less than 0%",stdsurvey[[#This Row],[class_attendance_percent]]&lt;70,"60-70 %",stdsurvey[[#This Row],[class_attendance_percent]]&lt;80, "70-80%",stdsurvey[[#This Row],[class_attendance_percent]]&lt;90,"80-90%",TRUE,"More than 90%")</f>
        <v>80-90%</v>
      </c>
      <c r="S409" t="s">
        <v>22</v>
      </c>
      <c r="T409">
        <v>5</v>
      </c>
      <c r="U409" t="s">
        <v>23</v>
      </c>
      <c r="V409">
        <v>2.82</v>
      </c>
      <c r="W409" s="4" t="str" cm="1">
        <f t="array" ref="W40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09" s="4" t="str" cm="1">
        <f t="array" ref="X409">_xlfn.IFS(stdsurvey[[#This Row],[daily_sleep_hours]]&lt;4,"&lt; 4 hrs",stdsurvey[[#This Row],[daily_sleep_hours]]&lt;=6,"4-6 hrs",stdsurvey[[#This Row],[daily_sleep_hours]]&lt;=8,"6-8 hrs",TRUE,"&gt; 8 hrs")</f>
        <v>4-6 hrs</v>
      </c>
      <c r="Y409" t="s">
        <v>27</v>
      </c>
    </row>
    <row r="410" spans="1:25" x14ac:dyDescent="0.3">
      <c r="A410" t="s">
        <v>444</v>
      </c>
      <c r="B410">
        <v>21</v>
      </c>
      <c r="C410" t="s">
        <v>39</v>
      </c>
      <c r="D410">
        <v>2</v>
      </c>
      <c r="E410" t="s">
        <v>30</v>
      </c>
      <c r="F410">
        <v>3.5</v>
      </c>
      <c r="G410">
        <v>12.5</v>
      </c>
      <c r="H410">
        <v>2</v>
      </c>
      <c r="I410">
        <v>2</v>
      </c>
      <c r="J410">
        <v>6</v>
      </c>
      <c r="K410" s="4" t="str" cm="1">
        <f t="array" ref="K410">_xlfn.IFS(stdsurvey[[#This Row],[phq9_score]]="","Answer Not Provided",stdsurvey[[#This Row],[phq9_score]]&lt;=4,"Minimal",stdsurvey[[#This Row],[phq9_score]]&lt;=9,"Mild",stdsurvey[[#This Row],[phq9_score]]&lt;=14,"Moderate",stdsurvey[[#This Row],[phq9_score]]&lt;=19,"Moderately Severe",stdsurvey[[#This Row],[phq9_score]]&lt;=27,"Severe")</f>
        <v>Minimal</v>
      </c>
      <c r="L410">
        <v>9</v>
      </c>
      <c r="M410" s="4" t="str" cm="1">
        <f t="array" ref="M410">_xlfn.IFS(stdsurvey[[#This Row],[gad7_score]]="","Answer Not Provided",stdsurvey[[#This Row],[gad7_score]]&lt;=4,"Minimal",stdsurvey[[#This Row],[gad7_score]]&lt;=9,"Mild",stdsurvey[[#This Row],[gad7_score]]&lt;=14,"Moderate",stdsurvey[[#This Row],[gad7_score]]&lt;=21,"Severe")</f>
        <v>Mild</v>
      </c>
      <c r="N410">
        <v>19.5</v>
      </c>
      <c r="O410" s="4" t="str" cm="1">
        <f t="array" ref="O410">_xlfn.IFS(stdsurvey[[#This Row],[perceived_stress_scale]]="","Answer Not Provided",stdsurvey[[#This Row],[perceived_stress_scale]]&lt;=13,"Low Stress",stdsurvey[[#This Row],[perceived_stress_scale]]&lt;=26,"Moderate Stress",stdsurvey[[#This Row],[perceived_stress_scale]]&lt;=40,"High Stress")</f>
        <v>Low Stress</v>
      </c>
      <c r="P410">
        <v>88.2</v>
      </c>
      <c r="Q410">
        <v>3</v>
      </c>
      <c r="R410" s="4" t="str" cm="1">
        <f t="array" ref="R410">_xlfn.IFS(stdsurvey[[#This Row],[class_attendance_percent]]&lt;60,"Less than 0%",stdsurvey[[#This Row],[class_attendance_percent]]&lt;70,"60-70 %",stdsurvey[[#This Row],[class_attendance_percent]]&lt;80, "70-80%",stdsurvey[[#This Row],[class_attendance_percent]]&lt;90,"80-90%",TRUE,"More than 90%")</f>
        <v>80-90%</v>
      </c>
      <c r="S410" t="s">
        <v>33</v>
      </c>
      <c r="T410">
        <v>3</v>
      </c>
      <c r="U410" t="s">
        <v>26</v>
      </c>
      <c r="V410">
        <v>2.87</v>
      </c>
      <c r="W410" s="4" t="str" cm="1">
        <f t="array" ref="W41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410" s="4" t="str" cm="1">
        <f t="array" ref="X410">_xlfn.IFS(stdsurvey[[#This Row],[daily_sleep_hours]]&lt;4,"&lt; 4 hrs",stdsurvey[[#This Row],[daily_sleep_hours]]&lt;=6,"4-6 hrs",stdsurvey[[#This Row],[daily_sleep_hours]]&lt;=8,"6-8 hrs",TRUE,"&gt; 8 hrs")</f>
        <v>&lt; 4 hrs</v>
      </c>
      <c r="Y410" t="s">
        <v>27</v>
      </c>
    </row>
    <row r="411" spans="1:25" x14ac:dyDescent="0.3">
      <c r="A411" t="s">
        <v>445</v>
      </c>
      <c r="B411">
        <v>21</v>
      </c>
      <c r="C411" t="s">
        <v>25</v>
      </c>
      <c r="D411">
        <v>2</v>
      </c>
      <c r="E411" t="s">
        <v>49</v>
      </c>
      <c r="F411">
        <v>5.0999999999999996</v>
      </c>
      <c r="G411">
        <v>4.0999999999999996</v>
      </c>
      <c r="H411">
        <v>2</v>
      </c>
      <c r="I411">
        <v>3</v>
      </c>
      <c r="J411">
        <v>3</v>
      </c>
      <c r="K411" s="4" t="str" cm="1">
        <f t="array" ref="K411">_xlfn.IFS(stdsurvey[[#This Row],[phq9_score]]="","Answer Not Provided",stdsurvey[[#This Row],[phq9_score]]&lt;=4,"Minimal",stdsurvey[[#This Row],[phq9_score]]&lt;=9,"Mild",stdsurvey[[#This Row],[phq9_score]]&lt;=14,"Moderate",stdsurvey[[#This Row],[phq9_score]]&lt;=19,"Moderately Severe",stdsurvey[[#This Row],[phq9_score]]&lt;=27,"Severe")</f>
        <v>Minimal</v>
      </c>
      <c r="L411">
        <v>4</v>
      </c>
      <c r="M411" s="4" t="str" cm="1">
        <f t="array" ref="M411">_xlfn.IFS(stdsurvey[[#This Row],[gad7_score]]="","Answer Not Provided",stdsurvey[[#This Row],[gad7_score]]&lt;=4,"Minimal",stdsurvey[[#This Row],[gad7_score]]&lt;=9,"Mild",stdsurvey[[#This Row],[gad7_score]]&lt;=14,"Moderate",stdsurvey[[#This Row],[gad7_score]]&lt;=21,"Severe")</f>
        <v>Minimal</v>
      </c>
      <c r="N411">
        <v>25</v>
      </c>
      <c r="O411" s="4" t="str" cm="1">
        <f t="array" ref="O411">_xlfn.IFS(stdsurvey[[#This Row],[perceived_stress_scale]]="","Answer Not Provided",stdsurvey[[#This Row],[perceived_stress_scale]]&lt;=13,"Low Stress",stdsurvey[[#This Row],[perceived_stress_scale]]&lt;=26,"Moderate Stress",stdsurvey[[#This Row],[perceived_stress_scale]]&lt;=40,"High Stress")</f>
        <v>Low Stress</v>
      </c>
      <c r="P411">
        <v>100</v>
      </c>
      <c r="Q411">
        <v>4</v>
      </c>
      <c r="R411" s="4" t="str" cm="1">
        <f t="array" ref="R411">_xlfn.IFS(stdsurvey[[#This Row],[class_attendance_percent]]&lt;60,"Less than 0%",stdsurvey[[#This Row],[class_attendance_percent]]&lt;70,"60-70 %",stdsurvey[[#This Row],[class_attendance_percent]]&lt;80, "70-80%",stdsurvey[[#This Row],[class_attendance_percent]]&lt;90,"80-90%",TRUE,"More than 90%")</f>
        <v>More than 90%</v>
      </c>
      <c r="S411" t="s">
        <v>22</v>
      </c>
      <c r="T411">
        <v>1</v>
      </c>
      <c r="U411" t="s">
        <v>23</v>
      </c>
      <c r="V411">
        <v>2.86</v>
      </c>
      <c r="W411" s="4" t="str" cm="1">
        <f t="array" ref="W41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11" s="4" t="str" cm="1">
        <f t="array" ref="X411">_xlfn.IFS(stdsurvey[[#This Row],[daily_sleep_hours]]&lt;4,"&lt; 4 hrs",stdsurvey[[#This Row],[daily_sleep_hours]]&lt;=6,"4-6 hrs",stdsurvey[[#This Row],[daily_sleep_hours]]&lt;=8,"6-8 hrs",TRUE,"&gt; 8 hrs")</f>
        <v>4-6 hrs</v>
      </c>
      <c r="Y411" t="s">
        <v>27</v>
      </c>
    </row>
    <row r="412" spans="1:25" x14ac:dyDescent="0.3">
      <c r="A412" t="s">
        <v>446</v>
      </c>
      <c r="B412">
        <v>23</v>
      </c>
      <c r="C412" t="s">
        <v>45</v>
      </c>
      <c r="D412">
        <v>4</v>
      </c>
      <c r="E412" t="s">
        <v>63</v>
      </c>
      <c r="F412">
        <v>4.5999999999999996</v>
      </c>
      <c r="G412">
        <v>4.3</v>
      </c>
      <c r="H412">
        <v>3</v>
      </c>
      <c r="I412">
        <v>16</v>
      </c>
      <c r="J412">
        <v>11</v>
      </c>
      <c r="K412" s="4" t="str" cm="1">
        <f t="array" ref="K412">_xlfn.IFS(stdsurvey[[#This Row],[phq9_score]]="","Answer Not Provided",stdsurvey[[#This Row],[phq9_score]]&lt;=4,"Minimal",stdsurvey[[#This Row],[phq9_score]]&lt;=9,"Mild",stdsurvey[[#This Row],[phq9_score]]&lt;=14,"Moderate",stdsurvey[[#This Row],[phq9_score]]&lt;=19,"Moderately Severe",stdsurvey[[#This Row],[phq9_score]]&lt;=27,"Severe")</f>
        <v>Moderately Severe</v>
      </c>
      <c r="L412">
        <v>20</v>
      </c>
      <c r="M412" s="4" t="str" cm="1">
        <f t="array" ref="M412">_xlfn.IFS(stdsurvey[[#This Row],[gad7_score]]="","Answer Not Provided",stdsurvey[[#This Row],[gad7_score]]&lt;=4,"Minimal",stdsurvey[[#This Row],[gad7_score]]&lt;=9,"Mild",stdsurvey[[#This Row],[gad7_score]]&lt;=14,"Moderate",stdsurvey[[#This Row],[gad7_score]]&lt;=21,"Severe")</f>
        <v>Moderate</v>
      </c>
      <c r="N412">
        <v>13.3</v>
      </c>
      <c r="O412" s="4" t="str" cm="1">
        <f t="array" ref="O412">_xlfn.IFS(stdsurvey[[#This Row],[perceived_stress_scale]]="","Answer Not Provided",stdsurvey[[#This Row],[perceived_stress_scale]]&lt;=13,"Low Stress",stdsurvey[[#This Row],[perceived_stress_scale]]&lt;=26,"Moderate Stress",stdsurvey[[#This Row],[perceived_stress_scale]]&lt;=40,"High Stress")</f>
        <v>Moderate Stress</v>
      </c>
      <c r="P412">
        <v>80.900000000000006</v>
      </c>
      <c r="Q412">
        <v>4</v>
      </c>
      <c r="R412" s="4" t="str" cm="1">
        <f t="array" ref="R412">_xlfn.IFS(stdsurvey[[#This Row],[class_attendance_percent]]&lt;60,"Less than 0%",stdsurvey[[#This Row],[class_attendance_percent]]&lt;70,"60-70 %",stdsurvey[[#This Row],[class_attendance_percent]]&lt;80, "70-80%",stdsurvey[[#This Row],[class_attendance_percent]]&lt;90,"80-90%",TRUE,"More than 90%")</f>
        <v>80-90%</v>
      </c>
      <c r="S412" t="s">
        <v>22</v>
      </c>
      <c r="T412">
        <v>3</v>
      </c>
      <c r="U412" t="s">
        <v>23</v>
      </c>
      <c r="V412">
        <v>2.68</v>
      </c>
      <c r="W412" s="4" t="str" cm="1">
        <f t="array" ref="W41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12" s="4" t="str" cm="1">
        <f t="array" ref="X412">_xlfn.IFS(stdsurvey[[#This Row],[daily_sleep_hours]]&lt;4,"&lt; 4 hrs",stdsurvey[[#This Row],[daily_sleep_hours]]&lt;=6,"4-6 hrs",stdsurvey[[#This Row],[daily_sleep_hours]]&lt;=8,"6-8 hrs",TRUE,"&gt; 8 hrs")</f>
        <v>4-6 hrs</v>
      </c>
      <c r="Y412" t="s">
        <v>20</v>
      </c>
    </row>
    <row r="413" spans="1:25" x14ac:dyDescent="0.3">
      <c r="A413" t="s">
        <v>447</v>
      </c>
      <c r="B413">
        <v>17</v>
      </c>
      <c r="C413" t="s">
        <v>20</v>
      </c>
      <c r="D413">
        <v>1</v>
      </c>
      <c r="E413" t="s">
        <v>30</v>
      </c>
      <c r="F413">
        <v>6.5</v>
      </c>
      <c r="G413">
        <v>1.2</v>
      </c>
      <c r="H413">
        <v>0</v>
      </c>
      <c r="I413">
        <v>16</v>
      </c>
      <c r="J413">
        <v>12</v>
      </c>
      <c r="K413" s="4" t="str" cm="1">
        <f t="array" ref="K413">_xlfn.IFS(stdsurvey[[#This Row],[phq9_score]]="","Answer Not Provided",stdsurvey[[#This Row],[phq9_score]]&lt;=4,"Minimal",stdsurvey[[#This Row],[phq9_score]]&lt;=9,"Mild",stdsurvey[[#This Row],[phq9_score]]&lt;=14,"Moderate",stdsurvey[[#This Row],[phq9_score]]&lt;=19,"Moderately Severe",stdsurvey[[#This Row],[phq9_score]]&lt;=27,"Severe")</f>
        <v>Moderately Severe</v>
      </c>
      <c r="L413">
        <v>22</v>
      </c>
      <c r="M413" s="4" t="str" cm="1">
        <f t="array" ref="M413">_xlfn.IFS(stdsurvey[[#This Row],[gad7_score]]="","Answer Not Provided",stdsurvey[[#This Row],[gad7_score]]&lt;=4,"Minimal",stdsurvey[[#This Row],[gad7_score]]&lt;=9,"Mild",stdsurvey[[#This Row],[gad7_score]]&lt;=14,"Moderate",stdsurvey[[#This Row],[gad7_score]]&lt;=21,"Severe")</f>
        <v>Moderate</v>
      </c>
      <c r="N413">
        <v>30.8</v>
      </c>
      <c r="O413" s="4" t="str" cm="1">
        <f t="array" ref="O413">_xlfn.IFS(stdsurvey[[#This Row],[perceived_stress_scale]]="","Answer Not Provided",stdsurvey[[#This Row],[perceived_stress_scale]]&lt;=13,"Low Stress",stdsurvey[[#This Row],[perceived_stress_scale]]&lt;=26,"Moderate Stress",stdsurvey[[#This Row],[perceived_stress_scale]]&lt;=40,"High Stress")</f>
        <v>Moderate Stress</v>
      </c>
      <c r="P413">
        <v>100</v>
      </c>
      <c r="Q413">
        <v>5</v>
      </c>
      <c r="R413" s="4" t="str" cm="1">
        <f t="array" ref="R413">_xlfn.IFS(stdsurvey[[#This Row],[class_attendance_percent]]&lt;60,"Less than 0%",stdsurvey[[#This Row],[class_attendance_percent]]&lt;70,"60-70 %",stdsurvey[[#This Row],[class_attendance_percent]]&lt;80, "70-80%",stdsurvey[[#This Row],[class_attendance_percent]]&lt;90,"80-90%",TRUE,"More than 90%")</f>
        <v>More than 90%</v>
      </c>
      <c r="S413" t="s">
        <v>22</v>
      </c>
      <c r="T413">
        <v>4</v>
      </c>
      <c r="U413" t="s">
        <v>26</v>
      </c>
      <c r="V413">
        <v>3.19</v>
      </c>
      <c r="W413" s="4" t="str" cm="1">
        <f t="array" ref="W41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13" s="4" t="str" cm="1">
        <f t="array" ref="X413">_xlfn.IFS(stdsurvey[[#This Row],[daily_sleep_hours]]&lt;4,"&lt; 4 hrs",stdsurvey[[#This Row],[daily_sleep_hours]]&lt;=6,"4-6 hrs",stdsurvey[[#This Row],[daily_sleep_hours]]&lt;=8,"6-8 hrs",TRUE,"&gt; 8 hrs")</f>
        <v>6-8 hrs</v>
      </c>
      <c r="Y413" t="s">
        <v>20</v>
      </c>
    </row>
    <row r="414" spans="1:25" x14ac:dyDescent="0.3">
      <c r="A414" t="s">
        <v>448</v>
      </c>
      <c r="B414">
        <v>19</v>
      </c>
      <c r="C414" t="s">
        <v>20</v>
      </c>
      <c r="D414">
        <v>5</v>
      </c>
      <c r="E414" t="s">
        <v>30</v>
      </c>
      <c r="F414">
        <v>5.2</v>
      </c>
      <c r="G414">
        <v>1.9</v>
      </c>
      <c r="H414">
        <v>2</v>
      </c>
      <c r="I414">
        <v>9</v>
      </c>
      <c r="J414">
        <v>8</v>
      </c>
      <c r="K414" s="4" t="str" cm="1">
        <f t="array" ref="K414">_xlfn.IFS(stdsurvey[[#This Row],[phq9_score]]="","Answer Not Provided",stdsurvey[[#This Row],[phq9_score]]&lt;=4,"Minimal",stdsurvey[[#This Row],[phq9_score]]&lt;=9,"Mild",stdsurvey[[#This Row],[phq9_score]]&lt;=14,"Moderate",stdsurvey[[#This Row],[phq9_score]]&lt;=19,"Moderately Severe",stdsurvey[[#This Row],[phq9_score]]&lt;=27,"Severe")</f>
        <v>Mild</v>
      </c>
      <c r="L414">
        <v>11</v>
      </c>
      <c r="M414" s="4" t="str" cm="1">
        <f t="array" ref="M414">_xlfn.IFS(stdsurvey[[#This Row],[gad7_score]]="","Answer Not Provided",stdsurvey[[#This Row],[gad7_score]]&lt;=4,"Minimal",stdsurvey[[#This Row],[gad7_score]]&lt;=9,"Mild",stdsurvey[[#This Row],[gad7_score]]&lt;=14,"Moderate",stdsurvey[[#This Row],[gad7_score]]&lt;=21,"Severe")</f>
        <v>Mild</v>
      </c>
      <c r="N414">
        <v>20.8</v>
      </c>
      <c r="O414" s="4" t="str" cm="1">
        <f t="array" ref="O414">_xlfn.IFS(stdsurvey[[#This Row],[perceived_stress_scale]]="","Answer Not Provided",stdsurvey[[#This Row],[perceived_stress_scale]]&lt;=13,"Low Stress",stdsurvey[[#This Row],[perceived_stress_scale]]&lt;=26,"Moderate Stress",stdsurvey[[#This Row],[perceived_stress_scale]]&lt;=40,"High Stress")</f>
        <v>Low Stress</v>
      </c>
      <c r="P414">
        <v>81.900000000000006</v>
      </c>
      <c r="Q414">
        <v>2</v>
      </c>
      <c r="R414" s="4" t="str" cm="1">
        <f t="array" ref="R414">_xlfn.IFS(stdsurvey[[#This Row],[class_attendance_percent]]&lt;60,"Less than 0%",stdsurvey[[#This Row],[class_attendance_percent]]&lt;70,"60-70 %",stdsurvey[[#This Row],[class_attendance_percent]]&lt;80, "70-80%",stdsurvey[[#This Row],[class_attendance_percent]]&lt;90,"80-90%",TRUE,"More than 90%")</f>
        <v>80-90%</v>
      </c>
      <c r="S414" t="s">
        <v>22</v>
      </c>
      <c r="T414">
        <v>4</v>
      </c>
      <c r="U414" t="s">
        <v>26</v>
      </c>
      <c r="V414">
        <v>2.78</v>
      </c>
      <c r="W414" s="4" t="str" cm="1">
        <f t="array" ref="W41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14" s="4" t="str" cm="1">
        <f t="array" ref="X414">_xlfn.IFS(stdsurvey[[#This Row],[daily_sleep_hours]]&lt;4,"&lt; 4 hrs",stdsurvey[[#This Row],[daily_sleep_hours]]&lt;=6,"4-6 hrs",stdsurvey[[#This Row],[daily_sleep_hours]]&lt;=8,"6-8 hrs",TRUE,"&gt; 8 hrs")</f>
        <v>4-6 hrs</v>
      </c>
      <c r="Y414" t="s">
        <v>20</v>
      </c>
    </row>
    <row r="415" spans="1:25" x14ac:dyDescent="0.3">
      <c r="A415" t="s">
        <v>449</v>
      </c>
      <c r="B415">
        <v>18</v>
      </c>
      <c r="C415" t="s">
        <v>27</v>
      </c>
      <c r="D415">
        <v>1</v>
      </c>
      <c r="E415" t="s">
        <v>49</v>
      </c>
      <c r="F415">
        <v>5.8</v>
      </c>
      <c r="G415">
        <v>2.4</v>
      </c>
      <c r="H415">
        <v>4</v>
      </c>
      <c r="I415">
        <v>4</v>
      </c>
      <c r="J415">
        <v>3</v>
      </c>
      <c r="K415" s="4" t="str" cm="1">
        <f t="array" ref="K415">_xlfn.IFS(stdsurvey[[#This Row],[phq9_score]]="","Answer Not Provided",stdsurvey[[#This Row],[phq9_score]]&lt;=4,"Minimal",stdsurvey[[#This Row],[phq9_score]]&lt;=9,"Mild",stdsurvey[[#This Row],[phq9_score]]&lt;=14,"Moderate",stdsurvey[[#This Row],[phq9_score]]&lt;=19,"Moderately Severe",stdsurvey[[#This Row],[phq9_score]]&lt;=27,"Severe")</f>
        <v>Minimal</v>
      </c>
      <c r="L415">
        <v>8</v>
      </c>
      <c r="M415" s="4" t="str" cm="1">
        <f t="array" ref="M415">_xlfn.IFS(stdsurvey[[#This Row],[gad7_score]]="","Answer Not Provided",stdsurvey[[#This Row],[gad7_score]]&lt;=4,"Minimal",stdsurvey[[#This Row],[gad7_score]]&lt;=9,"Mild",stdsurvey[[#This Row],[gad7_score]]&lt;=14,"Moderate",stdsurvey[[#This Row],[gad7_score]]&lt;=21,"Severe")</f>
        <v>Minimal</v>
      </c>
      <c r="N415">
        <v>14.6</v>
      </c>
      <c r="O415" s="4" t="str" cm="1">
        <f t="array" ref="O415">_xlfn.IFS(stdsurvey[[#This Row],[perceived_stress_scale]]="","Answer Not Provided",stdsurvey[[#This Row],[perceived_stress_scale]]&lt;=13,"Low Stress",stdsurvey[[#This Row],[perceived_stress_scale]]&lt;=26,"Moderate Stress",stdsurvey[[#This Row],[perceived_stress_scale]]&lt;=40,"High Stress")</f>
        <v>Low Stress</v>
      </c>
      <c r="P415">
        <v>58.5</v>
      </c>
      <c r="Q415">
        <v>4</v>
      </c>
      <c r="R415" s="4" t="str" cm="1">
        <f t="array" ref="R415">_xlfn.IFS(stdsurvey[[#This Row],[class_attendance_percent]]&lt;60,"Less than 0%",stdsurvey[[#This Row],[class_attendance_percent]]&lt;70,"60-70 %",stdsurvey[[#This Row],[class_attendance_percent]]&lt;80, "70-80%",stdsurvey[[#This Row],[class_attendance_percent]]&lt;90,"80-90%",TRUE,"More than 90%")</f>
        <v>Less than 0%</v>
      </c>
      <c r="S415" t="s">
        <v>33</v>
      </c>
      <c r="T415">
        <v>2</v>
      </c>
      <c r="U415" t="s">
        <v>26</v>
      </c>
      <c r="V415">
        <v>2.1</v>
      </c>
      <c r="W415" s="4" t="str" cm="1">
        <f t="array" ref="W41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15" s="4" t="str" cm="1">
        <f t="array" ref="X415">_xlfn.IFS(stdsurvey[[#This Row],[daily_sleep_hours]]&lt;4,"&lt; 4 hrs",stdsurvey[[#This Row],[daily_sleep_hours]]&lt;=6,"4-6 hrs",stdsurvey[[#This Row],[daily_sleep_hours]]&lt;=8,"6-8 hrs",TRUE,"&gt; 8 hrs")</f>
        <v>4-6 hrs</v>
      </c>
      <c r="Y415" t="s">
        <v>27</v>
      </c>
    </row>
    <row r="416" spans="1:25" x14ac:dyDescent="0.3">
      <c r="A416" t="s">
        <v>450</v>
      </c>
      <c r="B416">
        <v>17</v>
      </c>
      <c r="C416" t="s">
        <v>27</v>
      </c>
      <c r="D416">
        <v>1</v>
      </c>
      <c r="E416" t="s">
        <v>21</v>
      </c>
      <c r="F416">
        <v>4.7</v>
      </c>
      <c r="G416">
        <v>6.3</v>
      </c>
      <c r="H416">
        <v>1</v>
      </c>
      <c r="I416">
        <v>0</v>
      </c>
      <c r="J416">
        <v>5</v>
      </c>
      <c r="K416" s="4" t="str" cm="1">
        <f t="array" ref="K416">_xlfn.IFS(stdsurvey[[#This Row],[phq9_score]]="","Answer Not Provided",stdsurvey[[#This Row],[phq9_score]]&lt;=4,"Minimal",stdsurvey[[#This Row],[phq9_score]]&lt;=9,"Mild",stdsurvey[[#This Row],[phq9_score]]&lt;=14,"Moderate",stdsurvey[[#This Row],[phq9_score]]&lt;=19,"Moderately Severe",stdsurvey[[#This Row],[phq9_score]]&lt;=27,"Severe")</f>
        <v>Minimal</v>
      </c>
      <c r="L416">
        <v>3</v>
      </c>
      <c r="M416" s="4" t="str" cm="1">
        <f t="array" ref="M416">_xlfn.IFS(stdsurvey[[#This Row],[gad7_score]]="","Answer Not Provided",stdsurvey[[#This Row],[gad7_score]]&lt;=4,"Minimal",stdsurvey[[#This Row],[gad7_score]]&lt;=9,"Mild",stdsurvey[[#This Row],[gad7_score]]&lt;=14,"Moderate",stdsurvey[[#This Row],[gad7_score]]&lt;=21,"Severe")</f>
        <v>Mild</v>
      </c>
      <c r="N416">
        <v>19.3</v>
      </c>
      <c r="O416" s="4" t="str" cm="1">
        <f t="array" ref="O416">_xlfn.IFS(stdsurvey[[#This Row],[perceived_stress_scale]]="","Answer Not Provided",stdsurvey[[#This Row],[perceived_stress_scale]]&lt;=13,"Low Stress",stdsurvey[[#This Row],[perceived_stress_scale]]&lt;=26,"Moderate Stress",stdsurvey[[#This Row],[perceived_stress_scale]]&lt;=40,"High Stress")</f>
        <v>Low Stress</v>
      </c>
      <c r="P416">
        <v>77.400000000000006</v>
      </c>
      <c r="Q416">
        <v>4</v>
      </c>
      <c r="R416" s="4" t="str" cm="1">
        <f t="array" ref="R416">_xlfn.IFS(stdsurvey[[#This Row],[class_attendance_percent]]&lt;60,"Less than 0%",stdsurvey[[#This Row],[class_attendance_percent]]&lt;70,"60-70 %",stdsurvey[[#This Row],[class_attendance_percent]]&lt;80, "70-80%",stdsurvey[[#This Row],[class_attendance_percent]]&lt;90,"80-90%",TRUE,"More than 90%")</f>
        <v>70-80%</v>
      </c>
      <c r="S416" t="s">
        <v>22</v>
      </c>
      <c r="T416">
        <v>2</v>
      </c>
      <c r="U416" t="s">
        <v>26</v>
      </c>
      <c r="V416">
        <v>3.14</v>
      </c>
      <c r="W416" s="4" t="str" cm="1">
        <f t="array" ref="W41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16" s="4" t="str" cm="1">
        <f t="array" ref="X416">_xlfn.IFS(stdsurvey[[#This Row],[daily_sleep_hours]]&lt;4,"&lt; 4 hrs",stdsurvey[[#This Row],[daily_sleep_hours]]&lt;=6,"4-6 hrs",stdsurvey[[#This Row],[daily_sleep_hours]]&lt;=8,"6-8 hrs",TRUE,"&gt; 8 hrs")</f>
        <v>4-6 hrs</v>
      </c>
      <c r="Y416" t="s">
        <v>27</v>
      </c>
    </row>
    <row r="417" spans="1:25" x14ac:dyDescent="0.3">
      <c r="A417" t="s">
        <v>451</v>
      </c>
      <c r="B417">
        <v>20</v>
      </c>
      <c r="C417" t="s">
        <v>27</v>
      </c>
      <c r="D417">
        <v>3</v>
      </c>
      <c r="E417" t="s">
        <v>30</v>
      </c>
      <c r="F417">
        <v>5.5</v>
      </c>
      <c r="G417">
        <v>2.2000000000000002</v>
      </c>
      <c r="H417">
        <v>1</v>
      </c>
      <c r="I417">
        <v>2</v>
      </c>
      <c r="J417">
        <v>5</v>
      </c>
      <c r="K417" s="4" t="str" cm="1">
        <f t="array" ref="K417">_xlfn.IFS(stdsurvey[[#This Row],[phq9_score]]="","Answer Not Provided",stdsurvey[[#This Row],[phq9_score]]&lt;=4,"Minimal",stdsurvey[[#This Row],[phq9_score]]&lt;=9,"Mild",stdsurvey[[#This Row],[phq9_score]]&lt;=14,"Moderate",stdsurvey[[#This Row],[phq9_score]]&lt;=19,"Moderately Severe",stdsurvey[[#This Row],[phq9_score]]&lt;=27,"Severe")</f>
        <v>Minimal</v>
      </c>
      <c r="L417">
        <v>10</v>
      </c>
      <c r="M417" s="4" t="str" cm="1">
        <f t="array" ref="M417">_xlfn.IFS(stdsurvey[[#This Row],[gad7_score]]="","Answer Not Provided",stdsurvey[[#This Row],[gad7_score]]&lt;=4,"Minimal",stdsurvey[[#This Row],[gad7_score]]&lt;=9,"Mild",stdsurvey[[#This Row],[gad7_score]]&lt;=14,"Moderate",stdsurvey[[#This Row],[gad7_score]]&lt;=21,"Severe")</f>
        <v>Mild</v>
      </c>
      <c r="N417">
        <v>17.100000000000001</v>
      </c>
      <c r="O417" s="4" t="str" cm="1">
        <f t="array" ref="O417">_xlfn.IFS(stdsurvey[[#This Row],[perceived_stress_scale]]="","Answer Not Provided",stdsurvey[[#This Row],[perceived_stress_scale]]&lt;=13,"Low Stress",stdsurvey[[#This Row],[perceived_stress_scale]]&lt;=26,"Moderate Stress",stdsurvey[[#This Row],[perceived_stress_scale]]&lt;=40,"High Stress")</f>
        <v>Low Stress</v>
      </c>
      <c r="P417">
        <v>65.8</v>
      </c>
      <c r="Q417">
        <v>3</v>
      </c>
      <c r="R417" s="4" t="str" cm="1">
        <f t="array" ref="R417">_xlfn.IFS(stdsurvey[[#This Row],[class_attendance_percent]]&lt;60,"Less than 0%",stdsurvey[[#This Row],[class_attendance_percent]]&lt;70,"60-70 %",stdsurvey[[#This Row],[class_attendance_percent]]&lt;80, "70-80%",stdsurvey[[#This Row],[class_attendance_percent]]&lt;90,"80-90%",TRUE,"More than 90%")</f>
        <v>60-70 %</v>
      </c>
      <c r="S417" t="s">
        <v>33</v>
      </c>
      <c r="T417">
        <v>5</v>
      </c>
      <c r="U417" t="s">
        <v>23</v>
      </c>
      <c r="V417">
        <v>2.4300000000000002</v>
      </c>
      <c r="W417" s="4" t="str" cm="1">
        <f t="array" ref="W41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17" s="4" t="str" cm="1">
        <f t="array" ref="X417">_xlfn.IFS(stdsurvey[[#This Row],[daily_sleep_hours]]&lt;4,"&lt; 4 hrs",stdsurvey[[#This Row],[daily_sleep_hours]]&lt;=6,"4-6 hrs",stdsurvey[[#This Row],[daily_sleep_hours]]&lt;=8,"6-8 hrs",TRUE,"&gt; 8 hrs")</f>
        <v>4-6 hrs</v>
      </c>
      <c r="Y417" t="s">
        <v>27</v>
      </c>
    </row>
    <row r="418" spans="1:25" x14ac:dyDescent="0.3">
      <c r="A418" t="s">
        <v>452</v>
      </c>
      <c r="B418">
        <v>23</v>
      </c>
      <c r="C418" t="s">
        <v>102</v>
      </c>
      <c r="D418">
        <v>3</v>
      </c>
      <c r="E418" t="s">
        <v>21</v>
      </c>
      <c r="F418">
        <v>8</v>
      </c>
      <c r="G418">
        <v>1</v>
      </c>
      <c r="H418">
        <v>1</v>
      </c>
      <c r="I418">
        <v>0</v>
      </c>
      <c r="J418">
        <v>1</v>
      </c>
      <c r="K418" s="4" t="str" cm="1">
        <f t="array" ref="K418">_xlfn.IFS(stdsurvey[[#This Row],[phq9_score]]="","Answer Not Provided",stdsurvey[[#This Row],[phq9_score]]&lt;=4,"Minimal",stdsurvey[[#This Row],[phq9_score]]&lt;=9,"Mild",stdsurvey[[#This Row],[phq9_score]]&lt;=14,"Moderate",stdsurvey[[#This Row],[phq9_score]]&lt;=19,"Moderately Severe",stdsurvey[[#This Row],[phq9_score]]&lt;=27,"Severe")</f>
        <v>Minimal</v>
      </c>
      <c r="L418">
        <v>6</v>
      </c>
      <c r="M418" s="4" t="str" cm="1">
        <f t="array" ref="M418">_xlfn.IFS(stdsurvey[[#This Row],[gad7_score]]="","Answer Not Provided",stdsurvey[[#This Row],[gad7_score]]&lt;=4,"Minimal",stdsurvey[[#This Row],[gad7_score]]&lt;=9,"Mild",stdsurvey[[#This Row],[gad7_score]]&lt;=14,"Moderate",stdsurvey[[#This Row],[gad7_score]]&lt;=21,"Severe")</f>
        <v>Minimal</v>
      </c>
      <c r="N418">
        <v>27.2</v>
      </c>
      <c r="O418" s="4" t="str" cm="1">
        <f t="array" ref="O418">_xlfn.IFS(stdsurvey[[#This Row],[perceived_stress_scale]]="","Answer Not Provided",stdsurvey[[#This Row],[perceived_stress_scale]]&lt;=13,"Low Stress",stdsurvey[[#This Row],[perceived_stress_scale]]&lt;=26,"Moderate Stress",stdsurvey[[#This Row],[perceived_stress_scale]]&lt;=40,"High Stress")</f>
        <v>Low Stress</v>
      </c>
      <c r="P418">
        <v>90.4</v>
      </c>
      <c r="Q418">
        <v>1</v>
      </c>
      <c r="R418" s="4" t="str" cm="1">
        <f t="array" ref="R418">_xlfn.IFS(stdsurvey[[#This Row],[class_attendance_percent]]&lt;60,"Less than 0%",stdsurvey[[#This Row],[class_attendance_percent]]&lt;70,"60-70 %",stdsurvey[[#This Row],[class_attendance_percent]]&lt;80, "70-80%",stdsurvey[[#This Row],[class_attendance_percent]]&lt;90,"80-90%",TRUE,"More than 90%")</f>
        <v>More than 90%</v>
      </c>
      <c r="S418" t="s">
        <v>22</v>
      </c>
      <c r="T418">
        <v>4</v>
      </c>
      <c r="U418" t="s">
        <v>26</v>
      </c>
      <c r="V418">
        <v>3.45</v>
      </c>
      <c r="W418" s="4" t="str" cm="1">
        <f t="array" ref="W41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18" s="4" t="str" cm="1">
        <f t="array" ref="X418">_xlfn.IFS(stdsurvey[[#This Row],[daily_sleep_hours]]&lt;4,"&lt; 4 hrs",stdsurvey[[#This Row],[daily_sleep_hours]]&lt;=6,"4-6 hrs",stdsurvey[[#This Row],[daily_sleep_hours]]&lt;=8,"6-8 hrs",TRUE,"&gt; 8 hrs")</f>
        <v>6-8 hrs</v>
      </c>
      <c r="Y418" t="s">
        <v>20</v>
      </c>
    </row>
    <row r="419" spans="1:25" x14ac:dyDescent="0.3">
      <c r="A419" t="s">
        <v>453</v>
      </c>
      <c r="B419">
        <v>21</v>
      </c>
      <c r="C419" t="s">
        <v>45</v>
      </c>
      <c r="D419">
        <v>3</v>
      </c>
      <c r="E419" t="s">
        <v>49</v>
      </c>
      <c r="F419">
        <v>6.6</v>
      </c>
      <c r="G419">
        <v>5.6</v>
      </c>
      <c r="H419">
        <v>0</v>
      </c>
      <c r="I419">
        <v>1</v>
      </c>
      <c r="J419">
        <v>4</v>
      </c>
      <c r="K419" s="4" t="str" cm="1">
        <f t="array" ref="K419">_xlfn.IFS(stdsurvey[[#This Row],[phq9_score]]="","Answer Not Provided",stdsurvey[[#This Row],[phq9_score]]&lt;=4,"Minimal",stdsurvey[[#This Row],[phq9_score]]&lt;=9,"Mild",stdsurvey[[#This Row],[phq9_score]]&lt;=14,"Moderate",stdsurvey[[#This Row],[phq9_score]]&lt;=19,"Moderately Severe",stdsurvey[[#This Row],[phq9_score]]&lt;=27,"Severe")</f>
        <v>Minimal</v>
      </c>
      <c r="L419">
        <v>2</v>
      </c>
      <c r="M419" s="4" t="str" cm="1">
        <f t="array" ref="M419">_xlfn.IFS(stdsurvey[[#This Row],[gad7_score]]="","Answer Not Provided",stdsurvey[[#This Row],[gad7_score]]&lt;=4,"Minimal",stdsurvey[[#This Row],[gad7_score]]&lt;=9,"Mild",stdsurvey[[#This Row],[gad7_score]]&lt;=14,"Moderate",stdsurvey[[#This Row],[gad7_score]]&lt;=21,"Severe")</f>
        <v>Minimal</v>
      </c>
      <c r="N419">
        <v>6.2</v>
      </c>
      <c r="O419" s="4" t="str" cm="1">
        <f t="array" ref="O419">_xlfn.IFS(stdsurvey[[#This Row],[perceived_stress_scale]]="","Answer Not Provided",stdsurvey[[#This Row],[perceived_stress_scale]]&lt;=13,"Low Stress",stdsurvey[[#This Row],[perceived_stress_scale]]&lt;=26,"Moderate Stress",stdsurvey[[#This Row],[perceived_stress_scale]]&lt;=40,"High Stress")</f>
        <v>Low Stress</v>
      </c>
      <c r="P419">
        <v>65.5</v>
      </c>
      <c r="Q419">
        <v>4</v>
      </c>
      <c r="R419" s="4" t="str" cm="1">
        <f t="array" ref="R419">_xlfn.IFS(stdsurvey[[#This Row],[class_attendance_percent]]&lt;60,"Less than 0%",stdsurvey[[#This Row],[class_attendance_percent]]&lt;70,"60-70 %",stdsurvey[[#This Row],[class_attendance_percent]]&lt;80, "70-80%",stdsurvey[[#This Row],[class_attendance_percent]]&lt;90,"80-90%",TRUE,"More than 90%")</f>
        <v>60-70 %</v>
      </c>
      <c r="S419" t="s">
        <v>22</v>
      </c>
      <c r="T419">
        <v>1</v>
      </c>
      <c r="U419" t="s">
        <v>26</v>
      </c>
      <c r="V419">
        <v>2.61</v>
      </c>
      <c r="W419" s="4" t="str" cm="1">
        <f t="array" ref="W41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19" s="4" t="str" cm="1">
        <f t="array" ref="X419">_xlfn.IFS(stdsurvey[[#This Row],[daily_sleep_hours]]&lt;4,"&lt; 4 hrs",stdsurvey[[#This Row],[daily_sleep_hours]]&lt;=6,"4-6 hrs",stdsurvey[[#This Row],[daily_sleep_hours]]&lt;=8,"6-8 hrs",TRUE,"&gt; 8 hrs")</f>
        <v>6-8 hrs</v>
      </c>
      <c r="Y419" t="s">
        <v>20</v>
      </c>
    </row>
    <row r="420" spans="1:25" x14ac:dyDescent="0.3">
      <c r="A420" t="s">
        <v>454</v>
      </c>
      <c r="B420">
        <v>22</v>
      </c>
      <c r="C420" t="s">
        <v>39</v>
      </c>
      <c r="D420">
        <v>2</v>
      </c>
      <c r="E420" t="s">
        <v>30</v>
      </c>
      <c r="F420">
        <v>6.3</v>
      </c>
      <c r="G420">
        <v>2.6</v>
      </c>
      <c r="H420">
        <v>3</v>
      </c>
      <c r="I420">
        <v>11</v>
      </c>
      <c r="J420">
        <v>10</v>
      </c>
      <c r="K420" s="4" t="str" cm="1">
        <f t="array" ref="K420">_xlfn.IFS(stdsurvey[[#This Row],[phq9_score]]="","Answer Not Provided",stdsurvey[[#This Row],[phq9_score]]&lt;=4,"Minimal",stdsurvey[[#This Row],[phq9_score]]&lt;=9,"Mild",stdsurvey[[#This Row],[phq9_score]]&lt;=14,"Moderate",stdsurvey[[#This Row],[phq9_score]]&lt;=19,"Moderately Severe",stdsurvey[[#This Row],[phq9_score]]&lt;=27,"Severe")</f>
        <v>Moderate</v>
      </c>
      <c r="L420">
        <v>18</v>
      </c>
      <c r="M420" s="4" t="str" cm="1">
        <f t="array" ref="M420">_xlfn.IFS(stdsurvey[[#This Row],[gad7_score]]="","Answer Not Provided",stdsurvey[[#This Row],[gad7_score]]&lt;=4,"Minimal",stdsurvey[[#This Row],[gad7_score]]&lt;=9,"Mild",stdsurvey[[#This Row],[gad7_score]]&lt;=14,"Moderate",stdsurvey[[#This Row],[gad7_score]]&lt;=21,"Severe")</f>
        <v>Moderate</v>
      </c>
      <c r="N420">
        <v>78</v>
      </c>
      <c r="O420" s="4" t="str" cm="1">
        <f t="array" ref="O420">_xlfn.IFS(stdsurvey[[#This Row],[perceived_stress_scale]]="","Answer Not Provided",stdsurvey[[#This Row],[perceived_stress_scale]]&lt;=13,"Low Stress",stdsurvey[[#This Row],[perceived_stress_scale]]&lt;=26,"Moderate Stress",stdsurvey[[#This Row],[perceived_stress_scale]]&lt;=40,"High Stress")</f>
        <v>Moderate Stress</v>
      </c>
      <c r="P420">
        <v>84.1</v>
      </c>
      <c r="Q420">
        <v>2</v>
      </c>
      <c r="R420" s="4" t="str" cm="1">
        <f t="array" ref="R420">_xlfn.IFS(stdsurvey[[#This Row],[class_attendance_percent]]&lt;60,"Less than 0%",stdsurvey[[#This Row],[class_attendance_percent]]&lt;70,"60-70 %",stdsurvey[[#This Row],[class_attendance_percent]]&lt;80, "70-80%",stdsurvey[[#This Row],[class_attendance_percent]]&lt;90,"80-90%",TRUE,"More than 90%")</f>
        <v>80-90%</v>
      </c>
      <c r="S420" t="s">
        <v>33</v>
      </c>
      <c r="T420">
        <v>4</v>
      </c>
      <c r="U420" t="s">
        <v>51</v>
      </c>
      <c r="V420">
        <v>3.29</v>
      </c>
      <c r="W420" s="4" t="str" cm="1">
        <f t="array" ref="W42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20" s="4" t="str" cm="1">
        <f t="array" ref="X420">_xlfn.IFS(stdsurvey[[#This Row],[daily_sleep_hours]]&lt;4,"&lt; 4 hrs",stdsurvey[[#This Row],[daily_sleep_hours]]&lt;=6,"4-6 hrs",stdsurvey[[#This Row],[daily_sleep_hours]]&lt;=8,"6-8 hrs",TRUE,"&gt; 8 hrs")</f>
        <v>6-8 hrs</v>
      </c>
      <c r="Y420" t="s">
        <v>27</v>
      </c>
    </row>
    <row r="421" spans="1:25" x14ac:dyDescent="0.3">
      <c r="A421" t="s">
        <v>455</v>
      </c>
      <c r="B421">
        <v>24</v>
      </c>
      <c r="C421" t="s">
        <v>20</v>
      </c>
      <c r="D421">
        <v>5</v>
      </c>
      <c r="E421" t="s">
        <v>21</v>
      </c>
      <c r="F421">
        <v>6.3</v>
      </c>
      <c r="G421">
        <v>1.2</v>
      </c>
      <c r="H421">
        <v>0</v>
      </c>
      <c r="I421">
        <v>6</v>
      </c>
      <c r="J421">
        <v>7</v>
      </c>
      <c r="K421" s="4" t="str" cm="1">
        <f t="array" ref="K421">_xlfn.IFS(stdsurvey[[#This Row],[phq9_score]]="","Answer Not Provided",stdsurvey[[#This Row],[phq9_score]]&lt;=4,"Minimal",stdsurvey[[#This Row],[phq9_score]]&lt;=9,"Mild",stdsurvey[[#This Row],[phq9_score]]&lt;=14,"Moderate",stdsurvey[[#This Row],[phq9_score]]&lt;=19,"Moderately Severe",stdsurvey[[#This Row],[phq9_score]]&lt;=27,"Severe")</f>
        <v>Mild</v>
      </c>
      <c r="L421">
        <v>12</v>
      </c>
      <c r="M421" s="4" t="str" cm="1">
        <f t="array" ref="M421">_xlfn.IFS(stdsurvey[[#This Row],[gad7_score]]="","Answer Not Provided",stdsurvey[[#This Row],[gad7_score]]&lt;=4,"Minimal",stdsurvey[[#This Row],[gad7_score]]&lt;=9,"Mild",stdsurvey[[#This Row],[gad7_score]]&lt;=14,"Moderate",stdsurvey[[#This Row],[gad7_score]]&lt;=21,"Severe")</f>
        <v>Mild</v>
      </c>
      <c r="N421">
        <v>24.7</v>
      </c>
      <c r="O421" s="4" t="str" cm="1">
        <f t="array" ref="O421">_xlfn.IFS(stdsurvey[[#This Row],[perceived_stress_scale]]="","Answer Not Provided",stdsurvey[[#This Row],[perceived_stress_scale]]&lt;=13,"Low Stress",stdsurvey[[#This Row],[perceived_stress_scale]]&lt;=26,"Moderate Stress",stdsurvey[[#This Row],[perceived_stress_scale]]&lt;=40,"High Stress")</f>
        <v>Low Stress</v>
      </c>
      <c r="P421">
        <v>81.5</v>
      </c>
      <c r="Q421">
        <v>4</v>
      </c>
      <c r="R421" s="4" t="str" cm="1">
        <f t="array" ref="R421">_xlfn.IFS(stdsurvey[[#This Row],[class_attendance_percent]]&lt;60,"Less than 0%",stdsurvey[[#This Row],[class_attendance_percent]]&lt;70,"60-70 %",stdsurvey[[#This Row],[class_attendance_percent]]&lt;80, "70-80%",stdsurvey[[#This Row],[class_attendance_percent]]&lt;90,"80-90%",TRUE,"More than 90%")</f>
        <v>80-90%</v>
      </c>
      <c r="S421" t="s">
        <v>22</v>
      </c>
      <c r="T421">
        <v>1</v>
      </c>
      <c r="U421" t="s">
        <v>26</v>
      </c>
      <c r="V421">
        <v>3.5</v>
      </c>
      <c r="W421" s="4" t="str" cm="1">
        <f t="array" ref="W42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21" s="4" t="str" cm="1">
        <f t="array" ref="X421">_xlfn.IFS(stdsurvey[[#This Row],[daily_sleep_hours]]&lt;4,"&lt; 4 hrs",stdsurvey[[#This Row],[daily_sleep_hours]]&lt;=6,"4-6 hrs",stdsurvey[[#This Row],[daily_sleep_hours]]&lt;=8,"6-8 hrs",TRUE,"&gt; 8 hrs")</f>
        <v>6-8 hrs</v>
      </c>
      <c r="Y421" t="s">
        <v>20</v>
      </c>
    </row>
    <row r="422" spans="1:25" x14ac:dyDescent="0.3">
      <c r="A422" t="s">
        <v>456</v>
      </c>
      <c r="B422">
        <v>24</v>
      </c>
      <c r="C422" t="s">
        <v>20</v>
      </c>
      <c r="D422">
        <v>3</v>
      </c>
      <c r="E422" t="s">
        <v>47</v>
      </c>
      <c r="F422">
        <v>5.4</v>
      </c>
      <c r="G422">
        <v>6.8</v>
      </c>
      <c r="H422">
        <v>2</v>
      </c>
      <c r="I422">
        <v>8</v>
      </c>
      <c r="J422">
        <v>5</v>
      </c>
      <c r="K422" s="4" t="str" cm="1">
        <f t="array" ref="K422">_xlfn.IFS(stdsurvey[[#This Row],[phq9_score]]="","Answer Not Provided",stdsurvey[[#This Row],[phq9_score]]&lt;=4,"Minimal",stdsurvey[[#This Row],[phq9_score]]&lt;=9,"Mild",stdsurvey[[#This Row],[phq9_score]]&lt;=14,"Moderate",stdsurvey[[#This Row],[phq9_score]]&lt;=19,"Moderately Severe",stdsurvey[[#This Row],[phq9_score]]&lt;=27,"Severe")</f>
        <v>Mild</v>
      </c>
      <c r="L422">
        <v>14</v>
      </c>
      <c r="M422" s="4" t="str" cm="1">
        <f t="array" ref="M422">_xlfn.IFS(stdsurvey[[#This Row],[gad7_score]]="","Answer Not Provided",stdsurvey[[#This Row],[gad7_score]]&lt;=4,"Minimal",stdsurvey[[#This Row],[gad7_score]]&lt;=9,"Mild",stdsurvey[[#This Row],[gad7_score]]&lt;=14,"Moderate",stdsurvey[[#This Row],[gad7_score]]&lt;=21,"Severe")</f>
        <v>Mild</v>
      </c>
      <c r="N422">
        <v>30.5</v>
      </c>
      <c r="O422" s="4" t="str" cm="1">
        <f t="array" ref="O422">_xlfn.IFS(stdsurvey[[#This Row],[perceived_stress_scale]]="","Answer Not Provided",stdsurvey[[#This Row],[perceived_stress_scale]]&lt;=13,"Low Stress",stdsurvey[[#This Row],[perceived_stress_scale]]&lt;=26,"Moderate Stress",stdsurvey[[#This Row],[perceived_stress_scale]]&lt;=40,"High Stress")</f>
        <v>Moderate Stress</v>
      </c>
      <c r="P422">
        <v>79</v>
      </c>
      <c r="Q422">
        <v>3</v>
      </c>
      <c r="R422" s="4" t="str" cm="1">
        <f t="array" ref="R422">_xlfn.IFS(stdsurvey[[#This Row],[class_attendance_percent]]&lt;60,"Less than 0%",stdsurvey[[#This Row],[class_attendance_percent]]&lt;70,"60-70 %",stdsurvey[[#This Row],[class_attendance_percent]]&lt;80, "70-80%",stdsurvey[[#This Row],[class_attendance_percent]]&lt;90,"80-90%",TRUE,"More than 90%")</f>
        <v>70-80%</v>
      </c>
      <c r="S422" t="s">
        <v>33</v>
      </c>
      <c r="T422">
        <v>1</v>
      </c>
      <c r="U422" t="s">
        <v>51</v>
      </c>
      <c r="V422">
        <v>3.06</v>
      </c>
      <c r="W422" s="4" t="str" cm="1">
        <f t="array" ref="W42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22" s="4" t="str" cm="1">
        <f t="array" ref="X422">_xlfn.IFS(stdsurvey[[#This Row],[daily_sleep_hours]]&lt;4,"&lt; 4 hrs",stdsurvey[[#This Row],[daily_sleep_hours]]&lt;=6,"4-6 hrs",stdsurvey[[#This Row],[daily_sleep_hours]]&lt;=8,"6-8 hrs",TRUE,"&gt; 8 hrs")</f>
        <v>4-6 hrs</v>
      </c>
      <c r="Y422" t="s">
        <v>20</v>
      </c>
    </row>
    <row r="423" spans="1:25" x14ac:dyDescent="0.3">
      <c r="A423" t="s">
        <v>457</v>
      </c>
      <c r="B423">
        <v>21</v>
      </c>
      <c r="C423" t="s">
        <v>20</v>
      </c>
      <c r="D423">
        <v>3</v>
      </c>
      <c r="E423" t="s">
        <v>32</v>
      </c>
      <c r="F423">
        <v>6.9</v>
      </c>
      <c r="G423">
        <v>3.3</v>
      </c>
      <c r="H423">
        <v>7</v>
      </c>
      <c r="I423">
        <v>6</v>
      </c>
      <c r="J423">
        <v>6</v>
      </c>
      <c r="K423" s="4" t="str" cm="1">
        <f t="array" ref="K423">_xlfn.IFS(stdsurvey[[#This Row],[phq9_score]]="","Answer Not Provided",stdsurvey[[#This Row],[phq9_score]]&lt;=4,"Minimal",stdsurvey[[#This Row],[phq9_score]]&lt;=9,"Mild",stdsurvey[[#This Row],[phq9_score]]&lt;=14,"Moderate",stdsurvey[[#This Row],[phq9_score]]&lt;=19,"Moderately Severe",stdsurvey[[#This Row],[phq9_score]]&lt;=27,"Severe")</f>
        <v>Mild</v>
      </c>
      <c r="L423">
        <v>10</v>
      </c>
      <c r="M423" s="4" t="str" cm="1">
        <f t="array" ref="M423">_xlfn.IFS(stdsurvey[[#This Row],[gad7_score]]="","Answer Not Provided",stdsurvey[[#This Row],[gad7_score]]&lt;=4,"Minimal",stdsurvey[[#This Row],[gad7_score]]&lt;=9,"Mild",stdsurvey[[#This Row],[gad7_score]]&lt;=14,"Moderate",stdsurvey[[#This Row],[gad7_score]]&lt;=21,"Severe")</f>
        <v>Mild</v>
      </c>
      <c r="N423">
        <v>1.6</v>
      </c>
      <c r="O423" s="4" t="str" cm="1">
        <f t="array" ref="O423">_xlfn.IFS(stdsurvey[[#This Row],[perceived_stress_scale]]="","Answer Not Provided",stdsurvey[[#This Row],[perceived_stress_scale]]&lt;=13,"Low Stress",stdsurvey[[#This Row],[perceived_stress_scale]]&lt;=26,"Moderate Stress",stdsurvey[[#This Row],[perceived_stress_scale]]&lt;=40,"High Stress")</f>
        <v>Low Stress</v>
      </c>
      <c r="P423">
        <v>83.6</v>
      </c>
      <c r="Q423">
        <v>1</v>
      </c>
      <c r="R423" s="4" t="str" cm="1">
        <f t="array" ref="R423">_xlfn.IFS(stdsurvey[[#This Row],[class_attendance_percent]]&lt;60,"Less than 0%",stdsurvey[[#This Row],[class_attendance_percent]]&lt;70,"60-70 %",stdsurvey[[#This Row],[class_attendance_percent]]&lt;80, "70-80%",stdsurvey[[#This Row],[class_attendance_percent]]&lt;90,"80-90%",TRUE,"More than 90%")</f>
        <v>80-90%</v>
      </c>
      <c r="S423" t="s">
        <v>33</v>
      </c>
      <c r="T423">
        <v>4</v>
      </c>
      <c r="U423" t="s">
        <v>23</v>
      </c>
      <c r="V423">
        <v>2.8</v>
      </c>
      <c r="W423" s="4" t="str" cm="1">
        <f t="array" ref="W42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23" s="4" t="str" cm="1">
        <f t="array" ref="X423">_xlfn.IFS(stdsurvey[[#This Row],[daily_sleep_hours]]&lt;4,"&lt; 4 hrs",stdsurvey[[#This Row],[daily_sleep_hours]]&lt;=6,"4-6 hrs",stdsurvey[[#This Row],[daily_sleep_hours]]&lt;=8,"6-8 hrs",TRUE,"&gt; 8 hrs")</f>
        <v>6-8 hrs</v>
      </c>
      <c r="Y423" t="s">
        <v>20</v>
      </c>
    </row>
    <row r="424" spans="1:25" x14ac:dyDescent="0.3">
      <c r="A424" t="s">
        <v>458</v>
      </c>
      <c r="B424">
        <v>24</v>
      </c>
      <c r="C424" t="s">
        <v>20</v>
      </c>
      <c r="D424">
        <v>2</v>
      </c>
      <c r="E424" t="s">
        <v>47</v>
      </c>
      <c r="F424">
        <v>6.4</v>
      </c>
      <c r="G424">
        <v>6</v>
      </c>
      <c r="H424">
        <v>5</v>
      </c>
      <c r="I424">
        <v>2</v>
      </c>
      <c r="J424">
        <v>3</v>
      </c>
      <c r="K424" s="4" t="str" cm="1">
        <f t="array" ref="K424">_xlfn.IFS(stdsurvey[[#This Row],[phq9_score]]="","Answer Not Provided",stdsurvey[[#This Row],[phq9_score]]&lt;=4,"Minimal",stdsurvey[[#This Row],[phq9_score]]&lt;=9,"Mild",stdsurvey[[#This Row],[phq9_score]]&lt;=14,"Moderate",stdsurvey[[#This Row],[phq9_score]]&lt;=19,"Moderately Severe",stdsurvey[[#This Row],[phq9_score]]&lt;=27,"Severe")</f>
        <v>Minimal</v>
      </c>
      <c r="L424">
        <v>5</v>
      </c>
      <c r="M424" s="4" t="str" cm="1">
        <f t="array" ref="M424">_xlfn.IFS(stdsurvey[[#This Row],[gad7_score]]="","Answer Not Provided",stdsurvey[[#This Row],[gad7_score]]&lt;=4,"Minimal",stdsurvey[[#This Row],[gad7_score]]&lt;=9,"Mild",stdsurvey[[#This Row],[gad7_score]]&lt;=14,"Moderate",stdsurvey[[#This Row],[gad7_score]]&lt;=21,"Severe")</f>
        <v>Minimal</v>
      </c>
      <c r="N424">
        <v>28.1</v>
      </c>
      <c r="O424" s="4" t="str" cm="1">
        <f t="array" ref="O424">_xlfn.IFS(stdsurvey[[#This Row],[perceived_stress_scale]]="","Answer Not Provided",stdsurvey[[#This Row],[perceived_stress_scale]]&lt;=13,"Low Stress",stdsurvey[[#This Row],[perceived_stress_scale]]&lt;=26,"Moderate Stress",stdsurvey[[#This Row],[perceived_stress_scale]]&lt;=40,"High Stress")</f>
        <v>Low Stress</v>
      </c>
      <c r="P424">
        <v>98.3</v>
      </c>
      <c r="Q424">
        <v>5</v>
      </c>
      <c r="R424" s="4" t="str" cm="1">
        <f t="array" ref="R424">_xlfn.IFS(stdsurvey[[#This Row],[class_attendance_percent]]&lt;60,"Less than 0%",stdsurvey[[#This Row],[class_attendance_percent]]&lt;70,"60-70 %",stdsurvey[[#This Row],[class_attendance_percent]]&lt;80, "70-80%",stdsurvey[[#This Row],[class_attendance_percent]]&lt;90,"80-90%",TRUE,"More than 90%")</f>
        <v>More than 90%</v>
      </c>
      <c r="S424" t="s">
        <v>22</v>
      </c>
      <c r="T424">
        <v>3</v>
      </c>
      <c r="U424" t="s">
        <v>23</v>
      </c>
      <c r="V424">
        <v>3.54</v>
      </c>
      <c r="W424" s="4" t="str" cm="1">
        <f t="array" ref="W42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24" s="4" t="str" cm="1">
        <f t="array" ref="X424">_xlfn.IFS(stdsurvey[[#This Row],[daily_sleep_hours]]&lt;4,"&lt; 4 hrs",stdsurvey[[#This Row],[daily_sleep_hours]]&lt;=6,"4-6 hrs",stdsurvey[[#This Row],[daily_sleep_hours]]&lt;=8,"6-8 hrs",TRUE,"&gt; 8 hrs")</f>
        <v>6-8 hrs</v>
      </c>
      <c r="Y424" t="s">
        <v>20</v>
      </c>
    </row>
    <row r="425" spans="1:25" x14ac:dyDescent="0.3">
      <c r="A425" t="s">
        <v>459</v>
      </c>
      <c r="B425">
        <v>22</v>
      </c>
      <c r="C425" t="s">
        <v>20</v>
      </c>
      <c r="D425">
        <v>1</v>
      </c>
      <c r="E425" t="s">
        <v>21</v>
      </c>
      <c r="F425">
        <v>5.4</v>
      </c>
      <c r="G425">
        <v>1.2</v>
      </c>
      <c r="H425">
        <v>1</v>
      </c>
      <c r="I425">
        <v>6</v>
      </c>
      <c r="J425">
        <v>7</v>
      </c>
      <c r="K425" s="4" t="str" cm="1">
        <f t="array" ref="K425">_xlfn.IFS(stdsurvey[[#This Row],[phq9_score]]="","Answer Not Provided",stdsurvey[[#This Row],[phq9_score]]&lt;=4,"Minimal",stdsurvey[[#This Row],[phq9_score]]&lt;=9,"Mild",stdsurvey[[#This Row],[phq9_score]]&lt;=14,"Moderate",stdsurvey[[#This Row],[phq9_score]]&lt;=19,"Moderately Severe",stdsurvey[[#This Row],[phq9_score]]&lt;=27,"Severe")</f>
        <v>Mild</v>
      </c>
      <c r="L425">
        <v>10</v>
      </c>
      <c r="M425" s="4" t="str" cm="1">
        <f t="array" ref="M425">_xlfn.IFS(stdsurvey[[#This Row],[gad7_score]]="","Answer Not Provided",stdsurvey[[#This Row],[gad7_score]]&lt;=4,"Minimal",stdsurvey[[#This Row],[gad7_score]]&lt;=9,"Mild",stdsurvey[[#This Row],[gad7_score]]&lt;=14,"Moderate",stdsurvey[[#This Row],[gad7_score]]&lt;=21,"Severe")</f>
        <v>Mild</v>
      </c>
      <c r="N425">
        <v>85.3</v>
      </c>
      <c r="O425" s="4" t="str" cm="1">
        <f t="array" ref="O425">_xlfn.IFS(stdsurvey[[#This Row],[perceived_stress_scale]]="","Answer Not Provided",stdsurvey[[#This Row],[perceived_stress_scale]]&lt;=13,"Low Stress",stdsurvey[[#This Row],[perceived_stress_scale]]&lt;=26,"Moderate Stress",stdsurvey[[#This Row],[perceived_stress_scale]]&lt;=40,"High Stress")</f>
        <v>Low Stress</v>
      </c>
      <c r="P425">
        <v>100</v>
      </c>
      <c r="Q425">
        <v>4</v>
      </c>
      <c r="R425" s="4" t="str" cm="1">
        <f t="array" ref="R425">_xlfn.IFS(stdsurvey[[#This Row],[class_attendance_percent]]&lt;60,"Less than 0%",stdsurvey[[#This Row],[class_attendance_percent]]&lt;70,"60-70 %",stdsurvey[[#This Row],[class_attendance_percent]]&lt;80, "70-80%",stdsurvey[[#This Row],[class_attendance_percent]]&lt;90,"80-90%",TRUE,"More than 90%")</f>
        <v>More than 90%</v>
      </c>
      <c r="S425" t="s">
        <v>22</v>
      </c>
      <c r="T425">
        <v>3</v>
      </c>
      <c r="U425" t="s">
        <v>23</v>
      </c>
      <c r="V425">
        <v>3.57</v>
      </c>
      <c r="W425" s="4" t="str" cm="1">
        <f t="array" ref="W42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25" s="4" t="str" cm="1">
        <f t="array" ref="X425">_xlfn.IFS(stdsurvey[[#This Row],[daily_sleep_hours]]&lt;4,"&lt; 4 hrs",stdsurvey[[#This Row],[daily_sleep_hours]]&lt;=6,"4-6 hrs",stdsurvey[[#This Row],[daily_sleep_hours]]&lt;=8,"6-8 hrs",TRUE,"&gt; 8 hrs")</f>
        <v>4-6 hrs</v>
      </c>
      <c r="Y425" t="s">
        <v>20</v>
      </c>
    </row>
    <row r="426" spans="1:25" x14ac:dyDescent="0.3">
      <c r="A426" t="s">
        <v>460</v>
      </c>
      <c r="B426">
        <v>20</v>
      </c>
      <c r="C426" t="s">
        <v>27</v>
      </c>
      <c r="D426">
        <v>3</v>
      </c>
      <c r="E426" t="s">
        <v>35</v>
      </c>
      <c r="F426">
        <v>6.9</v>
      </c>
      <c r="G426">
        <v>1</v>
      </c>
      <c r="H426">
        <v>2</v>
      </c>
      <c r="I426">
        <v>2</v>
      </c>
      <c r="J426">
        <v>2</v>
      </c>
      <c r="K426" s="4" t="str" cm="1">
        <f t="array" ref="K426">_xlfn.IFS(stdsurvey[[#This Row],[phq9_score]]="","Answer Not Provided",stdsurvey[[#This Row],[phq9_score]]&lt;=4,"Minimal",stdsurvey[[#This Row],[phq9_score]]&lt;=9,"Mild",stdsurvey[[#This Row],[phq9_score]]&lt;=14,"Moderate",stdsurvey[[#This Row],[phq9_score]]&lt;=19,"Moderately Severe",stdsurvey[[#This Row],[phq9_score]]&lt;=27,"Severe")</f>
        <v>Minimal</v>
      </c>
      <c r="L426">
        <v>6</v>
      </c>
      <c r="M426" s="4" t="str" cm="1">
        <f t="array" ref="M426">_xlfn.IFS(stdsurvey[[#This Row],[gad7_score]]="","Answer Not Provided",stdsurvey[[#This Row],[gad7_score]]&lt;=4,"Minimal",stdsurvey[[#This Row],[gad7_score]]&lt;=9,"Mild",stdsurvey[[#This Row],[gad7_score]]&lt;=14,"Moderate",stdsurvey[[#This Row],[gad7_score]]&lt;=21,"Severe")</f>
        <v>Minimal</v>
      </c>
      <c r="N426">
        <v>3.7</v>
      </c>
      <c r="O426" s="4" t="str" cm="1">
        <f t="array" ref="O426">_xlfn.IFS(stdsurvey[[#This Row],[perceived_stress_scale]]="","Answer Not Provided",stdsurvey[[#This Row],[perceived_stress_scale]]&lt;=13,"Low Stress",stdsurvey[[#This Row],[perceived_stress_scale]]&lt;=26,"Moderate Stress",stdsurvey[[#This Row],[perceived_stress_scale]]&lt;=40,"High Stress")</f>
        <v>Low Stress</v>
      </c>
      <c r="P426">
        <v>77.400000000000006</v>
      </c>
      <c r="Q426">
        <v>3</v>
      </c>
      <c r="R426" s="4" t="str" cm="1">
        <f t="array" ref="R426">_xlfn.IFS(stdsurvey[[#This Row],[class_attendance_percent]]&lt;60,"Less than 0%",stdsurvey[[#This Row],[class_attendance_percent]]&lt;70,"60-70 %",stdsurvey[[#This Row],[class_attendance_percent]]&lt;80, "70-80%",stdsurvey[[#This Row],[class_attendance_percent]]&lt;90,"80-90%",TRUE,"More than 90%")</f>
        <v>70-80%</v>
      </c>
      <c r="S426" t="s">
        <v>22</v>
      </c>
      <c r="T426">
        <v>5</v>
      </c>
      <c r="U426" t="s">
        <v>26</v>
      </c>
      <c r="V426">
        <v>2.35</v>
      </c>
      <c r="W426" s="4" t="str" cm="1">
        <f t="array" ref="W42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26" s="4" t="str" cm="1">
        <f t="array" ref="X426">_xlfn.IFS(stdsurvey[[#This Row],[daily_sleep_hours]]&lt;4,"&lt; 4 hrs",stdsurvey[[#This Row],[daily_sleep_hours]]&lt;=6,"4-6 hrs",stdsurvey[[#This Row],[daily_sleep_hours]]&lt;=8,"6-8 hrs",TRUE,"&gt; 8 hrs")</f>
        <v>6-8 hrs</v>
      </c>
      <c r="Y426" t="s">
        <v>27</v>
      </c>
    </row>
    <row r="427" spans="1:25" x14ac:dyDescent="0.3">
      <c r="A427" t="s">
        <v>461</v>
      </c>
      <c r="B427">
        <v>20</v>
      </c>
      <c r="C427" t="s">
        <v>27</v>
      </c>
      <c r="D427">
        <v>2</v>
      </c>
      <c r="E427" t="s">
        <v>49</v>
      </c>
      <c r="F427">
        <v>4</v>
      </c>
      <c r="G427">
        <v>4.7</v>
      </c>
      <c r="H427">
        <v>3</v>
      </c>
      <c r="I427">
        <v>12</v>
      </c>
      <c r="J427">
        <v>5</v>
      </c>
      <c r="K427" s="4" t="str" cm="1">
        <f t="array" ref="K427">_xlfn.IFS(stdsurvey[[#This Row],[phq9_score]]="","Answer Not Provided",stdsurvey[[#This Row],[phq9_score]]&lt;=4,"Minimal",stdsurvey[[#This Row],[phq9_score]]&lt;=9,"Mild",stdsurvey[[#This Row],[phq9_score]]&lt;=14,"Moderate",stdsurvey[[#This Row],[phq9_score]]&lt;=19,"Moderately Severe",stdsurvey[[#This Row],[phq9_score]]&lt;=27,"Severe")</f>
        <v>Moderate</v>
      </c>
      <c r="L427">
        <v>15</v>
      </c>
      <c r="M427" s="4" t="str" cm="1">
        <f t="array" ref="M427">_xlfn.IFS(stdsurvey[[#This Row],[gad7_score]]="","Answer Not Provided",stdsurvey[[#This Row],[gad7_score]]&lt;=4,"Minimal",stdsurvey[[#This Row],[gad7_score]]&lt;=9,"Mild",stdsurvey[[#This Row],[gad7_score]]&lt;=14,"Moderate",stdsurvey[[#This Row],[gad7_score]]&lt;=21,"Severe")</f>
        <v>Mild</v>
      </c>
      <c r="N427">
        <v>1</v>
      </c>
      <c r="O427" s="4" t="str" cm="1">
        <f t="array" ref="O427">_xlfn.IFS(stdsurvey[[#This Row],[perceived_stress_scale]]="","Answer Not Provided",stdsurvey[[#This Row],[perceived_stress_scale]]&lt;=13,"Low Stress",stdsurvey[[#This Row],[perceived_stress_scale]]&lt;=26,"Moderate Stress",stdsurvey[[#This Row],[perceived_stress_scale]]&lt;=40,"High Stress")</f>
        <v>Moderate Stress</v>
      </c>
      <c r="P427">
        <v>91.9</v>
      </c>
      <c r="Q427">
        <v>4</v>
      </c>
      <c r="R427" s="4" t="str" cm="1">
        <f t="array" ref="R427">_xlfn.IFS(stdsurvey[[#This Row],[class_attendance_percent]]&lt;60,"Less than 0%",stdsurvey[[#This Row],[class_attendance_percent]]&lt;70,"60-70 %",stdsurvey[[#This Row],[class_attendance_percent]]&lt;80, "70-80%",stdsurvey[[#This Row],[class_attendance_percent]]&lt;90,"80-90%",TRUE,"More than 90%")</f>
        <v>More than 90%</v>
      </c>
      <c r="S427" t="s">
        <v>22</v>
      </c>
      <c r="T427">
        <v>4</v>
      </c>
      <c r="U427" t="s">
        <v>51</v>
      </c>
      <c r="V427">
        <v>2.2200000000000002</v>
      </c>
      <c r="W427" s="4" t="str" cm="1">
        <f t="array" ref="W42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27" s="4" t="str" cm="1">
        <f t="array" ref="X427">_xlfn.IFS(stdsurvey[[#This Row],[daily_sleep_hours]]&lt;4,"&lt; 4 hrs",stdsurvey[[#This Row],[daily_sleep_hours]]&lt;=6,"4-6 hrs",stdsurvey[[#This Row],[daily_sleep_hours]]&lt;=8,"6-8 hrs",TRUE,"&gt; 8 hrs")</f>
        <v>4-6 hrs</v>
      </c>
      <c r="Y427" t="s">
        <v>27</v>
      </c>
    </row>
    <row r="428" spans="1:25" x14ac:dyDescent="0.3">
      <c r="A428" t="s">
        <v>462</v>
      </c>
      <c r="B428">
        <v>18</v>
      </c>
      <c r="C428" t="s">
        <v>102</v>
      </c>
      <c r="D428">
        <v>3</v>
      </c>
      <c r="E428" t="s">
        <v>30</v>
      </c>
      <c r="F428">
        <v>6.6</v>
      </c>
      <c r="G428">
        <v>1.8</v>
      </c>
      <c r="H428">
        <v>4</v>
      </c>
      <c r="I428">
        <v>0</v>
      </c>
      <c r="J428">
        <v>0</v>
      </c>
      <c r="K428" s="4" t="str" cm="1">
        <f t="array" ref="K428">_xlfn.IFS(stdsurvey[[#This Row],[phq9_score]]="","Answer Not Provided",stdsurvey[[#This Row],[phq9_score]]&lt;=4,"Minimal",stdsurvey[[#This Row],[phq9_score]]&lt;=9,"Mild",stdsurvey[[#This Row],[phq9_score]]&lt;=14,"Moderate",stdsurvey[[#This Row],[phq9_score]]&lt;=19,"Moderately Severe",stdsurvey[[#This Row],[phq9_score]]&lt;=27,"Severe")</f>
        <v>Minimal</v>
      </c>
      <c r="L428">
        <v>5</v>
      </c>
      <c r="M428" s="4" t="str" cm="1">
        <f t="array" ref="M428">_xlfn.IFS(stdsurvey[[#This Row],[gad7_score]]="","Answer Not Provided",stdsurvey[[#This Row],[gad7_score]]&lt;=4,"Minimal",stdsurvey[[#This Row],[gad7_score]]&lt;=9,"Mild",stdsurvey[[#This Row],[gad7_score]]&lt;=14,"Moderate",stdsurvey[[#This Row],[gad7_score]]&lt;=21,"Severe")</f>
        <v>Minimal</v>
      </c>
      <c r="N428">
        <v>8.9</v>
      </c>
      <c r="O428" s="4" t="str" cm="1">
        <f t="array" ref="O428">_xlfn.IFS(stdsurvey[[#This Row],[perceived_stress_scale]]="","Answer Not Provided",stdsurvey[[#This Row],[perceived_stress_scale]]&lt;=13,"Low Stress",stdsurvey[[#This Row],[perceived_stress_scale]]&lt;=26,"Moderate Stress",stdsurvey[[#This Row],[perceived_stress_scale]]&lt;=40,"High Stress")</f>
        <v>Low Stress</v>
      </c>
      <c r="P428">
        <v>59.2</v>
      </c>
      <c r="Q428">
        <v>3</v>
      </c>
      <c r="R428" s="4" t="str" cm="1">
        <f t="array" ref="R428">_xlfn.IFS(stdsurvey[[#This Row],[class_attendance_percent]]&lt;60,"Less than 0%",stdsurvey[[#This Row],[class_attendance_percent]]&lt;70,"60-70 %",stdsurvey[[#This Row],[class_attendance_percent]]&lt;80, "70-80%",stdsurvey[[#This Row],[class_attendance_percent]]&lt;90,"80-90%",TRUE,"More than 90%")</f>
        <v>Less than 0%</v>
      </c>
      <c r="S428" t="s">
        <v>33</v>
      </c>
      <c r="T428">
        <v>1</v>
      </c>
      <c r="U428" t="s">
        <v>23</v>
      </c>
      <c r="V428">
        <v>2.76</v>
      </c>
      <c r="W428" s="4" t="str" cm="1">
        <f t="array" ref="W42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28" s="4" t="str" cm="1">
        <f t="array" ref="X428">_xlfn.IFS(stdsurvey[[#This Row],[daily_sleep_hours]]&lt;4,"&lt; 4 hrs",stdsurvey[[#This Row],[daily_sleep_hours]]&lt;=6,"4-6 hrs",stdsurvey[[#This Row],[daily_sleep_hours]]&lt;=8,"6-8 hrs",TRUE,"&gt; 8 hrs")</f>
        <v>6-8 hrs</v>
      </c>
      <c r="Y428" t="s">
        <v>20</v>
      </c>
    </row>
    <row r="429" spans="1:25" x14ac:dyDescent="0.3">
      <c r="A429" t="s">
        <v>463</v>
      </c>
      <c r="B429">
        <v>20</v>
      </c>
      <c r="C429" t="s">
        <v>20</v>
      </c>
      <c r="D429">
        <v>1</v>
      </c>
      <c r="E429" t="s">
        <v>47</v>
      </c>
      <c r="F429">
        <v>7.2</v>
      </c>
      <c r="G429">
        <v>4.7</v>
      </c>
      <c r="H429">
        <v>4</v>
      </c>
      <c r="I429">
        <v>3</v>
      </c>
      <c r="J429">
        <v>4</v>
      </c>
      <c r="K429" s="4" t="str" cm="1">
        <f t="array" ref="K429">_xlfn.IFS(stdsurvey[[#This Row],[phq9_score]]="","Answer Not Provided",stdsurvey[[#This Row],[phq9_score]]&lt;=4,"Minimal",stdsurvey[[#This Row],[phq9_score]]&lt;=9,"Mild",stdsurvey[[#This Row],[phq9_score]]&lt;=14,"Moderate",stdsurvey[[#This Row],[phq9_score]]&lt;=19,"Moderately Severe",stdsurvey[[#This Row],[phq9_score]]&lt;=27,"Severe")</f>
        <v>Minimal</v>
      </c>
      <c r="L429">
        <v>8</v>
      </c>
      <c r="M429" s="4" t="str" cm="1">
        <f t="array" ref="M429">_xlfn.IFS(stdsurvey[[#This Row],[gad7_score]]="","Answer Not Provided",stdsurvey[[#This Row],[gad7_score]]&lt;=4,"Minimal",stdsurvey[[#This Row],[gad7_score]]&lt;=9,"Mild",stdsurvey[[#This Row],[gad7_score]]&lt;=14,"Moderate",stdsurvey[[#This Row],[gad7_score]]&lt;=21,"Severe")</f>
        <v>Minimal</v>
      </c>
      <c r="N429">
        <v>19.8</v>
      </c>
      <c r="O429" s="4" t="str" cm="1">
        <f t="array" ref="O429">_xlfn.IFS(stdsurvey[[#This Row],[perceived_stress_scale]]="","Answer Not Provided",stdsurvey[[#This Row],[perceived_stress_scale]]&lt;=13,"Low Stress",stdsurvey[[#This Row],[perceived_stress_scale]]&lt;=26,"Moderate Stress",stdsurvey[[#This Row],[perceived_stress_scale]]&lt;=40,"High Stress")</f>
        <v>Low Stress</v>
      </c>
      <c r="P429">
        <v>60.4</v>
      </c>
      <c r="Q429">
        <v>4</v>
      </c>
      <c r="R429" s="4" t="str" cm="1">
        <f t="array" ref="R429">_xlfn.IFS(stdsurvey[[#This Row],[class_attendance_percent]]&lt;60,"Less than 0%",stdsurvey[[#This Row],[class_attendance_percent]]&lt;70,"60-70 %",stdsurvey[[#This Row],[class_attendance_percent]]&lt;80, "70-80%",stdsurvey[[#This Row],[class_attendance_percent]]&lt;90,"80-90%",TRUE,"More than 90%")</f>
        <v>60-70 %</v>
      </c>
      <c r="S429" t="s">
        <v>22</v>
      </c>
      <c r="T429">
        <v>3</v>
      </c>
      <c r="U429" t="s">
        <v>26</v>
      </c>
      <c r="V429">
        <v>3.35</v>
      </c>
      <c r="W429" s="4" t="str" cm="1">
        <f t="array" ref="W42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29" s="4" t="str" cm="1">
        <f t="array" ref="X429">_xlfn.IFS(stdsurvey[[#This Row],[daily_sleep_hours]]&lt;4,"&lt; 4 hrs",stdsurvey[[#This Row],[daily_sleep_hours]]&lt;=6,"4-6 hrs",stdsurvey[[#This Row],[daily_sleep_hours]]&lt;=8,"6-8 hrs",TRUE,"&gt; 8 hrs")</f>
        <v>6-8 hrs</v>
      </c>
      <c r="Y429" t="s">
        <v>20</v>
      </c>
    </row>
    <row r="430" spans="1:25" x14ac:dyDescent="0.3">
      <c r="A430" t="s">
        <v>464</v>
      </c>
      <c r="B430">
        <v>21</v>
      </c>
      <c r="C430" t="s">
        <v>102</v>
      </c>
      <c r="D430">
        <v>5</v>
      </c>
      <c r="E430" t="s">
        <v>21</v>
      </c>
      <c r="F430">
        <v>6.6</v>
      </c>
      <c r="G430">
        <v>4.7</v>
      </c>
      <c r="H430">
        <v>1</v>
      </c>
      <c r="I430">
        <v>11</v>
      </c>
      <c r="J430">
        <v>9</v>
      </c>
      <c r="K430" s="4" t="str" cm="1">
        <f t="array" ref="K430">_xlfn.IFS(stdsurvey[[#This Row],[phq9_score]]="","Answer Not Provided",stdsurvey[[#This Row],[phq9_score]]&lt;=4,"Minimal",stdsurvey[[#This Row],[phq9_score]]&lt;=9,"Mild",stdsurvey[[#This Row],[phq9_score]]&lt;=14,"Moderate",stdsurvey[[#This Row],[phq9_score]]&lt;=19,"Moderately Severe",stdsurvey[[#This Row],[phq9_score]]&lt;=27,"Severe")</f>
        <v>Moderate</v>
      </c>
      <c r="L430">
        <v>15</v>
      </c>
      <c r="M430" s="4" t="str" cm="1">
        <f t="array" ref="M430">_xlfn.IFS(stdsurvey[[#This Row],[gad7_score]]="","Answer Not Provided",stdsurvey[[#This Row],[gad7_score]]&lt;=4,"Minimal",stdsurvey[[#This Row],[gad7_score]]&lt;=9,"Mild",stdsurvey[[#This Row],[gad7_score]]&lt;=14,"Moderate",stdsurvey[[#This Row],[gad7_score]]&lt;=21,"Severe")</f>
        <v>Mild</v>
      </c>
      <c r="N430">
        <v>15.7</v>
      </c>
      <c r="O430" s="4" t="str" cm="1">
        <f t="array" ref="O430">_xlfn.IFS(stdsurvey[[#This Row],[perceived_stress_scale]]="","Answer Not Provided",stdsurvey[[#This Row],[perceived_stress_scale]]&lt;=13,"Low Stress",stdsurvey[[#This Row],[perceived_stress_scale]]&lt;=26,"Moderate Stress",stdsurvey[[#This Row],[perceived_stress_scale]]&lt;=40,"High Stress")</f>
        <v>Moderate Stress</v>
      </c>
      <c r="P430">
        <v>60.7</v>
      </c>
      <c r="Q430">
        <v>2</v>
      </c>
      <c r="R430" s="4" t="str" cm="1">
        <f t="array" ref="R430">_xlfn.IFS(stdsurvey[[#This Row],[class_attendance_percent]]&lt;60,"Less than 0%",stdsurvey[[#This Row],[class_attendance_percent]]&lt;70,"60-70 %",stdsurvey[[#This Row],[class_attendance_percent]]&lt;80, "70-80%",stdsurvey[[#This Row],[class_attendance_percent]]&lt;90,"80-90%",TRUE,"More than 90%")</f>
        <v>60-70 %</v>
      </c>
      <c r="S430" t="s">
        <v>22</v>
      </c>
      <c r="T430">
        <v>4</v>
      </c>
      <c r="U430" t="s">
        <v>23</v>
      </c>
      <c r="V430">
        <v>2.72</v>
      </c>
      <c r="W430" s="4" t="str" cm="1">
        <f t="array" ref="W43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30" s="4" t="str" cm="1">
        <f t="array" ref="X430">_xlfn.IFS(stdsurvey[[#This Row],[daily_sleep_hours]]&lt;4,"&lt; 4 hrs",stdsurvey[[#This Row],[daily_sleep_hours]]&lt;=6,"4-6 hrs",stdsurvey[[#This Row],[daily_sleep_hours]]&lt;=8,"6-8 hrs",TRUE,"&gt; 8 hrs")</f>
        <v>6-8 hrs</v>
      </c>
      <c r="Y430" t="s">
        <v>20</v>
      </c>
    </row>
    <row r="431" spans="1:25" x14ac:dyDescent="0.3">
      <c r="A431" t="s">
        <v>465</v>
      </c>
      <c r="B431">
        <v>23</v>
      </c>
      <c r="C431" t="s">
        <v>27</v>
      </c>
      <c r="D431">
        <v>2</v>
      </c>
      <c r="E431" t="s">
        <v>30</v>
      </c>
      <c r="F431">
        <v>8.4</v>
      </c>
      <c r="G431">
        <v>4.4000000000000004</v>
      </c>
      <c r="H431">
        <v>1</v>
      </c>
      <c r="I431">
        <v>10</v>
      </c>
      <c r="J431">
        <v>12</v>
      </c>
      <c r="K431" s="4" t="str" cm="1">
        <f t="array" ref="K431">_xlfn.IFS(stdsurvey[[#This Row],[phq9_score]]="","Answer Not Provided",stdsurvey[[#This Row],[phq9_score]]&lt;=4,"Minimal",stdsurvey[[#This Row],[phq9_score]]&lt;=9,"Mild",stdsurvey[[#This Row],[phq9_score]]&lt;=14,"Moderate",stdsurvey[[#This Row],[phq9_score]]&lt;=19,"Moderately Severe",stdsurvey[[#This Row],[phq9_score]]&lt;=27,"Severe")</f>
        <v>Moderate</v>
      </c>
      <c r="L431">
        <v>16</v>
      </c>
      <c r="M431" s="4" t="str" cm="1">
        <f t="array" ref="M431">_xlfn.IFS(stdsurvey[[#This Row],[gad7_score]]="","Answer Not Provided",stdsurvey[[#This Row],[gad7_score]]&lt;=4,"Minimal",stdsurvey[[#This Row],[gad7_score]]&lt;=9,"Mild",stdsurvey[[#This Row],[gad7_score]]&lt;=14,"Moderate",stdsurvey[[#This Row],[gad7_score]]&lt;=21,"Severe")</f>
        <v>Moderate</v>
      </c>
      <c r="N431">
        <v>24.9</v>
      </c>
      <c r="O431" s="4" t="str" cm="1">
        <f t="array" ref="O431">_xlfn.IFS(stdsurvey[[#This Row],[perceived_stress_scale]]="","Answer Not Provided",stdsurvey[[#This Row],[perceived_stress_scale]]&lt;=13,"Low Stress",stdsurvey[[#This Row],[perceived_stress_scale]]&lt;=26,"Moderate Stress",stdsurvey[[#This Row],[perceived_stress_scale]]&lt;=40,"High Stress")</f>
        <v>Moderate Stress</v>
      </c>
      <c r="P431">
        <v>80.7</v>
      </c>
      <c r="Q431">
        <v>3</v>
      </c>
      <c r="R431" s="4" t="str" cm="1">
        <f t="array" ref="R431">_xlfn.IFS(stdsurvey[[#This Row],[class_attendance_percent]]&lt;60,"Less than 0%",stdsurvey[[#This Row],[class_attendance_percent]]&lt;70,"60-70 %",stdsurvey[[#This Row],[class_attendance_percent]]&lt;80, "70-80%",stdsurvey[[#This Row],[class_attendance_percent]]&lt;90,"80-90%",TRUE,"More than 90%")</f>
        <v>80-90%</v>
      </c>
      <c r="S431" t="s">
        <v>33</v>
      </c>
      <c r="T431">
        <v>3</v>
      </c>
      <c r="U431" t="s">
        <v>23</v>
      </c>
      <c r="V431">
        <v>3.11</v>
      </c>
      <c r="W431" s="4" t="str" cm="1">
        <f t="array" ref="W43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31" s="4" t="str" cm="1">
        <f t="array" ref="X431">_xlfn.IFS(stdsurvey[[#This Row],[daily_sleep_hours]]&lt;4,"&lt; 4 hrs",stdsurvey[[#This Row],[daily_sleep_hours]]&lt;=6,"4-6 hrs",stdsurvey[[#This Row],[daily_sleep_hours]]&lt;=8,"6-8 hrs",TRUE,"&gt; 8 hrs")</f>
        <v>&gt; 8 hrs</v>
      </c>
      <c r="Y431" t="s">
        <v>27</v>
      </c>
    </row>
    <row r="432" spans="1:25" x14ac:dyDescent="0.3">
      <c r="A432" t="s">
        <v>466</v>
      </c>
      <c r="B432">
        <v>25</v>
      </c>
      <c r="C432" t="s">
        <v>20</v>
      </c>
      <c r="D432">
        <v>4</v>
      </c>
      <c r="E432" t="s">
        <v>30</v>
      </c>
      <c r="F432">
        <v>4.5</v>
      </c>
      <c r="G432">
        <v>8.3000000000000007</v>
      </c>
      <c r="H432">
        <v>2</v>
      </c>
      <c r="I432">
        <v>12</v>
      </c>
      <c r="J432">
        <v>11</v>
      </c>
      <c r="K432" s="4" t="str" cm="1">
        <f t="array" ref="K432">_xlfn.IFS(stdsurvey[[#This Row],[phq9_score]]="","Answer Not Provided",stdsurvey[[#This Row],[phq9_score]]&lt;=4,"Minimal",stdsurvey[[#This Row],[phq9_score]]&lt;=9,"Mild",stdsurvey[[#This Row],[phq9_score]]&lt;=14,"Moderate",stdsurvey[[#This Row],[phq9_score]]&lt;=19,"Moderately Severe",stdsurvey[[#This Row],[phq9_score]]&lt;=27,"Severe")</f>
        <v>Moderate</v>
      </c>
      <c r="L432">
        <v>25</v>
      </c>
      <c r="M432" s="4" t="str" cm="1">
        <f t="array" ref="M432">_xlfn.IFS(stdsurvey[[#This Row],[gad7_score]]="","Answer Not Provided",stdsurvey[[#This Row],[gad7_score]]&lt;=4,"Minimal",stdsurvey[[#This Row],[gad7_score]]&lt;=9,"Mild",stdsurvey[[#This Row],[gad7_score]]&lt;=14,"Moderate",stdsurvey[[#This Row],[gad7_score]]&lt;=21,"Severe")</f>
        <v>Moderate</v>
      </c>
      <c r="N432">
        <v>12.9</v>
      </c>
      <c r="O432" s="4" t="str" cm="1">
        <f t="array" ref="O432">_xlfn.IFS(stdsurvey[[#This Row],[perceived_stress_scale]]="","Answer Not Provided",stdsurvey[[#This Row],[perceived_stress_scale]]&lt;=13,"Low Stress",stdsurvey[[#This Row],[perceived_stress_scale]]&lt;=26,"Moderate Stress",stdsurvey[[#This Row],[perceived_stress_scale]]&lt;=40,"High Stress")</f>
        <v>Moderate Stress</v>
      </c>
      <c r="P432">
        <v>91.1</v>
      </c>
      <c r="Q432">
        <v>3</v>
      </c>
      <c r="R432" s="4" t="str" cm="1">
        <f t="array" ref="R432">_xlfn.IFS(stdsurvey[[#This Row],[class_attendance_percent]]&lt;60,"Less than 0%",stdsurvey[[#This Row],[class_attendance_percent]]&lt;70,"60-70 %",stdsurvey[[#This Row],[class_attendance_percent]]&lt;80, "70-80%",stdsurvey[[#This Row],[class_attendance_percent]]&lt;90,"80-90%",TRUE,"More than 90%")</f>
        <v>More than 90%</v>
      </c>
      <c r="S432" t="s">
        <v>22</v>
      </c>
      <c r="T432">
        <v>5</v>
      </c>
      <c r="U432" t="s">
        <v>51</v>
      </c>
      <c r="V432">
        <v>4.3</v>
      </c>
      <c r="W432" s="4" t="str" cm="1">
        <f t="array" ref="W43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32" s="4" t="str" cm="1">
        <f t="array" ref="X432">_xlfn.IFS(stdsurvey[[#This Row],[daily_sleep_hours]]&lt;4,"&lt; 4 hrs",stdsurvey[[#This Row],[daily_sleep_hours]]&lt;=6,"4-6 hrs",stdsurvey[[#This Row],[daily_sleep_hours]]&lt;=8,"6-8 hrs",TRUE,"&gt; 8 hrs")</f>
        <v>4-6 hrs</v>
      </c>
      <c r="Y432" t="s">
        <v>20</v>
      </c>
    </row>
    <row r="433" spans="1:25" x14ac:dyDescent="0.3">
      <c r="A433" t="s">
        <v>467</v>
      </c>
      <c r="B433">
        <v>19</v>
      </c>
      <c r="C433" t="s">
        <v>27</v>
      </c>
      <c r="D433">
        <v>3</v>
      </c>
      <c r="E433" t="s">
        <v>49</v>
      </c>
      <c r="F433">
        <v>5.0999999999999996</v>
      </c>
      <c r="G433">
        <v>16</v>
      </c>
      <c r="H433">
        <v>5</v>
      </c>
      <c r="I433">
        <v>8</v>
      </c>
      <c r="J433">
        <v>7</v>
      </c>
      <c r="K433" s="4" t="str" cm="1">
        <f t="array" ref="K433">_xlfn.IFS(stdsurvey[[#This Row],[phq9_score]]="","Answer Not Provided",stdsurvey[[#This Row],[phq9_score]]&lt;=4,"Minimal",stdsurvey[[#This Row],[phq9_score]]&lt;=9,"Mild",stdsurvey[[#This Row],[phq9_score]]&lt;=14,"Moderate",stdsurvey[[#This Row],[phq9_score]]&lt;=19,"Moderately Severe",stdsurvey[[#This Row],[phq9_score]]&lt;=27,"Severe")</f>
        <v>Mild</v>
      </c>
      <c r="L433">
        <v>11</v>
      </c>
      <c r="M433" s="4" t="str" cm="1">
        <f t="array" ref="M433">_xlfn.IFS(stdsurvey[[#This Row],[gad7_score]]="","Answer Not Provided",stdsurvey[[#This Row],[gad7_score]]&lt;=4,"Minimal",stdsurvey[[#This Row],[gad7_score]]&lt;=9,"Mild",stdsurvey[[#This Row],[gad7_score]]&lt;=14,"Moderate",stdsurvey[[#This Row],[gad7_score]]&lt;=21,"Severe")</f>
        <v>Mild</v>
      </c>
      <c r="N433">
        <v>7.7</v>
      </c>
      <c r="O433" s="4" t="str" cm="1">
        <f t="array" ref="O433">_xlfn.IFS(stdsurvey[[#This Row],[perceived_stress_scale]]="","Answer Not Provided",stdsurvey[[#This Row],[perceived_stress_scale]]&lt;=13,"Low Stress",stdsurvey[[#This Row],[perceived_stress_scale]]&lt;=26,"Moderate Stress",stdsurvey[[#This Row],[perceived_stress_scale]]&lt;=40,"High Stress")</f>
        <v>Low Stress</v>
      </c>
      <c r="P433">
        <v>68</v>
      </c>
      <c r="Q433">
        <v>3</v>
      </c>
      <c r="R433" s="4" t="str" cm="1">
        <f t="array" ref="R433">_xlfn.IFS(stdsurvey[[#This Row],[class_attendance_percent]]&lt;60,"Less than 0%",stdsurvey[[#This Row],[class_attendance_percent]]&lt;70,"60-70 %",stdsurvey[[#This Row],[class_attendance_percent]]&lt;80, "70-80%",stdsurvey[[#This Row],[class_attendance_percent]]&lt;90,"80-90%",TRUE,"More than 90%")</f>
        <v>60-70 %</v>
      </c>
      <c r="S433" t="s">
        <v>22</v>
      </c>
      <c r="T433">
        <v>4</v>
      </c>
      <c r="U433" t="s">
        <v>23</v>
      </c>
      <c r="V433">
        <v>2.84</v>
      </c>
      <c r="W433" s="4" t="str" cm="1">
        <f t="array" ref="W43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433" s="4" t="str" cm="1">
        <f t="array" ref="X433">_xlfn.IFS(stdsurvey[[#This Row],[daily_sleep_hours]]&lt;4,"&lt; 4 hrs",stdsurvey[[#This Row],[daily_sleep_hours]]&lt;=6,"4-6 hrs",stdsurvey[[#This Row],[daily_sleep_hours]]&lt;=8,"6-8 hrs",TRUE,"&gt; 8 hrs")</f>
        <v>4-6 hrs</v>
      </c>
      <c r="Y433" t="s">
        <v>27</v>
      </c>
    </row>
    <row r="434" spans="1:25" x14ac:dyDescent="0.3">
      <c r="A434" t="s">
        <v>468</v>
      </c>
      <c r="B434">
        <v>22</v>
      </c>
      <c r="C434" t="s">
        <v>27</v>
      </c>
      <c r="D434">
        <v>1</v>
      </c>
      <c r="E434" t="s">
        <v>30</v>
      </c>
      <c r="F434">
        <v>6.1</v>
      </c>
      <c r="G434">
        <v>5.6</v>
      </c>
      <c r="H434">
        <v>5</v>
      </c>
      <c r="I434">
        <v>1</v>
      </c>
      <c r="J434">
        <v>3</v>
      </c>
      <c r="K434" s="4" t="str" cm="1">
        <f t="array" ref="K434">_xlfn.IFS(stdsurvey[[#This Row],[phq9_score]]="","Answer Not Provided",stdsurvey[[#This Row],[phq9_score]]&lt;=4,"Minimal",stdsurvey[[#This Row],[phq9_score]]&lt;=9,"Mild",stdsurvey[[#This Row],[phq9_score]]&lt;=14,"Moderate",stdsurvey[[#This Row],[phq9_score]]&lt;=19,"Moderately Severe",stdsurvey[[#This Row],[phq9_score]]&lt;=27,"Severe")</f>
        <v>Minimal</v>
      </c>
      <c r="L434">
        <v>5</v>
      </c>
      <c r="M434" s="4" t="str" cm="1">
        <f t="array" ref="M434">_xlfn.IFS(stdsurvey[[#This Row],[gad7_score]]="","Answer Not Provided",stdsurvey[[#This Row],[gad7_score]]&lt;=4,"Minimal",stdsurvey[[#This Row],[gad7_score]]&lt;=9,"Mild",stdsurvey[[#This Row],[gad7_score]]&lt;=14,"Moderate",stdsurvey[[#This Row],[gad7_score]]&lt;=21,"Severe")</f>
        <v>Minimal</v>
      </c>
      <c r="N434">
        <v>17.600000000000001</v>
      </c>
      <c r="O434" s="4" t="str" cm="1">
        <f t="array" ref="O434">_xlfn.IFS(stdsurvey[[#This Row],[perceived_stress_scale]]="","Answer Not Provided",stdsurvey[[#This Row],[perceived_stress_scale]]&lt;=13,"Low Stress",stdsurvey[[#This Row],[perceived_stress_scale]]&lt;=26,"Moderate Stress",stdsurvey[[#This Row],[perceived_stress_scale]]&lt;=40,"High Stress")</f>
        <v>Low Stress</v>
      </c>
      <c r="P434">
        <v>72.2</v>
      </c>
      <c r="Q434">
        <v>3</v>
      </c>
      <c r="R434" s="4" t="str" cm="1">
        <f t="array" ref="R434">_xlfn.IFS(stdsurvey[[#This Row],[class_attendance_percent]]&lt;60,"Less than 0%",stdsurvey[[#This Row],[class_attendance_percent]]&lt;70,"60-70 %",stdsurvey[[#This Row],[class_attendance_percent]]&lt;80, "70-80%",stdsurvey[[#This Row],[class_attendance_percent]]&lt;90,"80-90%",TRUE,"More than 90%")</f>
        <v>70-80%</v>
      </c>
      <c r="S434" t="s">
        <v>33</v>
      </c>
      <c r="T434">
        <v>1</v>
      </c>
      <c r="U434" t="s">
        <v>26</v>
      </c>
      <c r="V434">
        <v>3.03</v>
      </c>
      <c r="W434" s="4" t="str" cm="1">
        <f t="array" ref="W43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34" s="4" t="str" cm="1">
        <f t="array" ref="X434">_xlfn.IFS(stdsurvey[[#This Row],[daily_sleep_hours]]&lt;4,"&lt; 4 hrs",stdsurvey[[#This Row],[daily_sleep_hours]]&lt;=6,"4-6 hrs",stdsurvey[[#This Row],[daily_sleep_hours]]&lt;=8,"6-8 hrs",TRUE,"&gt; 8 hrs")</f>
        <v>6-8 hrs</v>
      </c>
      <c r="Y434" t="s">
        <v>27</v>
      </c>
    </row>
    <row r="435" spans="1:25" x14ac:dyDescent="0.3">
      <c r="A435" t="s">
        <v>469</v>
      </c>
      <c r="B435">
        <v>19</v>
      </c>
      <c r="C435" t="s">
        <v>27</v>
      </c>
      <c r="D435">
        <v>4</v>
      </c>
      <c r="E435" t="s">
        <v>30</v>
      </c>
      <c r="F435">
        <v>5.0999999999999996</v>
      </c>
      <c r="G435">
        <v>12.5</v>
      </c>
      <c r="H435">
        <v>0</v>
      </c>
      <c r="I435">
        <v>10</v>
      </c>
      <c r="J435">
        <v>11</v>
      </c>
      <c r="K435" s="4" t="str" cm="1">
        <f t="array" ref="K435">_xlfn.IFS(stdsurvey[[#This Row],[phq9_score]]="","Answer Not Provided",stdsurvey[[#This Row],[phq9_score]]&lt;=4,"Minimal",stdsurvey[[#This Row],[phq9_score]]&lt;=9,"Mild",stdsurvey[[#This Row],[phq9_score]]&lt;=14,"Moderate",stdsurvey[[#This Row],[phq9_score]]&lt;=19,"Moderately Severe",stdsurvey[[#This Row],[phq9_score]]&lt;=27,"Severe")</f>
        <v>Moderate</v>
      </c>
      <c r="L435">
        <v>26</v>
      </c>
      <c r="M435" s="4" t="str" cm="1">
        <f t="array" ref="M435">_xlfn.IFS(stdsurvey[[#This Row],[gad7_score]]="","Answer Not Provided",stdsurvey[[#This Row],[gad7_score]]&lt;=4,"Minimal",stdsurvey[[#This Row],[gad7_score]]&lt;=9,"Mild",stdsurvey[[#This Row],[gad7_score]]&lt;=14,"Moderate",stdsurvey[[#This Row],[gad7_score]]&lt;=21,"Severe")</f>
        <v>Moderate</v>
      </c>
      <c r="N435">
        <v>19.3</v>
      </c>
      <c r="O435" s="4" t="str" cm="1">
        <f t="array" ref="O435">_xlfn.IFS(stdsurvey[[#This Row],[perceived_stress_scale]]="","Answer Not Provided",stdsurvey[[#This Row],[perceived_stress_scale]]&lt;=13,"Low Stress",stdsurvey[[#This Row],[perceived_stress_scale]]&lt;=26,"Moderate Stress",stdsurvey[[#This Row],[perceived_stress_scale]]&lt;=40,"High Stress")</f>
        <v>Moderate Stress</v>
      </c>
      <c r="P435">
        <v>72.2</v>
      </c>
      <c r="Q435">
        <v>2</v>
      </c>
      <c r="R435" s="4" t="str" cm="1">
        <f t="array" ref="R435">_xlfn.IFS(stdsurvey[[#This Row],[class_attendance_percent]]&lt;60,"Less than 0%",stdsurvey[[#This Row],[class_attendance_percent]]&lt;70,"60-70 %",stdsurvey[[#This Row],[class_attendance_percent]]&lt;80, "70-80%",stdsurvey[[#This Row],[class_attendance_percent]]&lt;90,"80-90%",TRUE,"More than 90%")</f>
        <v>70-80%</v>
      </c>
      <c r="S435" t="s">
        <v>22</v>
      </c>
      <c r="T435">
        <v>2</v>
      </c>
      <c r="U435" t="s">
        <v>51</v>
      </c>
      <c r="V435">
        <v>2.97</v>
      </c>
      <c r="W435" s="4" t="str" cm="1">
        <f t="array" ref="W43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435" s="4" t="str" cm="1">
        <f t="array" ref="X435">_xlfn.IFS(stdsurvey[[#This Row],[daily_sleep_hours]]&lt;4,"&lt; 4 hrs",stdsurvey[[#This Row],[daily_sleep_hours]]&lt;=6,"4-6 hrs",stdsurvey[[#This Row],[daily_sleep_hours]]&lt;=8,"6-8 hrs",TRUE,"&gt; 8 hrs")</f>
        <v>4-6 hrs</v>
      </c>
      <c r="Y435" t="s">
        <v>27</v>
      </c>
    </row>
    <row r="436" spans="1:25" x14ac:dyDescent="0.3">
      <c r="A436" t="s">
        <v>470</v>
      </c>
      <c r="B436">
        <v>22</v>
      </c>
      <c r="C436" t="s">
        <v>27</v>
      </c>
      <c r="D436">
        <v>3</v>
      </c>
      <c r="E436" t="s">
        <v>30</v>
      </c>
      <c r="F436">
        <v>6.2</v>
      </c>
      <c r="G436">
        <v>3.4</v>
      </c>
      <c r="H436">
        <v>3</v>
      </c>
      <c r="I436">
        <v>12</v>
      </c>
      <c r="J436">
        <v>9</v>
      </c>
      <c r="K436" s="4" t="str" cm="1">
        <f t="array" ref="K436">_xlfn.IFS(stdsurvey[[#This Row],[phq9_score]]="","Answer Not Provided",stdsurvey[[#This Row],[phq9_score]]&lt;=4,"Minimal",stdsurvey[[#This Row],[phq9_score]]&lt;=9,"Mild",stdsurvey[[#This Row],[phq9_score]]&lt;=14,"Moderate",stdsurvey[[#This Row],[phq9_score]]&lt;=19,"Moderately Severe",stdsurvey[[#This Row],[phq9_score]]&lt;=27,"Severe")</f>
        <v>Moderate</v>
      </c>
      <c r="L436">
        <v>18</v>
      </c>
      <c r="M436" s="4" t="str" cm="1">
        <f t="array" ref="M436">_xlfn.IFS(stdsurvey[[#This Row],[gad7_score]]="","Answer Not Provided",stdsurvey[[#This Row],[gad7_score]]&lt;=4,"Minimal",stdsurvey[[#This Row],[gad7_score]]&lt;=9,"Mild",stdsurvey[[#This Row],[gad7_score]]&lt;=14,"Moderate",stdsurvey[[#This Row],[gad7_score]]&lt;=21,"Severe")</f>
        <v>Mild</v>
      </c>
      <c r="N436">
        <v>24.5</v>
      </c>
      <c r="O436" s="4" t="str" cm="1">
        <f t="array" ref="O436">_xlfn.IFS(stdsurvey[[#This Row],[perceived_stress_scale]]="","Answer Not Provided",stdsurvey[[#This Row],[perceived_stress_scale]]&lt;=13,"Low Stress",stdsurvey[[#This Row],[perceived_stress_scale]]&lt;=26,"Moderate Stress",stdsurvey[[#This Row],[perceived_stress_scale]]&lt;=40,"High Stress")</f>
        <v>Moderate Stress</v>
      </c>
      <c r="P436">
        <v>84.9</v>
      </c>
      <c r="Q436">
        <v>5</v>
      </c>
      <c r="R436" s="4" t="str" cm="1">
        <f t="array" ref="R436">_xlfn.IFS(stdsurvey[[#This Row],[class_attendance_percent]]&lt;60,"Less than 0%",stdsurvey[[#This Row],[class_attendance_percent]]&lt;70,"60-70 %",stdsurvey[[#This Row],[class_attendance_percent]]&lt;80, "70-80%",stdsurvey[[#This Row],[class_attendance_percent]]&lt;90,"80-90%",TRUE,"More than 90%")</f>
        <v>80-90%</v>
      </c>
      <c r="S436" t="s">
        <v>22</v>
      </c>
      <c r="T436">
        <v>4</v>
      </c>
      <c r="U436" t="s">
        <v>51</v>
      </c>
      <c r="V436">
        <v>2.72</v>
      </c>
      <c r="W436" s="4" t="str" cm="1">
        <f t="array" ref="W43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36" s="4" t="str" cm="1">
        <f t="array" ref="X436">_xlfn.IFS(stdsurvey[[#This Row],[daily_sleep_hours]]&lt;4,"&lt; 4 hrs",stdsurvey[[#This Row],[daily_sleep_hours]]&lt;=6,"4-6 hrs",stdsurvey[[#This Row],[daily_sleep_hours]]&lt;=8,"6-8 hrs",TRUE,"&gt; 8 hrs")</f>
        <v>6-8 hrs</v>
      </c>
      <c r="Y436" t="s">
        <v>27</v>
      </c>
    </row>
    <row r="437" spans="1:25" x14ac:dyDescent="0.3">
      <c r="A437" t="s">
        <v>471</v>
      </c>
      <c r="B437">
        <v>21</v>
      </c>
      <c r="C437" t="s">
        <v>45</v>
      </c>
      <c r="D437">
        <v>4</v>
      </c>
      <c r="E437" t="s">
        <v>21</v>
      </c>
      <c r="F437">
        <v>6.3</v>
      </c>
      <c r="G437">
        <v>1.6</v>
      </c>
      <c r="H437">
        <v>1</v>
      </c>
      <c r="I437">
        <v>13</v>
      </c>
      <c r="J437">
        <v>10</v>
      </c>
      <c r="K437" s="4" t="str" cm="1">
        <f t="array" ref="K437">_xlfn.IFS(stdsurvey[[#This Row],[phq9_score]]="","Answer Not Provided",stdsurvey[[#This Row],[phq9_score]]&lt;=4,"Minimal",stdsurvey[[#This Row],[phq9_score]]&lt;=9,"Mild",stdsurvey[[#This Row],[phq9_score]]&lt;=14,"Moderate",stdsurvey[[#This Row],[phq9_score]]&lt;=19,"Moderately Severe",stdsurvey[[#This Row],[phq9_score]]&lt;=27,"Severe")</f>
        <v>Moderate</v>
      </c>
      <c r="L437">
        <v>14</v>
      </c>
      <c r="M437" s="4" t="str" cm="1">
        <f t="array" ref="M437">_xlfn.IFS(stdsurvey[[#This Row],[gad7_score]]="","Answer Not Provided",stdsurvey[[#This Row],[gad7_score]]&lt;=4,"Minimal",stdsurvey[[#This Row],[gad7_score]]&lt;=9,"Mild",stdsurvey[[#This Row],[gad7_score]]&lt;=14,"Moderate",stdsurvey[[#This Row],[gad7_score]]&lt;=21,"Severe")</f>
        <v>Moderate</v>
      </c>
      <c r="N437">
        <v>11</v>
      </c>
      <c r="O437" s="4" t="str" cm="1">
        <f t="array" ref="O437">_xlfn.IFS(stdsurvey[[#This Row],[perceived_stress_scale]]="","Answer Not Provided",stdsurvey[[#This Row],[perceived_stress_scale]]&lt;=13,"Low Stress",stdsurvey[[#This Row],[perceived_stress_scale]]&lt;=26,"Moderate Stress",stdsurvey[[#This Row],[perceived_stress_scale]]&lt;=40,"High Stress")</f>
        <v>Moderate Stress</v>
      </c>
      <c r="P437">
        <v>66.2</v>
      </c>
      <c r="Q437">
        <v>1</v>
      </c>
      <c r="R437" s="4" t="str" cm="1">
        <f t="array" ref="R437">_xlfn.IFS(stdsurvey[[#This Row],[class_attendance_percent]]&lt;60,"Less than 0%",stdsurvey[[#This Row],[class_attendance_percent]]&lt;70,"60-70 %",stdsurvey[[#This Row],[class_attendance_percent]]&lt;80, "70-80%",stdsurvey[[#This Row],[class_attendance_percent]]&lt;90,"80-90%",TRUE,"More than 90%")</f>
        <v>60-70 %</v>
      </c>
      <c r="S437" t="s">
        <v>33</v>
      </c>
      <c r="T437">
        <v>5</v>
      </c>
      <c r="U437" t="s">
        <v>23</v>
      </c>
      <c r="V437">
        <v>2.29</v>
      </c>
      <c r="W437" s="4" t="str" cm="1">
        <f t="array" ref="W43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37" s="4" t="str" cm="1">
        <f t="array" ref="X437">_xlfn.IFS(stdsurvey[[#This Row],[daily_sleep_hours]]&lt;4,"&lt; 4 hrs",stdsurvey[[#This Row],[daily_sleep_hours]]&lt;=6,"4-6 hrs",stdsurvey[[#This Row],[daily_sleep_hours]]&lt;=8,"6-8 hrs",TRUE,"&gt; 8 hrs")</f>
        <v>6-8 hrs</v>
      </c>
      <c r="Y437" t="s">
        <v>20</v>
      </c>
    </row>
    <row r="438" spans="1:25" x14ac:dyDescent="0.3">
      <c r="A438" t="s">
        <v>472</v>
      </c>
      <c r="B438">
        <v>18</v>
      </c>
      <c r="C438" t="s">
        <v>20</v>
      </c>
      <c r="D438">
        <v>2</v>
      </c>
      <c r="E438" t="s">
        <v>21</v>
      </c>
      <c r="F438">
        <v>7.2</v>
      </c>
      <c r="G438">
        <v>2.7</v>
      </c>
      <c r="H438">
        <v>4</v>
      </c>
      <c r="I438">
        <v>9</v>
      </c>
      <c r="J438">
        <v>6</v>
      </c>
      <c r="K438" s="4" t="str" cm="1">
        <f t="array" ref="K438">_xlfn.IFS(stdsurvey[[#This Row],[phq9_score]]="","Answer Not Provided",stdsurvey[[#This Row],[phq9_score]]&lt;=4,"Minimal",stdsurvey[[#This Row],[phq9_score]]&lt;=9,"Mild",stdsurvey[[#This Row],[phq9_score]]&lt;=14,"Moderate",stdsurvey[[#This Row],[phq9_score]]&lt;=19,"Moderately Severe",stdsurvey[[#This Row],[phq9_score]]&lt;=27,"Severe")</f>
        <v>Mild</v>
      </c>
      <c r="L438">
        <v>16</v>
      </c>
      <c r="M438" s="4" t="str" cm="1">
        <f t="array" ref="M438">_xlfn.IFS(stdsurvey[[#This Row],[gad7_score]]="","Answer Not Provided",stdsurvey[[#This Row],[gad7_score]]&lt;=4,"Minimal",stdsurvey[[#This Row],[gad7_score]]&lt;=9,"Mild",stdsurvey[[#This Row],[gad7_score]]&lt;=14,"Moderate",stdsurvey[[#This Row],[gad7_score]]&lt;=21,"Severe")</f>
        <v>Mild</v>
      </c>
      <c r="N438">
        <v>19.7</v>
      </c>
      <c r="O438" s="4" t="str" cm="1">
        <f t="array" ref="O438">_xlfn.IFS(stdsurvey[[#This Row],[perceived_stress_scale]]="","Answer Not Provided",stdsurvey[[#This Row],[perceived_stress_scale]]&lt;=13,"Low Stress",stdsurvey[[#This Row],[perceived_stress_scale]]&lt;=26,"Moderate Stress",stdsurvey[[#This Row],[perceived_stress_scale]]&lt;=40,"High Stress")</f>
        <v>Moderate Stress</v>
      </c>
      <c r="P438">
        <v>70.5</v>
      </c>
      <c r="Q438">
        <v>1</v>
      </c>
      <c r="R438" s="4" t="str" cm="1">
        <f t="array" ref="R438">_xlfn.IFS(stdsurvey[[#This Row],[class_attendance_percent]]&lt;60,"Less than 0%",stdsurvey[[#This Row],[class_attendance_percent]]&lt;70,"60-70 %",stdsurvey[[#This Row],[class_attendance_percent]]&lt;80, "70-80%",stdsurvey[[#This Row],[class_attendance_percent]]&lt;90,"80-90%",TRUE,"More than 90%")</f>
        <v>70-80%</v>
      </c>
      <c r="S438" t="s">
        <v>22</v>
      </c>
      <c r="T438">
        <v>1</v>
      </c>
      <c r="U438" t="s">
        <v>26</v>
      </c>
      <c r="V438">
        <v>2.4700000000000002</v>
      </c>
      <c r="W438" s="4" t="str" cm="1">
        <f t="array" ref="W43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38" s="4" t="str" cm="1">
        <f t="array" ref="X438">_xlfn.IFS(stdsurvey[[#This Row],[daily_sleep_hours]]&lt;4,"&lt; 4 hrs",stdsurvey[[#This Row],[daily_sleep_hours]]&lt;=6,"4-6 hrs",stdsurvey[[#This Row],[daily_sleep_hours]]&lt;=8,"6-8 hrs",TRUE,"&gt; 8 hrs")</f>
        <v>6-8 hrs</v>
      </c>
      <c r="Y438" t="s">
        <v>20</v>
      </c>
    </row>
    <row r="439" spans="1:25" x14ac:dyDescent="0.3">
      <c r="A439" t="s">
        <v>473</v>
      </c>
      <c r="B439">
        <v>23</v>
      </c>
      <c r="C439" t="s">
        <v>20</v>
      </c>
      <c r="D439">
        <v>3</v>
      </c>
      <c r="E439" t="s">
        <v>32</v>
      </c>
      <c r="F439">
        <v>8</v>
      </c>
      <c r="G439">
        <v>3.5</v>
      </c>
      <c r="H439">
        <v>5</v>
      </c>
      <c r="I439">
        <v>6</v>
      </c>
      <c r="J439">
        <v>9</v>
      </c>
      <c r="K439" s="4" t="str" cm="1">
        <f t="array" ref="K439">_xlfn.IFS(stdsurvey[[#This Row],[phq9_score]]="","Answer Not Provided",stdsurvey[[#This Row],[phq9_score]]&lt;=4,"Minimal",stdsurvey[[#This Row],[phq9_score]]&lt;=9,"Mild",stdsurvey[[#This Row],[phq9_score]]&lt;=14,"Moderate",stdsurvey[[#This Row],[phq9_score]]&lt;=19,"Moderately Severe",stdsurvey[[#This Row],[phq9_score]]&lt;=27,"Severe")</f>
        <v>Mild</v>
      </c>
      <c r="L439">
        <v>10</v>
      </c>
      <c r="M439" s="4" t="str" cm="1">
        <f t="array" ref="M439">_xlfn.IFS(stdsurvey[[#This Row],[gad7_score]]="","Answer Not Provided",stdsurvey[[#This Row],[gad7_score]]&lt;=4,"Minimal",stdsurvey[[#This Row],[gad7_score]]&lt;=9,"Mild",stdsurvey[[#This Row],[gad7_score]]&lt;=14,"Moderate",stdsurvey[[#This Row],[gad7_score]]&lt;=21,"Severe")</f>
        <v>Mild</v>
      </c>
      <c r="N439">
        <v>13.6</v>
      </c>
      <c r="O439" s="4" t="str" cm="1">
        <f t="array" ref="O439">_xlfn.IFS(stdsurvey[[#This Row],[perceived_stress_scale]]="","Answer Not Provided",stdsurvey[[#This Row],[perceived_stress_scale]]&lt;=13,"Low Stress",stdsurvey[[#This Row],[perceived_stress_scale]]&lt;=26,"Moderate Stress",stdsurvey[[#This Row],[perceived_stress_scale]]&lt;=40,"High Stress")</f>
        <v>Low Stress</v>
      </c>
      <c r="P439">
        <v>61.4</v>
      </c>
      <c r="Q439">
        <v>3</v>
      </c>
      <c r="R439" s="4" t="str" cm="1">
        <f t="array" ref="R439">_xlfn.IFS(stdsurvey[[#This Row],[class_attendance_percent]]&lt;60,"Less than 0%",stdsurvey[[#This Row],[class_attendance_percent]]&lt;70,"60-70 %",stdsurvey[[#This Row],[class_attendance_percent]]&lt;80, "70-80%",stdsurvey[[#This Row],[class_attendance_percent]]&lt;90,"80-90%",TRUE,"More than 90%")</f>
        <v>60-70 %</v>
      </c>
      <c r="S439" t="s">
        <v>33</v>
      </c>
      <c r="T439">
        <v>1</v>
      </c>
      <c r="U439" t="s">
        <v>23</v>
      </c>
      <c r="V439">
        <v>2.99</v>
      </c>
      <c r="W439" s="4" t="str" cm="1">
        <f t="array" ref="W43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39" s="4" t="str" cm="1">
        <f t="array" ref="X439">_xlfn.IFS(stdsurvey[[#This Row],[daily_sleep_hours]]&lt;4,"&lt; 4 hrs",stdsurvey[[#This Row],[daily_sleep_hours]]&lt;=6,"4-6 hrs",stdsurvey[[#This Row],[daily_sleep_hours]]&lt;=8,"6-8 hrs",TRUE,"&gt; 8 hrs")</f>
        <v>6-8 hrs</v>
      </c>
      <c r="Y439" t="s">
        <v>20</v>
      </c>
    </row>
    <row r="440" spans="1:25" x14ac:dyDescent="0.3">
      <c r="A440" t="s">
        <v>474</v>
      </c>
      <c r="B440">
        <v>20</v>
      </c>
      <c r="C440" t="s">
        <v>20</v>
      </c>
      <c r="D440">
        <v>4</v>
      </c>
      <c r="E440" t="s">
        <v>30</v>
      </c>
      <c r="F440">
        <v>5.2</v>
      </c>
      <c r="G440">
        <v>13.2</v>
      </c>
      <c r="H440">
        <v>2</v>
      </c>
      <c r="I440">
        <v>16</v>
      </c>
      <c r="J440">
        <v>13</v>
      </c>
      <c r="K440" s="4" t="str" cm="1">
        <f t="array" ref="K440">_xlfn.IFS(stdsurvey[[#This Row],[phq9_score]]="","Answer Not Provided",stdsurvey[[#This Row],[phq9_score]]&lt;=4,"Minimal",stdsurvey[[#This Row],[phq9_score]]&lt;=9,"Mild",stdsurvey[[#This Row],[phq9_score]]&lt;=14,"Moderate",stdsurvey[[#This Row],[phq9_score]]&lt;=19,"Moderately Severe",stdsurvey[[#This Row],[phq9_score]]&lt;=27,"Severe")</f>
        <v>Moderately Severe</v>
      </c>
      <c r="L440">
        <v>24</v>
      </c>
      <c r="M440" s="4" t="str" cm="1">
        <f t="array" ref="M440">_xlfn.IFS(stdsurvey[[#This Row],[gad7_score]]="","Answer Not Provided",stdsurvey[[#This Row],[gad7_score]]&lt;=4,"Minimal",stdsurvey[[#This Row],[gad7_score]]&lt;=9,"Mild",stdsurvey[[#This Row],[gad7_score]]&lt;=14,"Moderate",stdsurvey[[#This Row],[gad7_score]]&lt;=21,"Severe")</f>
        <v>Moderate</v>
      </c>
      <c r="N440">
        <v>13.6</v>
      </c>
      <c r="O440" s="4" t="str" cm="1">
        <f t="array" ref="O440">_xlfn.IFS(stdsurvey[[#This Row],[perceived_stress_scale]]="","Answer Not Provided",stdsurvey[[#This Row],[perceived_stress_scale]]&lt;=13,"Low Stress",stdsurvey[[#This Row],[perceived_stress_scale]]&lt;=26,"Moderate Stress",stdsurvey[[#This Row],[perceived_stress_scale]]&lt;=40,"High Stress")</f>
        <v>Moderate Stress</v>
      </c>
      <c r="P440">
        <v>68.3</v>
      </c>
      <c r="Q440">
        <v>4</v>
      </c>
      <c r="R440" s="4" t="str" cm="1">
        <f t="array" ref="R440">_xlfn.IFS(stdsurvey[[#This Row],[class_attendance_percent]]&lt;60,"Less than 0%",stdsurvey[[#This Row],[class_attendance_percent]]&lt;70,"60-70 %",stdsurvey[[#This Row],[class_attendance_percent]]&lt;80, "70-80%",stdsurvey[[#This Row],[class_attendance_percent]]&lt;90,"80-90%",TRUE,"More than 90%")</f>
        <v>60-70 %</v>
      </c>
      <c r="S440" t="s">
        <v>33</v>
      </c>
      <c r="T440">
        <v>4</v>
      </c>
      <c r="U440" t="s">
        <v>23</v>
      </c>
      <c r="V440">
        <v>2.64</v>
      </c>
      <c r="W440" s="4" t="str" cm="1">
        <f t="array" ref="W44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440" s="4" t="str" cm="1">
        <f t="array" ref="X440">_xlfn.IFS(stdsurvey[[#This Row],[daily_sleep_hours]]&lt;4,"&lt; 4 hrs",stdsurvey[[#This Row],[daily_sleep_hours]]&lt;=6,"4-6 hrs",stdsurvey[[#This Row],[daily_sleep_hours]]&lt;=8,"6-8 hrs",TRUE,"&gt; 8 hrs")</f>
        <v>4-6 hrs</v>
      </c>
      <c r="Y440" t="s">
        <v>20</v>
      </c>
    </row>
    <row r="441" spans="1:25" x14ac:dyDescent="0.3">
      <c r="A441" t="s">
        <v>475</v>
      </c>
      <c r="B441">
        <v>20</v>
      </c>
      <c r="C441" t="s">
        <v>20</v>
      </c>
      <c r="D441">
        <v>3</v>
      </c>
      <c r="E441" t="s">
        <v>30</v>
      </c>
      <c r="F441">
        <v>7.1</v>
      </c>
      <c r="G441">
        <v>4.5</v>
      </c>
      <c r="H441">
        <v>0</v>
      </c>
      <c r="I441">
        <v>9</v>
      </c>
      <c r="J441">
        <v>6</v>
      </c>
      <c r="K441" s="4" t="str" cm="1">
        <f t="array" ref="K441">_xlfn.IFS(stdsurvey[[#This Row],[phq9_score]]="","Answer Not Provided",stdsurvey[[#This Row],[phq9_score]]&lt;=4,"Minimal",stdsurvey[[#This Row],[phq9_score]]&lt;=9,"Mild",stdsurvey[[#This Row],[phq9_score]]&lt;=14,"Moderate",stdsurvey[[#This Row],[phq9_score]]&lt;=19,"Moderately Severe",stdsurvey[[#This Row],[phq9_score]]&lt;=27,"Severe")</f>
        <v>Mild</v>
      </c>
      <c r="L441">
        <v>13</v>
      </c>
      <c r="M441" s="4" t="str" cm="1">
        <f t="array" ref="M441">_xlfn.IFS(stdsurvey[[#This Row],[gad7_score]]="","Answer Not Provided",stdsurvey[[#This Row],[gad7_score]]&lt;=4,"Minimal",stdsurvey[[#This Row],[gad7_score]]&lt;=9,"Mild",stdsurvey[[#This Row],[gad7_score]]&lt;=14,"Moderate",stdsurvey[[#This Row],[gad7_score]]&lt;=21,"Severe")</f>
        <v>Mild</v>
      </c>
      <c r="N441">
        <v>15.6</v>
      </c>
      <c r="O441" s="4" t="str" cm="1">
        <f t="array" ref="O441">_xlfn.IFS(stdsurvey[[#This Row],[perceived_stress_scale]]="","Answer Not Provided",stdsurvey[[#This Row],[perceived_stress_scale]]&lt;=13,"Low Stress",stdsurvey[[#This Row],[perceived_stress_scale]]&lt;=26,"Moderate Stress",stdsurvey[[#This Row],[perceived_stress_scale]]&lt;=40,"High Stress")</f>
        <v>Low Stress</v>
      </c>
      <c r="P441">
        <v>100</v>
      </c>
      <c r="Q441">
        <v>2</v>
      </c>
      <c r="R441" s="4" t="str" cm="1">
        <f t="array" ref="R441">_xlfn.IFS(stdsurvey[[#This Row],[class_attendance_percent]]&lt;60,"Less than 0%",stdsurvey[[#This Row],[class_attendance_percent]]&lt;70,"60-70 %",stdsurvey[[#This Row],[class_attendance_percent]]&lt;80, "70-80%",stdsurvey[[#This Row],[class_attendance_percent]]&lt;90,"80-90%",TRUE,"More than 90%")</f>
        <v>More than 90%</v>
      </c>
      <c r="S441" t="s">
        <v>22</v>
      </c>
      <c r="T441">
        <v>1</v>
      </c>
      <c r="U441" t="s">
        <v>26</v>
      </c>
      <c r="V441">
        <v>3.43</v>
      </c>
      <c r="W441" s="4" t="str" cm="1">
        <f t="array" ref="W44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41" s="4" t="str" cm="1">
        <f t="array" ref="X441">_xlfn.IFS(stdsurvey[[#This Row],[daily_sleep_hours]]&lt;4,"&lt; 4 hrs",stdsurvey[[#This Row],[daily_sleep_hours]]&lt;=6,"4-6 hrs",stdsurvey[[#This Row],[daily_sleep_hours]]&lt;=8,"6-8 hrs",TRUE,"&gt; 8 hrs")</f>
        <v>6-8 hrs</v>
      </c>
      <c r="Y441" t="s">
        <v>20</v>
      </c>
    </row>
    <row r="442" spans="1:25" x14ac:dyDescent="0.3">
      <c r="A442" t="s">
        <v>476</v>
      </c>
      <c r="B442">
        <v>19</v>
      </c>
      <c r="C442" t="s">
        <v>20</v>
      </c>
      <c r="D442">
        <v>2</v>
      </c>
      <c r="E442" t="s">
        <v>32</v>
      </c>
      <c r="F442">
        <v>4.9000000000000004</v>
      </c>
      <c r="G442">
        <v>8.5</v>
      </c>
      <c r="H442">
        <v>3</v>
      </c>
      <c r="I442">
        <v>1</v>
      </c>
      <c r="J442">
        <v>2</v>
      </c>
      <c r="K442" s="4" t="str" cm="1">
        <f t="array" ref="K442">_xlfn.IFS(stdsurvey[[#This Row],[phq9_score]]="","Answer Not Provided",stdsurvey[[#This Row],[phq9_score]]&lt;=4,"Minimal",stdsurvey[[#This Row],[phq9_score]]&lt;=9,"Mild",stdsurvey[[#This Row],[phq9_score]]&lt;=14,"Moderate",stdsurvey[[#This Row],[phq9_score]]&lt;=19,"Moderately Severe",stdsurvey[[#This Row],[phq9_score]]&lt;=27,"Severe")</f>
        <v>Minimal</v>
      </c>
      <c r="L442">
        <v>5</v>
      </c>
      <c r="M442" s="4" t="str" cm="1">
        <f t="array" ref="M442">_xlfn.IFS(stdsurvey[[#This Row],[gad7_score]]="","Answer Not Provided",stdsurvey[[#This Row],[gad7_score]]&lt;=4,"Minimal",stdsurvey[[#This Row],[gad7_score]]&lt;=9,"Mild",stdsurvey[[#This Row],[gad7_score]]&lt;=14,"Moderate",stdsurvey[[#This Row],[gad7_score]]&lt;=21,"Severe")</f>
        <v>Minimal</v>
      </c>
      <c r="N442">
        <v>22.9</v>
      </c>
      <c r="O442" s="4" t="str" cm="1">
        <f t="array" ref="O442">_xlfn.IFS(stdsurvey[[#This Row],[perceived_stress_scale]]="","Answer Not Provided",stdsurvey[[#This Row],[perceived_stress_scale]]&lt;=13,"Low Stress",stdsurvey[[#This Row],[perceived_stress_scale]]&lt;=26,"Moderate Stress",stdsurvey[[#This Row],[perceived_stress_scale]]&lt;=40,"High Stress")</f>
        <v>Low Stress</v>
      </c>
      <c r="P442">
        <v>76.900000000000006</v>
      </c>
      <c r="Q442">
        <v>3</v>
      </c>
      <c r="R442" s="4" t="str" cm="1">
        <f t="array" ref="R442">_xlfn.IFS(stdsurvey[[#This Row],[class_attendance_percent]]&lt;60,"Less than 0%",stdsurvey[[#This Row],[class_attendance_percent]]&lt;70,"60-70 %",stdsurvey[[#This Row],[class_attendance_percent]]&lt;80, "70-80%",stdsurvey[[#This Row],[class_attendance_percent]]&lt;90,"80-90%",TRUE,"More than 90%")</f>
        <v>70-80%</v>
      </c>
      <c r="S442" t="s">
        <v>22</v>
      </c>
      <c r="T442">
        <v>1</v>
      </c>
      <c r="U442" t="s">
        <v>51</v>
      </c>
      <c r="V442">
        <v>2.86</v>
      </c>
      <c r="W442" s="4" t="str" cm="1">
        <f t="array" ref="W44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42" s="4" t="str" cm="1">
        <f t="array" ref="X442">_xlfn.IFS(stdsurvey[[#This Row],[daily_sleep_hours]]&lt;4,"&lt; 4 hrs",stdsurvey[[#This Row],[daily_sleep_hours]]&lt;=6,"4-6 hrs",stdsurvey[[#This Row],[daily_sleep_hours]]&lt;=8,"6-8 hrs",TRUE,"&gt; 8 hrs")</f>
        <v>4-6 hrs</v>
      </c>
      <c r="Y442" t="s">
        <v>20</v>
      </c>
    </row>
    <row r="443" spans="1:25" x14ac:dyDescent="0.3">
      <c r="A443" t="s">
        <v>477</v>
      </c>
      <c r="B443">
        <v>20</v>
      </c>
      <c r="C443" t="s">
        <v>27</v>
      </c>
      <c r="D443">
        <v>3</v>
      </c>
      <c r="E443" t="s">
        <v>21</v>
      </c>
      <c r="F443">
        <v>7.4</v>
      </c>
      <c r="G443">
        <v>3.2</v>
      </c>
      <c r="H443">
        <v>2</v>
      </c>
      <c r="I443">
        <v>4</v>
      </c>
      <c r="J443">
        <v>6</v>
      </c>
      <c r="K443" s="4" t="str" cm="1">
        <f t="array" ref="K443">_xlfn.IFS(stdsurvey[[#This Row],[phq9_score]]="","Answer Not Provided",stdsurvey[[#This Row],[phq9_score]]&lt;=4,"Minimal",stdsurvey[[#This Row],[phq9_score]]&lt;=9,"Mild",stdsurvey[[#This Row],[phq9_score]]&lt;=14,"Moderate",stdsurvey[[#This Row],[phq9_score]]&lt;=19,"Moderately Severe",stdsurvey[[#This Row],[phq9_score]]&lt;=27,"Severe")</f>
        <v>Minimal</v>
      </c>
      <c r="L443">
        <v>15</v>
      </c>
      <c r="M443" s="4" t="str" cm="1">
        <f t="array" ref="M443">_xlfn.IFS(stdsurvey[[#This Row],[gad7_score]]="","Answer Not Provided",stdsurvey[[#This Row],[gad7_score]]&lt;=4,"Minimal",stdsurvey[[#This Row],[gad7_score]]&lt;=9,"Mild",stdsurvey[[#This Row],[gad7_score]]&lt;=14,"Moderate",stdsurvey[[#This Row],[gad7_score]]&lt;=21,"Severe")</f>
        <v>Mild</v>
      </c>
      <c r="N443">
        <v>20</v>
      </c>
      <c r="O443" s="4" t="str" cm="1">
        <f t="array" ref="O443">_xlfn.IFS(stdsurvey[[#This Row],[perceived_stress_scale]]="","Answer Not Provided",stdsurvey[[#This Row],[perceived_stress_scale]]&lt;=13,"Low Stress",stdsurvey[[#This Row],[perceived_stress_scale]]&lt;=26,"Moderate Stress",stdsurvey[[#This Row],[perceived_stress_scale]]&lt;=40,"High Stress")</f>
        <v>Moderate Stress</v>
      </c>
      <c r="P443">
        <v>71.900000000000006</v>
      </c>
      <c r="Q443">
        <v>4</v>
      </c>
      <c r="R443" s="4" t="str" cm="1">
        <f t="array" ref="R443">_xlfn.IFS(stdsurvey[[#This Row],[class_attendance_percent]]&lt;60,"Less than 0%",stdsurvey[[#This Row],[class_attendance_percent]]&lt;70,"60-70 %",stdsurvey[[#This Row],[class_attendance_percent]]&lt;80, "70-80%",stdsurvey[[#This Row],[class_attendance_percent]]&lt;90,"80-90%",TRUE,"More than 90%")</f>
        <v>70-80%</v>
      </c>
      <c r="S443" t="s">
        <v>33</v>
      </c>
      <c r="T443">
        <v>5</v>
      </c>
      <c r="U443" t="s">
        <v>23</v>
      </c>
      <c r="V443">
        <v>2.89</v>
      </c>
      <c r="W443" s="4" t="str" cm="1">
        <f t="array" ref="W44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43" s="4" t="str" cm="1">
        <f t="array" ref="X443">_xlfn.IFS(stdsurvey[[#This Row],[daily_sleep_hours]]&lt;4,"&lt; 4 hrs",stdsurvey[[#This Row],[daily_sleep_hours]]&lt;=6,"4-6 hrs",stdsurvey[[#This Row],[daily_sleep_hours]]&lt;=8,"6-8 hrs",TRUE,"&gt; 8 hrs")</f>
        <v>6-8 hrs</v>
      </c>
      <c r="Y443" t="s">
        <v>27</v>
      </c>
    </row>
    <row r="444" spans="1:25" x14ac:dyDescent="0.3">
      <c r="A444" t="s">
        <v>478</v>
      </c>
      <c r="B444">
        <v>22</v>
      </c>
      <c r="C444" t="s">
        <v>29</v>
      </c>
      <c r="D444">
        <v>3</v>
      </c>
      <c r="E444" t="s">
        <v>49</v>
      </c>
      <c r="F444">
        <v>5.8</v>
      </c>
      <c r="G444">
        <v>2.9</v>
      </c>
      <c r="H444">
        <v>4</v>
      </c>
      <c r="I444">
        <v>6</v>
      </c>
      <c r="J444">
        <v>5</v>
      </c>
      <c r="K444" s="4" t="str" cm="1">
        <f t="array" ref="K444">_xlfn.IFS(stdsurvey[[#This Row],[phq9_score]]="","Answer Not Provided",stdsurvey[[#This Row],[phq9_score]]&lt;=4,"Minimal",stdsurvey[[#This Row],[phq9_score]]&lt;=9,"Mild",stdsurvey[[#This Row],[phq9_score]]&lt;=14,"Moderate",stdsurvey[[#This Row],[phq9_score]]&lt;=19,"Moderately Severe",stdsurvey[[#This Row],[phq9_score]]&lt;=27,"Severe")</f>
        <v>Mild</v>
      </c>
      <c r="L444">
        <v>13</v>
      </c>
      <c r="M444" s="4" t="str" cm="1">
        <f t="array" ref="M444">_xlfn.IFS(stdsurvey[[#This Row],[gad7_score]]="","Answer Not Provided",stdsurvey[[#This Row],[gad7_score]]&lt;=4,"Minimal",stdsurvey[[#This Row],[gad7_score]]&lt;=9,"Mild",stdsurvey[[#This Row],[gad7_score]]&lt;=14,"Moderate",stdsurvey[[#This Row],[gad7_score]]&lt;=21,"Severe")</f>
        <v>Mild</v>
      </c>
      <c r="N444">
        <v>10.1</v>
      </c>
      <c r="O444" s="4" t="str" cm="1">
        <f t="array" ref="O444">_xlfn.IFS(stdsurvey[[#This Row],[perceived_stress_scale]]="","Answer Not Provided",stdsurvey[[#This Row],[perceived_stress_scale]]&lt;=13,"Low Stress",stdsurvey[[#This Row],[perceived_stress_scale]]&lt;=26,"Moderate Stress",stdsurvey[[#This Row],[perceived_stress_scale]]&lt;=40,"High Stress")</f>
        <v>Low Stress</v>
      </c>
      <c r="P444">
        <v>95.5</v>
      </c>
      <c r="Q444">
        <v>2</v>
      </c>
      <c r="R444" s="4" t="str" cm="1">
        <f t="array" ref="R444">_xlfn.IFS(stdsurvey[[#This Row],[class_attendance_percent]]&lt;60,"Less than 0%",stdsurvey[[#This Row],[class_attendance_percent]]&lt;70,"60-70 %",stdsurvey[[#This Row],[class_attendance_percent]]&lt;80, "70-80%",stdsurvey[[#This Row],[class_attendance_percent]]&lt;90,"80-90%",TRUE,"More than 90%")</f>
        <v>More than 90%</v>
      </c>
      <c r="S444" t="s">
        <v>22</v>
      </c>
      <c r="T444">
        <v>4</v>
      </c>
      <c r="U444" t="s">
        <v>51</v>
      </c>
      <c r="V444">
        <v>2.85</v>
      </c>
      <c r="W444" s="4" t="str" cm="1">
        <f t="array" ref="W44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44" s="4" t="str" cm="1">
        <f t="array" ref="X444">_xlfn.IFS(stdsurvey[[#This Row],[daily_sleep_hours]]&lt;4,"&lt; 4 hrs",stdsurvey[[#This Row],[daily_sleep_hours]]&lt;=6,"4-6 hrs",stdsurvey[[#This Row],[daily_sleep_hours]]&lt;=8,"6-8 hrs",TRUE,"&gt; 8 hrs")</f>
        <v>4-6 hrs</v>
      </c>
      <c r="Y444" t="s">
        <v>29</v>
      </c>
    </row>
    <row r="445" spans="1:25" x14ac:dyDescent="0.3">
      <c r="A445" t="s">
        <v>479</v>
      </c>
      <c r="B445">
        <v>21</v>
      </c>
      <c r="C445" t="s">
        <v>25</v>
      </c>
      <c r="D445">
        <v>5</v>
      </c>
      <c r="E445" t="s">
        <v>30</v>
      </c>
      <c r="F445">
        <v>7.9</v>
      </c>
      <c r="G445">
        <v>1.1000000000000001</v>
      </c>
      <c r="H445">
        <v>2</v>
      </c>
      <c r="I445">
        <v>14</v>
      </c>
      <c r="J445">
        <v>10</v>
      </c>
      <c r="K445" s="4" t="str" cm="1">
        <f t="array" ref="K445">_xlfn.IFS(stdsurvey[[#This Row],[phq9_score]]="","Answer Not Provided",stdsurvey[[#This Row],[phq9_score]]&lt;=4,"Minimal",stdsurvey[[#This Row],[phq9_score]]&lt;=9,"Mild",stdsurvey[[#This Row],[phq9_score]]&lt;=14,"Moderate",stdsurvey[[#This Row],[phq9_score]]&lt;=19,"Moderately Severe",stdsurvey[[#This Row],[phq9_score]]&lt;=27,"Severe")</f>
        <v>Moderate</v>
      </c>
      <c r="L445">
        <v>22</v>
      </c>
      <c r="M445" s="4" t="str" cm="1">
        <f t="array" ref="M445">_xlfn.IFS(stdsurvey[[#This Row],[gad7_score]]="","Answer Not Provided",stdsurvey[[#This Row],[gad7_score]]&lt;=4,"Minimal",stdsurvey[[#This Row],[gad7_score]]&lt;=9,"Mild",stdsurvey[[#This Row],[gad7_score]]&lt;=14,"Moderate",stdsurvey[[#This Row],[gad7_score]]&lt;=21,"Severe")</f>
        <v>Moderate</v>
      </c>
      <c r="N445">
        <v>26.7</v>
      </c>
      <c r="O445" s="4" t="str" cm="1">
        <f t="array" ref="O445">_xlfn.IFS(stdsurvey[[#This Row],[perceived_stress_scale]]="","Answer Not Provided",stdsurvey[[#This Row],[perceived_stress_scale]]&lt;=13,"Low Stress",stdsurvey[[#This Row],[perceived_stress_scale]]&lt;=26,"Moderate Stress",stdsurvey[[#This Row],[perceived_stress_scale]]&lt;=40,"High Stress")</f>
        <v>Moderate Stress</v>
      </c>
      <c r="P445">
        <v>73.400000000000006</v>
      </c>
      <c r="Q445">
        <v>5</v>
      </c>
      <c r="R445" s="4" t="str" cm="1">
        <f t="array" ref="R445">_xlfn.IFS(stdsurvey[[#This Row],[class_attendance_percent]]&lt;60,"Less than 0%",stdsurvey[[#This Row],[class_attendance_percent]]&lt;70,"60-70 %",stdsurvey[[#This Row],[class_attendance_percent]]&lt;80, "70-80%",stdsurvey[[#This Row],[class_attendance_percent]]&lt;90,"80-90%",TRUE,"More than 90%")</f>
        <v>70-80%</v>
      </c>
      <c r="S445" t="s">
        <v>22</v>
      </c>
      <c r="T445">
        <v>5</v>
      </c>
      <c r="U445" t="s">
        <v>23</v>
      </c>
      <c r="V445">
        <v>3.41</v>
      </c>
      <c r="W445" s="4" t="str" cm="1">
        <f t="array" ref="W44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45" s="4" t="str" cm="1">
        <f t="array" ref="X445">_xlfn.IFS(stdsurvey[[#This Row],[daily_sleep_hours]]&lt;4,"&lt; 4 hrs",stdsurvey[[#This Row],[daily_sleep_hours]]&lt;=6,"4-6 hrs",stdsurvey[[#This Row],[daily_sleep_hours]]&lt;=8,"6-8 hrs",TRUE,"&gt; 8 hrs")</f>
        <v>6-8 hrs</v>
      </c>
      <c r="Y445" t="s">
        <v>27</v>
      </c>
    </row>
    <row r="446" spans="1:25" x14ac:dyDescent="0.3">
      <c r="A446" t="s">
        <v>480</v>
      </c>
      <c r="B446">
        <v>22</v>
      </c>
      <c r="C446" t="s">
        <v>39</v>
      </c>
      <c r="D446">
        <v>2</v>
      </c>
      <c r="E446" t="s">
        <v>30</v>
      </c>
      <c r="F446">
        <v>8</v>
      </c>
      <c r="G446">
        <v>12.9</v>
      </c>
      <c r="H446">
        <v>5</v>
      </c>
      <c r="I446">
        <v>5</v>
      </c>
      <c r="J446">
        <v>4</v>
      </c>
      <c r="K446" s="4" t="str" cm="1">
        <f t="array" ref="K446">_xlfn.IFS(stdsurvey[[#This Row],[phq9_score]]="","Answer Not Provided",stdsurvey[[#This Row],[phq9_score]]&lt;=4,"Minimal",stdsurvey[[#This Row],[phq9_score]]&lt;=9,"Mild",stdsurvey[[#This Row],[phq9_score]]&lt;=14,"Moderate",stdsurvey[[#This Row],[phq9_score]]&lt;=19,"Moderately Severe",stdsurvey[[#This Row],[phq9_score]]&lt;=27,"Severe")</f>
        <v>Mild</v>
      </c>
      <c r="L446">
        <v>11</v>
      </c>
      <c r="M446" s="4" t="str" cm="1">
        <f t="array" ref="M446">_xlfn.IFS(stdsurvey[[#This Row],[gad7_score]]="","Answer Not Provided",stdsurvey[[#This Row],[gad7_score]]&lt;=4,"Minimal",stdsurvey[[#This Row],[gad7_score]]&lt;=9,"Mild",stdsurvey[[#This Row],[gad7_score]]&lt;=14,"Moderate",stdsurvey[[#This Row],[gad7_score]]&lt;=21,"Severe")</f>
        <v>Minimal</v>
      </c>
      <c r="N446">
        <v>35.6</v>
      </c>
      <c r="O446" s="4" t="str" cm="1">
        <f t="array" ref="O446">_xlfn.IFS(stdsurvey[[#This Row],[perceived_stress_scale]]="","Answer Not Provided",stdsurvey[[#This Row],[perceived_stress_scale]]&lt;=13,"Low Stress",stdsurvey[[#This Row],[perceived_stress_scale]]&lt;=26,"Moderate Stress",stdsurvey[[#This Row],[perceived_stress_scale]]&lt;=40,"High Stress")</f>
        <v>Low Stress</v>
      </c>
      <c r="P446">
        <v>100</v>
      </c>
      <c r="Q446">
        <v>3</v>
      </c>
      <c r="R446" s="4" t="str" cm="1">
        <f t="array" ref="R446">_xlfn.IFS(stdsurvey[[#This Row],[class_attendance_percent]]&lt;60,"Less than 0%",stdsurvey[[#This Row],[class_attendance_percent]]&lt;70,"60-70 %",stdsurvey[[#This Row],[class_attendance_percent]]&lt;80, "70-80%",stdsurvey[[#This Row],[class_attendance_percent]]&lt;90,"80-90%",TRUE,"More than 90%")</f>
        <v>More than 90%</v>
      </c>
      <c r="S446" t="s">
        <v>22</v>
      </c>
      <c r="T446">
        <v>4</v>
      </c>
      <c r="U446" t="s">
        <v>26</v>
      </c>
      <c r="V446">
        <v>3.92</v>
      </c>
      <c r="W446" s="4" t="str" cm="1">
        <f t="array" ref="W44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12-16 hrs</v>
      </c>
      <c r="X446" s="4" t="str" cm="1">
        <f t="array" ref="X446">_xlfn.IFS(stdsurvey[[#This Row],[daily_sleep_hours]]&lt;4,"&lt; 4 hrs",stdsurvey[[#This Row],[daily_sleep_hours]]&lt;=6,"4-6 hrs",stdsurvey[[#This Row],[daily_sleep_hours]]&lt;=8,"6-8 hrs",TRUE,"&gt; 8 hrs")</f>
        <v>6-8 hrs</v>
      </c>
      <c r="Y446" t="s">
        <v>27</v>
      </c>
    </row>
    <row r="447" spans="1:25" x14ac:dyDescent="0.3">
      <c r="A447" t="s">
        <v>481</v>
      </c>
      <c r="B447">
        <v>22</v>
      </c>
      <c r="C447" t="s">
        <v>20</v>
      </c>
      <c r="D447">
        <v>2</v>
      </c>
      <c r="E447" t="s">
        <v>30</v>
      </c>
      <c r="F447">
        <v>5.3</v>
      </c>
      <c r="G447">
        <v>10.199999999999999</v>
      </c>
      <c r="H447">
        <v>2</v>
      </c>
      <c r="I447">
        <v>1</v>
      </c>
      <c r="J447">
        <v>3</v>
      </c>
      <c r="K447" s="4" t="str" cm="1">
        <f t="array" ref="K447">_xlfn.IFS(stdsurvey[[#This Row],[phq9_score]]="","Answer Not Provided",stdsurvey[[#This Row],[phq9_score]]&lt;=4,"Minimal",stdsurvey[[#This Row],[phq9_score]]&lt;=9,"Mild",stdsurvey[[#This Row],[phq9_score]]&lt;=14,"Moderate",stdsurvey[[#This Row],[phq9_score]]&lt;=19,"Moderately Severe",stdsurvey[[#This Row],[phq9_score]]&lt;=27,"Severe")</f>
        <v>Minimal</v>
      </c>
      <c r="L447">
        <v>6</v>
      </c>
      <c r="M447" s="4" t="str" cm="1">
        <f t="array" ref="M447">_xlfn.IFS(stdsurvey[[#This Row],[gad7_score]]="","Answer Not Provided",stdsurvey[[#This Row],[gad7_score]]&lt;=4,"Minimal",stdsurvey[[#This Row],[gad7_score]]&lt;=9,"Mild",stdsurvey[[#This Row],[gad7_score]]&lt;=14,"Moderate",stdsurvey[[#This Row],[gad7_score]]&lt;=21,"Severe")</f>
        <v>Minimal</v>
      </c>
      <c r="N447">
        <v>23.5</v>
      </c>
      <c r="O447" s="4" t="str" cm="1">
        <f t="array" ref="O447">_xlfn.IFS(stdsurvey[[#This Row],[perceived_stress_scale]]="","Answer Not Provided",stdsurvey[[#This Row],[perceived_stress_scale]]&lt;=13,"Low Stress",stdsurvey[[#This Row],[perceived_stress_scale]]&lt;=26,"Moderate Stress",stdsurvey[[#This Row],[perceived_stress_scale]]&lt;=40,"High Stress")</f>
        <v>Low Stress</v>
      </c>
      <c r="P447">
        <v>100</v>
      </c>
      <c r="Q447">
        <v>4</v>
      </c>
      <c r="R447" s="4" t="str" cm="1">
        <f t="array" ref="R447">_xlfn.IFS(stdsurvey[[#This Row],[class_attendance_percent]]&lt;60,"Less than 0%",stdsurvey[[#This Row],[class_attendance_percent]]&lt;70,"60-70 %",stdsurvey[[#This Row],[class_attendance_percent]]&lt;80, "70-80%",stdsurvey[[#This Row],[class_attendance_percent]]&lt;90,"80-90%",TRUE,"More than 90%")</f>
        <v>More than 90%</v>
      </c>
      <c r="S447" t="s">
        <v>22</v>
      </c>
      <c r="T447">
        <v>3</v>
      </c>
      <c r="U447" t="s">
        <v>51</v>
      </c>
      <c r="V447">
        <v>3.41</v>
      </c>
      <c r="W447" s="4" t="str" cm="1">
        <f t="array" ref="W44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47" s="4" t="str" cm="1">
        <f t="array" ref="X447">_xlfn.IFS(stdsurvey[[#This Row],[daily_sleep_hours]]&lt;4,"&lt; 4 hrs",stdsurvey[[#This Row],[daily_sleep_hours]]&lt;=6,"4-6 hrs",stdsurvey[[#This Row],[daily_sleep_hours]]&lt;=8,"6-8 hrs",TRUE,"&gt; 8 hrs")</f>
        <v>4-6 hrs</v>
      </c>
      <c r="Y447" t="s">
        <v>20</v>
      </c>
    </row>
    <row r="448" spans="1:25" x14ac:dyDescent="0.3">
      <c r="A448" t="s">
        <v>482</v>
      </c>
      <c r="B448">
        <v>24</v>
      </c>
      <c r="C448" t="s">
        <v>27</v>
      </c>
      <c r="D448">
        <v>4</v>
      </c>
      <c r="E448" t="s">
        <v>21</v>
      </c>
      <c r="F448">
        <v>3.7</v>
      </c>
      <c r="G448">
        <v>5.0999999999999996</v>
      </c>
      <c r="H448">
        <v>1</v>
      </c>
      <c r="I448">
        <v>2</v>
      </c>
      <c r="J448">
        <v>3</v>
      </c>
      <c r="K448" s="4" t="str" cm="1">
        <f t="array" ref="K448">_xlfn.IFS(stdsurvey[[#This Row],[phq9_score]]="","Answer Not Provided",stdsurvey[[#This Row],[phq9_score]]&lt;=4,"Minimal",stdsurvey[[#This Row],[phq9_score]]&lt;=9,"Mild",stdsurvey[[#This Row],[phq9_score]]&lt;=14,"Moderate",stdsurvey[[#This Row],[phq9_score]]&lt;=19,"Moderately Severe",stdsurvey[[#This Row],[phq9_score]]&lt;=27,"Severe")</f>
        <v>Minimal</v>
      </c>
      <c r="L448">
        <v>9</v>
      </c>
      <c r="M448" s="4" t="str" cm="1">
        <f t="array" ref="M448">_xlfn.IFS(stdsurvey[[#This Row],[gad7_score]]="","Answer Not Provided",stdsurvey[[#This Row],[gad7_score]]&lt;=4,"Minimal",stdsurvey[[#This Row],[gad7_score]]&lt;=9,"Mild",stdsurvey[[#This Row],[gad7_score]]&lt;=14,"Moderate",stdsurvey[[#This Row],[gad7_score]]&lt;=21,"Severe")</f>
        <v>Minimal</v>
      </c>
      <c r="N448">
        <v>29.8</v>
      </c>
      <c r="O448" s="4" t="str" cm="1">
        <f t="array" ref="O448">_xlfn.IFS(stdsurvey[[#This Row],[perceived_stress_scale]]="","Answer Not Provided",stdsurvey[[#This Row],[perceived_stress_scale]]&lt;=13,"Low Stress",stdsurvey[[#This Row],[perceived_stress_scale]]&lt;=26,"Moderate Stress",stdsurvey[[#This Row],[perceived_stress_scale]]&lt;=40,"High Stress")</f>
        <v>Low Stress</v>
      </c>
      <c r="P448">
        <v>84.7</v>
      </c>
      <c r="Q448">
        <v>2</v>
      </c>
      <c r="R448" s="4" t="str" cm="1">
        <f t="array" ref="R448">_xlfn.IFS(stdsurvey[[#This Row],[class_attendance_percent]]&lt;60,"Less than 0%",stdsurvey[[#This Row],[class_attendance_percent]]&lt;70,"60-70 %",stdsurvey[[#This Row],[class_attendance_percent]]&lt;80, "70-80%",stdsurvey[[#This Row],[class_attendance_percent]]&lt;90,"80-90%",TRUE,"More than 90%")</f>
        <v>80-90%</v>
      </c>
      <c r="S448" t="s">
        <v>22</v>
      </c>
      <c r="T448">
        <v>5</v>
      </c>
      <c r="U448" t="s">
        <v>23</v>
      </c>
      <c r="V448">
        <v>3.22</v>
      </c>
      <c r="W448" s="4" t="str" cm="1">
        <f t="array" ref="W44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48" s="4" t="str" cm="1">
        <f t="array" ref="X448">_xlfn.IFS(stdsurvey[[#This Row],[daily_sleep_hours]]&lt;4,"&lt; 4 hrs",stdsurvey[[#This Row],[daily_sleep_hours]]&lt;=6,"4-6 hrs",stdsurvey[[#This Row],[daily_sleep_hours]]&lt;=8,"6-8 hrs",TRUE,"&gt; 8 hrs")</f>
        <v>&lt; 4 hrs</v>
      </c>
      <c r="Y448" t="s">
        <v>27</v>
      </c>
    </row>
    <row r="449" spans="1:25" x14ac:dyDescent="0.3">
      <c r="A449" t="s">
        <v>483</v>
      </c>
      <c r="B449">
        <v>21</v>
      </c>
      <c r="C449" t="s">
        <v>45</v>
      </c>
      <c r="D449">
        <v>3</v>
      </c>
      <c r="E449" t="s">
        <v>21</v>
      </c>
      <c r="F449">
        <v>5.8</v>
      </c>
      <c r="G449">
        <v>3.7</v>
      </c>
      <c r="H449">
        <v>2</v>
      </c>
      <c r="I449">
        <v>3</v>
      </c>
      <c r="J449">
        <v>3</v>
      </c>
      <c r="K449" s="4" t="str" cm="1">
        <f t="array" ref="K449">_xlfn.IFS(stdsurvey[[#This Row],[phq9_score]]="","Answer Not Provided",stdsurvey[[#This Row],[phq9_score]]&lt;=4,"Minimal",stdsurvey[[#This Row],[phq9_score]]&lt;=9,"Mild",stdsurvey[[#This Row],[phq9_score]]&lt;=14,"Moderate",stdsurvey[[#This Row],[phq9_score]]&lt;=19,"Moderately Severe",stdsurvey[[#This Row],[phq9_score]]&lt;=27,"Severe")</f>
        <v>Minimal</v>
      </c>
      <c r="L449">
        <v>12</v>
      </c>
      <c r="M449" s="4" t="str" cm="1">
        <f t="array" ref="M449">_xlfn.IFS(stdsurvey[[#This Row],[gad7_score]]="","Answer Not Provided",stdsurvey[[#This Row],[gad7_score]]&lt;=4,"Minimal",stdsurvey[[#This Row],[gad7_score]]&lt;=9,"Mild",stdsurvey[[#This Row],[gad7_score]]&lt;=14,"Moderate",stdsurvey[[#This Row],[gad7_score]]&lt;=21,"Severe")</f>
        <v>Minimal</v>
      </c>
      <c r="N449">
        <v>25.9</v>
      </c>
      <c r="O449" s="4" t="str" cm="1">
        <f t="array" ref="O449">_xlfn.IFS(stdsurvey[[#This Row],[perceived_stress_scale]]="","Answer Not Provided",stdsurvey[[#This Row],[perceived_stress_scale]]&lt;=13,"Low Stress",stdsurvey[[#This Row],[perceived_stress_scale]]&lt;=26,"Moderate Stress",stdsurvey[[#This Row],[perceived_stress_scale]]&lt;=40,"High Stress")</f>
        <v>Low Stress</v>
      </c>
      <c r="P449">
        <v>59.1</v>
      </c>
      <c r="Q449">
        <v>4</v>
      </c>
      <c r="R449" s="4" t="str" cm="1">
        <f t="array" ref="R449">_xlfn.IFS(stdsurvey[[#This Row],[class_attendance_percent]]&lt;60,"Less than 0%",stdsurvey[[#This Row],[class_attendance_percent]]&lt;70,"60-70 %",stdsurvey[[#This Row],[class_attendance_percent]]&lt;80, "70-80%",stdsurvey[[#This Row],[class_attendance_percent]]&lt;90,"80-90%",TRUE,"More than 90%")</f>
        <v>Less than 0%</v>
      </c>
      <c r="S449" t="s">
        <v>33</v>
      </c>
      <c r="T449">
        <v>2</v>
      </c>
      <c r="U449" t="s">
        <v>23</v>
      </c>
      <c r="V449">
        <v>3.14</v>
      </c>
      <c r="W449" s="4" t="str" cm="1">
        <f t="array" ref="W44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49" s="4" t="str" cm="1">
        <f t="array" ref="X449">_xlfn.IFS(stdsurvey[[#This Row],[daily_sleep_hours]]&lt;4,"&lt; 4 hrs",stdsurvey[[#This Row],[daily_sleep_hours]]&lt;=6,"4-6 hrs",stdsurvey[[#This Row],[daily_sleep_hours]]&lt;=8,"6-8 hrs",TRUE,"&gt; 8 hrs")</f>
        <v>4-6 hrs</v>
      </c>
      <c r="Y449" t="s">
        <v>20</v>
      </c>
    </row>
    <row r="450" spans="1:25" x14ac:dyDescent="0.3">
      <c r="A450" t="s">
        <v>484</v>
      </c>
      <c r="B450">
        <v>18</v>
      </c>
      <c r="C450" t="s">
        <v>20</v>
      </c>
      <c r="D450">
        <v>4</v>
      </c>
      <c r="E450" t="s">
        <v>47</v>
      </c>
      <c r="F450">
        <v>8</v>
      </c>
      <c r="G450">
        <v>4.5999999999999996</v>
      </c>
      <c r="H450">
        <v>0</v>
      </c>
      <c r="I450">
        <v>1</v>
      </c>
      <c r="J450">
        <v>0</v>
      </c>
      <c r="K450" s="4" t="str" cm="1">
        <f t="array" ref="K450">_xlfn.IFS(stdsurvey[[#This Row],[phq9_score]]="","Answer Not Provided",stdsurvey[[#This Row],[phq9_score]]&lt;=4,"Minimal",stdsurvey[[#This Row],[phq9_score]]&lt;=9,"Mild",stdsurvey[[#This Row],[phq9_score]]&lt;=14,"Moderate",stdsurvey[[#This Row],[phq9_score]]&lt;=19,"Moderately Severe",stdsurvey[[#This Row],[phq9_score]]&lt;=27,"Severe")</f>
        <v>Minimal</v>
      </c>
      <c r="L450">
        <v>6</v>
      </c>
      <c r="M450" s="4" t="str" cm="1">
        <f t="array" ref="M450">_xlfn.IFS(stdsurvey[[#This Row],[gad7_score]]="","Answer Not Provided",stdsurvey[[#This Row],[gad7_score]]&lt;=4,"Minimal",stdsurvey[[#This Row],[gad7_score]]&lt;=9,"Mild",stdsurvey[[#This Row],[gad7_score]]&lt;=14,"Moderate",stdsurvey[[#This Row],[gad7_score]]&lt;=21,"Severe")</f>
        <v>Minimal</v>
      </c>
      <c r="N450">
        <v>15.5</v>
      </c>
      <c r="O450" s="4" t="str" cm="1">
        <f t="array" ref="O450">_xlfn.IFS(stdsurvey[[#This Row],[perceived_stress_scale]]="","Answer Not Provided",stdsurvey[[#This Row],[perceived_stress_scale]]&lt;=13,"Low Stress",stdsurvey[[#This Row],[perceived_stress_scale]]&lt;=26,"Moderate Stress",stdsurvey[[#This Row],[perceived_stress_scale]]&lt;=40,"High Stress")</f>
        <v>Low Stress</v>
      </c>
      <c r="P450">
        <v>100</v>
      </c>
      <c r="Q450">
        <v>4</v>
      </c>
      <c r="R450" s="4" t="str" cm="1">
        <f t="array" ref="R450">_xlfn.IFS(stdsurvey[[#This Row],[class_attendance_percent]]&lt;60,"Less than 0%",stdsurvey[[#This Row],[class_attendance_percent]]&lt;70,"60-70 %",stdsurvey[[#This Row],[class_attendance_percent]]&lt;80, "70-80%",stdsurvey[[#This Row],[class_attendance_percent]]&lt;90,"80-90%",TRUE,"More than 90%")</f>
        <v>More than 90%</v>
      </c>
      <c r="S450" t="s">
        <v>22</v>
      </c>
      <c r="T450">
        <v>2</v>
      </c>
      <c r="U450" t="s">
        <v>26</v>
      </c>
      <c r="V450">
        <v>3.29</v>
      </c>
      <c r="W450" s="4" t="str" cm="1">
        <f t="array" ref="W45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50" s="4" t="str" cm="1">
        <f t="array" ref="X450">_xlfn.IFS(stdsurvey[[#This Row],[daily_sleep_hours]]&lt;4,"&lt; 4 hrs",stdsurvey[[#This Row],[daily_sleep_hours]]&lt;=6,"4-6 hrs",stdsurvey[[#This Row],[daily_sleep_hours]]&lt;=8,"6-8 hrs",TRUE,"&gt; 8 hrs")</f>
        <v>6-8 hrs</v>
      </c>
      <c r="Y450" t="s">
        <v>20</v>
      </c>
    </row>
    <row r="451" spans="1:25" x14ac:dyDescent="0.3">
      <c r="A451" t="s">
        <v>485</v>
      </c>
      <c r="B451">
        <v>24</v>
      </c>
      <c r="C451" t="s">
        <v>27</v>
      </c>
      <c r="D451">
        <v>2</v>
      </c>
      <c r="E451" t="s">
        <v>21</v>
      </c>
      <c r="F451">
        <v>7.5</v>
      </c>
      <c r="G451">
        <v>1.5</v>
      </c>
      <c r="H451">
        <v>2</v>
      </c>
      <c r="I451">
        <v>3</v>
      </c>
      <c r="J451">
        <v>4</v>
      </c>
      <c r="K451" s="4" t="str" cm="1">
        <f t="array" ref="K451">_xlfn.IFS(stdsurvey[[#This Row],[phq9_score]]="","Answer Not Provided",stdsurvey[[#This Row],[phq9_score]]&lt;=4,"Minimal",stdsurvey[[#This Row],[phq9_score]]&lt;=9,"Mild",stdsurvey[[#This Row],[phq9_score]]&lt;=14,"Moderate",stdsurvey[[#This Row],[phq9_score]]&lt;=19,"Moderately Severe",stdsurvey[[#This Row],[phq9_score]]&lt;=27,"Severe")</f>
        <v>Minimal</v>
      </c>
      <c r="L451">
        <v>14</v>
      </c>
      <c r="M451" s="4" t="str" cm="1">
        <f t="array" ref="M451">_xlfn.IFS(stdsurvey[[#This Row],[gad7_score]]="","Answer Not Provided",stdsurvey[[#This Row],[gad7_score]]&lt;=4,"Minimal",stdsurvey[[#This Row],[gad7_score]]&lt;=9,"Mild",stdsurvey[[#This Row],[gad7_score]]&lt;=14,"Moderate",stdsurvey[[#This Row],[gad7_score]]&lt;=21,"Severe")</f>
        <v>Minimal</v>
      </c>
      <c r="N451">
        <v>19.899999999999999</v>
      </c>
      <c r="O451" s="4" t="str" cm="1">
        <f t="array" ref="O451">_xlfn.IFS(stdsurvey[[#This Row],[perceived_stress_scale]]="","Answer Not Provided",stdsurvey[[#This Row],[perceived_stress_scale]]&lt;=13,"Low Stress",stdsurvey[[#This Row],[perceived_stress_scale]]&lt;=26,"Moderate Stress",stdsurvey[[#This Row],[perceived_stress_scale]]&lt;=40,"High Stress")</f>
        <v>Moderate Stress</v>
      </c>
      <c r="P451">
        <v>80.900000000000006</v>
      </c>
      <c r="Q451">
        <v>2</v>
      </c>
      <c r="R451" s="4" t="str" cm="1">
        <f t="array" ref="R451">_xlfn.IFS(stdsurvey[[#This Row],[class_attendance_percent]]&lt;60,"Less than 0%",stdsurvey[[#This Row],[class_attendance_percent]]&lt;70,"60-70 %",stdsurvey[[#This Row],[class_attendance_percent]]&lt;80, "70-80%",stdsurvey[[#This Row],[class_attendance_percent]]&lt;90,"80-90%",TRUE,"More than 90%")</f>
        <v>80-90%</v>
      </c>
      <c r="S451" t="s">
        <v>22</v>
      </c>
      <c r="T451">
        <v>5</v>
      </c>
      <c r="U451" t="s">
        <v>26</v>
      </c>
      <c r="V451">
        <v>3.11</v>
      </c>
      <c r="W451" s="4" t="str" cm="1">
        <f t="array" ref="W45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51" s="4" t="str" cm="1">
        <f t="array" ref="X451">_xlfn.IFS(stdsurvey[[#This Row],[daily_sleep_hours]]&lt;4,"&lt; 4 hrs",stdsurvey[[#This Row],[daily_sleep_hours]]&lt;=6,"4-6 hrs",stdsurvey[[#This Row],[daily_sleep_hours]]&lt;=8,"6-8 hrs",TRUE,"&gt; 8 hrs")</f>
        <v>6-8 hrs</v>
      </c>
      <c r="Y451" t="s">
        <v>27</v>
      </c>
    </row>
    <row r="452" spans="1:25" x14ac:dyDescent="0.3">
      <c r="A452" t="s">
        <v>486</v>
      </c>
      <c r="B452">
        <v>21</v>
      </c>
      <c r="C452" t="s">
        <v>20</v>
      </c>
      <c r="D452">
        <v>1</v>
      </c>
      <c r="E452" t="s">
        <v>32</v>
      </c>
      <c r="F452">
        <v>6.6</v>
      </c>
      <c r="G452">
        <v>5.9</v>
      </c>
      <c r="H452">
        <v>3</v>
      </c>
      <c r="I452">
        <v>5</v>
      </c>
      <c r="J452">
        <v>5</v>
      </c>
      <c r="K452" s="4" t="str" cm="1">
        <f t="array" ref="K452">_xlfn.IFS(stdsurvey[[#This Row],[phq9_score]]="","Answer Not Provided",stdsurvey[[#This Row],[phq9_score]]&lt;=4,"Minimal",stdsurvey[[#This Row],[phq9_score]]&lt;=9,"Mild",stdsurvey[[#This Row],[phq9_score]]&lt;=14,"Moderate",stdsurvey[[#This Row],[phq9_score]]&lt;=19,"Moderately Severe",stdsurvey[[#This Row],[phq9_score]]&lt;=27,"Severe")</f>
        <v>Mild</v>
      </c>
      <c r="L452">
        <v>13</v>
      </c>
      <c r="M452" s="4" t="str" cm="1">
        <f t="array" ref="M452">_xlfn.IFS(stdsurvey[[#This Row],[gad7_score]]="","Answer Not Provided",stdsurvey[[#This Row],[gad7_score]]&lt;=4,"Minimal",stdsurvey[[#This Row],[gad7_score]]&lt;=9,"Mild",stdsurvey[[#This Row],[gad7_score]]&lt;=14,"Moderate",stdsurvey[[#This Row],[gad7_score]]&lt;=21,"Severe")</f>
        <v>Mild</v>
      </c>
      <c r="N452">
        <v>7</v>
      </c>
      <c r="O452" s="4" t="str" cm="1">
        <f t="array" ref="O452">_xlfn.IFS(stdsurvey[[#This Row],[perceived_stress_scale]]="","Answer Not Provided",stdsurvey[[#This Row],[perceived_stress_scale]]&lt;=13,"Low Stress",stdsurvey[[#This Row],[perceived_stress_scale]]&lt;=26,"Moderate Stress",stdsurvey[[#This Row],[perceived_stress_scale]]&lt;=40,"High Stress")</f>
        <v>Low Stress</v>
      </c>
      <c r="P452">
        <v>75.7</v>
      </c>
      <c r="Q452">
        <v>2</v>
      </c>
      <c r="R452" s="4" t="str" cm="1">
        <f t="array" ref="R452">_xlfn.IFS(stdsurvey[[#This Row],[class_attendance_percent]]&lt;60,"Less than 0%",stdsurvey[[#This Row],[class_attendance_percent]]&lt;70,"60-70 %",stdsurvey[[#This Row],[class_attendance_percent]]&lt;80, "70-80%",stdsurvey[[#This Row],[class_attendance_percent]]&lt;90,"80-90%",TRUE,"More than 90%")</f>
        <v>70-80%</v>
      </c>
      <c r="S452" t="s">
        <v>22</v>
      </c>
      <c r="T452">
        <v>4</v>
      </c>
      <c r="U452" t="s">
        <v>23</v>
      </c>
      <c r="V452">
        <v>2.84</v>
      </c>
      <c r="W452" s="4" t="str" cm="1">
        <f t="array" ref="W45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52" s="4" t="str" cm="1">
        <f t="array" ref="X452">_xlfn.IFS(stdsurvey[[#This Row],[daily_sleep_hours]]&lt;4,"&lt; 4 hrs",stdsurvey[[#This Row],[daily_sleep_hours]]&lt;=6,"4-6 hrs",stdsurvey[[#This Row],[daily_sleep_hours]]&lt;=8,"6-8 hrs",TRUE,"&gt; 8 hrs")</f>
        <v>6-8 hrs</v>
      </c>
      <c r="Y452" t="s">
        <v>20</v>
      </c>
    </row>
    <row r="453" spans="1:25" x14ac:dyDescent="0.3">
      <c r="A453" t="s">
        <v>487</v>
      </c>
      <c r="B453">
        <v>24</v>
      </c>
      <c r="C453" t="s">
        <v>39</v>
      </c>
      <c r="D453">
        <v>4</v>
      </c>
      <c r="E453" t="s">
        <v>32</v>
      </c>
      <c r="F453">
        <v>6.8</v>
      </c>
      <c r="G453">
        <v>9.6999999999999993</v>
      </c>
      <c r="H453">
        <v>1</v>
      </c>
      <c r="I453">
        <v>7</v>
      </c>
      <c r="J453">
        <v>6</v>
      </c>
      <c r="K453" s="4" t="str" cm="1">
        <f t="array" ref="K453">_xlfn.IFS(stdsurvey[[#This Row],[phq9_score]]="","Answer Not Provided",stdsurvey[[#This Row],[phq9_score]]&lt;=4,"Minimal",stdsurvey[[#This Row],[phq9_score]]&lt;=9,"Mild",stdsurvey[[#This Row],[phq9_score]]&lt;=14,"Moderate",stdsurvey[[#This Row],[phq9_score]]&lt;=19,"Moderately Severe",stdsurvey[[#This Row],[phq9_score]]&lt;=27,"Severe")</f>
        <v>Mild</v>
      </c>
      <c r="L453">
        <v>13</v>
      </c>
      <c r="M453" s="4" t="str" cm="1">
        <f t="array" ref="M453">_xlfn.IFS(stdsurvey[[#This Row],[gad7_score]]="","Answer Not Provided",stdsurvey[[#This Row],[gad7_score]]&lt;=4,"Minimal",stdsurvey[[#This Row],[gad7_score]]&lt;=9,"Mild",stdsurvey[[#This Row],[gad7_score]]&lt;=14,"Moderate",stdsurvey[[#This Row],[gad7_score]]&lt;=21,"Severe")</f>
        <v>Mild</v>
      </c>
      <c r="N453">
        <v>15.8</v>
      </c>
      <c r="O453" s="4" t="str" cm="1">
        <f t="array" ref="O453">_xlfn.IFS(stdsurvey[[#This Row],[perceived_stress_scale]]="","Answer Not Provided",stdsurvey[[#This Row],[perceived_stress_scale]]&lt;=13,"Low Stress",stdsurvey[[#This Row],[perceived_stress_scale]]&lt;=26,"Moderate Stress",stdsurvey[[#This Row],[perceived_stress_scale]]&lt;=40,"High Stress")</f>
        <v>Low Stress</v>
      </c>
      <c r="P453">
        <v>92.4</v>
      </c>
      <c r="Q453">
        <v>3</v>
      </c>
      <c r="R453" s="4" t="str" cm="1">
        <f t="array" ref="R453">_xlfn.IFS(stdsurvey[[#This Row],[class_attendance_percent]]&lt;60,"Less than 0%",stdsurvey[[#This Row],[class_attendance_percent]]&lt;70,"60-70 %",stdsurvey[[#This Row],[class_attendance_percent]]&lt;80, "70-80%",stdsurvey[[#This Row],[class_attendance_percent]]&lt;90,"80-90%",TRUE,"More than 90%")</f>
        <v>More than 90%</v>
      </c>
      <c r="S453" t="s">
        <v>33</v>
      </c>
      <c r="T453">
        <v>5</v>
      </c>
      <c r="U453" t="s">
        <v>23</v>
      </c>
      <c r="V453">
        <v>2.85</v>
      </c>
      <c r="W453" s="4" t="str" cm="1">
        <f t="array" ref="W45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53" s="4" t="str" cm="1">
        <f t="array" ref="X453">_xlfn.IFS(stdsurvey[[#This Row],[daily_sleep_hours]]&lt;4,"&lt; 4 hrs",stdsurvey[[#This Row],[daily_sleep_hours]]&lt;=6,"4-6 hrs",stdsurvey[[#This Row],[daily_sleep_hours]]&lt;=8,"6-8 hrs",TRUE,"&gt; 8 hrs")</f>
        <v>6-8 hrs</v>
      </c>
      <c r="Y453" t="s">
        <v>27</v>
      </c>
    </row>
    <row r="454" spans="1:25" x14ac:dyDescent="0.3">
      <c r="A454" t="s">
        <v>488</v>
      </c>
      <c r="B454">
        <v>22</v>
      </c>
      <c r="C454" t="s">
        <v>20</v>
      </c>
      <c r="D454">
        <v>1</v>
      </c>
      <c r="E454" t="s">
        <v>30</v>
      </c>
      <c r="F454">
        <v>6.3</v>
      </c>
      <c r="G454">
        <v>10</v>
      </c>
      <c r="H454">
        <v>0</v>
      </c>
      <c r="K454" s="4" t="str" cm="1">
        <f t="array" ref="K454">_xlfn.IFS(stdsurvey[[#This Row],[phq9_score]]="","Answer Not Provided",stdsurvey[[#This Row],[phq9_score]]&lt;=4,"Minimal",stdsurvey[[#This Row],[phq9_score]]&lt;=9,"Mild",stdsurvey[[#This Row],[phq9_score]]&lt;=14,"Moderate",stdsurvey[[#This Row],[phq9_score]]&lt;=19,"Moderately Severe",stdsurvey[[#This Row],[phq9_score]]&lt;=27,"Severe")</f>
        <v>Answer Not Provided</v>
      </c>
      <c r="L454">
        <v>12</v>
      </c>
      <c r="M454" s="4" t="str" cm="1">
        <f t="array" ref="M454">_xlfn.IFS(stdsurvey[[#This Row],[gad7_score]]="","Answer Not Provided",stdsurvey[[#This Row],[gad7_score]]&lt;=4,"Minimal",stdsurvey[[#This Row],[gad7_score]]&lt;=9,"Mild",stdsurvey[[#This Row],[gad7_score]]&lt;=14,"Moderate",stdsurvey[[#This Row],[gad7_score]]&lt;=21,"Severe")</f>
        <v>Answer Not Provided</v>
      </c>
      <c r="N454">
        <v>13.1</v>
      </c>
      <c r="O454" s="4" t="str" cm="1">
        <f t="array" ref="O454">_xlfn.IFS(stdsurvey[[#This Row],[perceived_stress_scale]]="","Answer Not Provided",stdsurvey[[#This Row],[perceived_stress_scale]]&lt;=13,"Low Stress",stdsurvey[[#This Row],[perceived_stress_scale]]&lt;=26,"Moderate Stress",stdsurvey[[#This Row],[perceived_stress_scale]]&lt;=40,"High Stress")</f>
        <v>Low Stress</v>
      </c>
      <c r="P454">
        <v>87.2</v>
      </c>
      <c r="Q454">
        <v>1</v>
      </c>
      <c r="R454" s="4" t="str" cm="1">
        <f t="array" ref="R454">_xlfn.IFS(stdsurvey[[#This Row],[class_attendance_percent]]&lt;60,"Less than 0%",stdsurvey[[#This Row],[class_attendance_percent]]&lt;70,"60-70 %",stdsurvey[[#This Row],[class_attendance_percent]]&lt;80, "70-80%",stdsurvey[[#This Row],[class_attendance_percent]]&lt;90,"80-90%",TRUE,"More than 90%")</f>
        <v>80-90%</v>
      </c>
      <c r="S454" t="s">
        <v>33</v>
      </c>
      <c r="T454">
        <v>2</v>
      </c>
      <c r="U454" t="s">
        <v>51</v>
      </c>
      <c r="V454">
        <v>2.97</v>
      </c>
      <c r="W454" s="4" t="str" cm="1">
        <f t="array" ref="W45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54" s="4" t="str" cm="1">
        <f t="array" ref="X454">_xlfn.IFS(stdsurvey[[#This Row],[daily_sleep_hours]]&lt;4,"&lt; 4 hrs",stdsurvey[[#This Row],[daily_sleep_hours]]&lt;=6,"4-6 hrs",stdsurvey[[#This Row],[daily_sleep_hours]]&lt;=8,"6-8 hrs",TRUE,"&gt; 8 hrs")</f>
        <v>6-8 hrs</v>
      </c>
      <c r="Y454" t="s">
        <v>20</v>
      </c>
    </row>
    <row r="455" spans="1:25" x14ac:dyDescent="0.3">
      <c r="A455" t="s">
        <v>489</v>
      </c>
      <c r="B455">
        <v>21</v>
      </c>
      <c r="C455" t="s">
        <v>39</v>
      </c>
      <c r="D455">
        <v>1</v>
      </c>
      <c r="E455" t="s">
        <v>32</v>
      </c>
      <c r="F455">
        <v>8.4</v>
      </c>
      <c r="G455">
        <v>1.2</v>
      </c>
      <c r="H455">
        <v>1</v>
      </c>
      <c r="I455">
        <v>16</v>
      </c>
      <c r="J455">
        <v>14</v>
      </c>
      <c r="K455" s="4" t="str" cm="1">
        <f t="array" ref="K455">_xlfn.IFS(stdsurvey[[#This Row],[phq9_score]]="","Answer Not Provided",stdsurvey[[#This Row],[phq9_score]]&lt;=4,"Minimal",stdsurvey[[#This Row],[phq9_score]]&lt;=9,"Mild",stdsurvey[[#This Row],[phq9_score]]&lt;=14,"Moderate",stdsurvey[[#This Row],[phq9_score]]&lt;=19,"Moderately Severe",stdsurvey[[#This Row],[phq9_score]]&lt;=27,"Severe")</f>
        <v>Moderately Severe</v>
      </c>
      <c r="L455">
        <v>22</v>
      </c>
      <c r="M455" s="4" t="str" cm="1">
        <f t="array" ref="M455">_xlfn.IFS(stdsurvey[[#This Row],[gad7_score]]="","Answer Not Provided",stdsurvey[[#This Row],[gad7_score]]&lt;=4,"Minimal",stdsurvey[[#This Row],[gad7_score]]&lt;=9,"Mild",stdsurvey[[#This Row],[gad7_score]]&lt;=14,"Moderate",stdsurvey[[#This Row],[gad7_score]]&lt;=21,"Severe")</f>
        <v>Moderate</v>
      </c>
      <c r="N455">
        <v>10.7</v>
      </c>
      <c r="O455" s="4" t="str" cm="1">
        <f t="array" ref="O455">_xlfn.IFS(stdsurvey[[#This Row],[perceived_stress_scale]]="","Answer Not Provided",stdsurvey[[#This Row],[perceived_stress_scale]]&lt;=13,"Low Stress",stdsurvey[[#This Row],[perceived_stress_scale]]&lt;=26,"Moderate Stress",stdsurvey[[#This Row],[perceived_stress_scale]]&lt;=40,"High Stress")</f>
        <v>Moderate Stress</v>
      </c>
      <c r="P455">
        <v>93</v>
      </c>
      <c r="Q455">
        <v>5</v>
      </c>
      <c r="R455" s="4" t="str" cm="1">
        <f t="array" ref="R455">_xlfn.IFS(stdsurvey[[#This Row],[class_attendance_percent]]&lt;60,"Less than 0%",stdsurvey[[#This Row],[class_attendance_percent]]&lt;70,"60-70 %",stdsurvey[[#This Row],[class_attendance_percent]]&lt;80, "70-80%",stdsurvey[[#This Row],[class_attendance_percent]]&lt;90,"80-90%",TRUE,"More than 90%")</f>
        <v>More than 90%</v>
      </c>
      <c r="S455" t="s">
        <v>33</v>
      </c>
      <c r="T455">
        <v>5</v>
      </c>
      <c r="U455" t="s">
        <v>51</v>
      </c>
      <c r="V455">
        <v>2.5499999999999998</v>
      </c>
      <c r="W455" s="4" t="str" cm="1">
        <f t="array" ref="W45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55" s="4" t="str" cm="1">
        <f t="array" ref="X455">_xlfn.IFS(stdsurvey[[#This Row],[daily_sleep_hours]]&lt;4,"&lt; 4 hrs",stdsurvey[[#This Row],[daily_sleep_hours]]&lt;=6,"4-6 hrs",stdsurvey[[#This Row],[daily_sleep_hours]]&lt;=8,"6-8 hrs",TRUE,"&gt; 8 hrs")</f>
        <v>&gt; 8 hrs</v>
      </c>
      <c r="Y455" t="s">
        <v>27</v>
      </c>
    </row>
    <row r="456" spans="1:25" x14ac:dyDescent="0.3">
      <c r="A456" t="s">
        <v>490</v>
      </c>
      <c r="B456">
        <v>22</v>
      </c>
      <c r="C456" t="s">
        <v>39</v>
      </c>
      <c r="D456">
        <v>3</v>
      </c>
      <c r="E456" t="s">
        <v>21</v>
      </c>
      <c r="F456">
        <v>6.7</v>
      </c>
      <c r="G456">
        <v>8.4</v>
      </c>
      <c r="H456">
        <v>0</v>
      </c>
      <c r="I456">
        <v>5</v>
      </c>
      <c r="J456">
        <v>7</v>
      </c>
      <c r="K456" s="4" t="str" cm="1">
        <f t="array" ref="K456">_xlfn.IFS(stdsurvey[[#This Row],[phq9_score]]="","Answer Not Provided",stdsurvey[[#This Row],[phq9_score]]&lt;=4,"Minimal",stdsurvey[[#This Row],[phq9_score]]&lt;=9,"Mild",stdsurvey[[#This Row],[phq9_score]]&lt;=14,"Moderate",stdsurvey[[#This Row],[phq9_score]]&lt;=19,"Moderately Severe",stdsurvey[[#This Row],[phq9_score]]&lt;=27,"Severe")</f>
        <v>Mild</v>
      </c>
      <c r="L456">
        <v>8</v>
      </c>
      <c r="M456" s="4" t="str" cm="1">
        <f t="array" ref="M456">_xlfn.IFS(stdsurvey[[#This Row],[gad7_score]]="","Answer Not Provided",stdsurvey[[#This Row],[gad7_score]]&lt;=4,"Minimal",stdsurvey[[#This Row],[gad7_score]]&lt;=9,"Mild",stdsurvey[[#This Row],[gad7_score]]&lt;=14,"Moderate",stdsurvey[[#This Row],[gad7_score]]&lt;=21,"Severe")</f>
        <v>Mild</v>
      </c>
      <c r="N456">
        <v>12.1</v>
      </c>
      <c r="O456" s="4" t="str" cm="1">
        <f t="array" ref="O456">_xlfn.IFS(stdsurvey[[#This Row],[perceived_stress_scale]]="","Answer Not Provided",stdsurvey[[#This Row],[perceived_stress_scale]]&lt;=13,"Low Stress",stdsurvey[[#This Row],[perceived_stress_scale]]&lt;=26,"Moderate Stress",stdsurvey[[#This Row],[perceived_stress_scale]]&lt;=40,"High Stress")</f>
        <v>Low Stress</v>
      </c>
      <c r="P456">
        <v>69.2</v>
      </c>
      <c r="Q456">
        <v>4</v>
      </c>
      <c r="R456" s="4" t="str" cm="1">
        <f t="array" ref="R456">_xlfn.IFS(stdsurvey[[#This Row],[class_attendance_percent]]&lt;60,"Less than 0%",stdsurvey[[#This Row],[class_attendance_percent]]&lt;70,"60-70 %",stdsurvey[[#This Row],[class_attendance_percent]]&lt;80, "70-80%",stdsurvey[[#This Row],[class_attendance_percent]]&lt;90,"80-90%",TRUE,"More than 90%")</f>
        <v>60-70 %</v>
      </c>
      <c r="S456" t="s">
        <v>22</v>
      </c>
      <c r="T456">
        <v>3</v>
      </c>
      <c r="U456" t="s">
        <v>23</v>
      </c>
      <c r="V456">
        <v>3.19</v>
      </c>
      <c r="W456" s="4" t="str" cm="1">
        <f t="array" ref="W45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56" s="4" t="str" cm="1">
        <f t="array" ref="X456">_xlfn.IFS(stdsurvey[[#This Row],[daily_sleep_hours]]&lt;4,"&lt; 4 hrs",stdsurvey[[#This Row],[daily_sleep_hours]]&lt;=6,"4-6 hrs",stdsurvey[[#This Row],[daily_sleep_hours]]&lt;=8,"6-8 hrs",TRUE,"&gt; 8 hrs")</f>
        <v>6-8 hrs</v>
      </c>
      <c r="Y456" t="s">
        <v>27</v>
      </c>
    </row>
    <row r="457" spans="1:25" x14ac:dyDescent="0.3">
      <c r="A457" t="s">
        <v>491</v>
      </c>
      <c r="B457">
        <v>26</v>
      </c>
      <c r="C457" t="s">
        <v>27</v>
      </c>
      <c r="D457">
        <v>4</v>
      </c>
      <c r="E457" t="s">
        <v>21</v>
      </c>
      <c r="F457">
        <v>8.3000000000000007</v>
      </c>
      <c r="G457">
        <v>1.5</v>
      </c>
      <c r="H457">
        <v>5</v>
      </c>
      <c r="I457">
        <v>6</v>
      </c>
      <c r="J457">
        <v>7</v>
      </c>
      <c r="K457" s="4" t="str" cm="1">
        <f t="array" ref="K457">_xlfn.IFS(stdsurvey[[#This Row],[phq9_score]]="","Answer Not Provided",stdsurvey[[#This Row],[phq9_score]]&lt;=4,"Minimal",stdsurvey[[#This Row],[phq9_score]]&lt;=9,"Mild",stdsurvey[[#This Row],[phq9_score]]&lt;=14,"Moderate",stdsurvey[[#This Row],[phq9_score]]&lt;=19,"Moderately Severe",stdsurvey[[#This Row],[phq9_score]]&lt;=27,"Severe")</f>
        <v>Mild</v>
      </c>
      <c r="L457">
        <v>12</v>
      </c>
      <c r="M457" s="4" t="str" cm="1">
        <f t="array" ref="M457">_xlfn.IFS(stdsurvey[[#This Row],[gad7_score]]="","Answer Not Provided",stdsurvey[[#This Row],[gad7_score]]&lt;=4,"Minimal",stdsurvey[[#This Row],[gad7_score]]&lt;=9,"Mild",stdsurvey[[#This Row],[gad7_score]]&lt;=14,"Moderate",stdsurvey[[#This Row],[gad7_score]]&lt;=21,"Severe")</f>
        <v>Mild</v>
      </c>
      <c r="N457">
        <v>15.8</v>
      </c>
      <c r="O457" s="4" t="str" cm="1">
        <f t="array" ref="O457">_xlfn.IFS(stdsurvey[[#This Row],[perceived_stress_scale]]="","Answer Not Provided",stdsurvey[[#This Row],[perceived_stress_scale]]&lt;=13,"Low Stress",stdsurvey[[#This Row],[perceived_stress_scale]]&lt;=26,"Moderate Stress",stdsurvey[[#This Row],[perceived_stress_scale]]&lt;=40,"High Stress")</f>
        <v>Low Stress</v>
      </c>
      <c r="P457">
        <v>87.7</v>
      </c>
      <c r="Q457">
        <v>4</v>
      </c>
      <c r="R457" s="4" t="str" cm="1">
        <f t="array" ref="R457">_xlfn.IFS(stdsurvey[[#This Row],[class_attendance_percent]]&lt;60,"Less than 0%",stdsurvey[[#This Row],[class_attendance_percent]]&lt;70,"60-70 %",stdsurvey[[#This Row],[class_attendance_percent]]&lt;80, "70-80%",stdsurvey[[#This Row],[class_attendance_percent]]&lt;90,"80-90%",TRUE,"More than 90%")</f>
        <v>80-90%</v>
      </c>
      <c r="S457" t="s">
        <v>22</v>
      </c>
      <c r="T457">
        <v>4</v>
      </c>
      <c r="U457" t="s">
        <v>26</v>
      </c>
      <c r="V457">
        <v>3.28</v>
      </c>
      <c r="W457" s="4" t="str" cm="1">
        <f t="array" ref="W45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57" s="4" t="str" cm="1">
        <f t="array" ref="X457">_xlfn.IFS(stdsurvey[[#This Row],[daily_sleep_hours]]&lt;4,"&lt; 4 hrs",stdsurvey[[#This Row],[daily_sleep_hours]]&lt;=6,"4-6 hrs",stdsurvey[[#This Row],[daily_sleep_hours]]&lt;=8,"6-8 hrs",TRUE,"&gt; 8 hrs")</f>
        <v>&gt; 8 hrs</v>
      </c>
      <c r="Y457" t="s">
        <v>27</v>
      </c>
    </row>
    <row r="458" spans="1:25" x14ac:dyDescent="0.3">
      <c r="A458" t="s">
        <v>492</v>
      </c>
      <c r="B458">
        <v>26</v>
      </c>
      <c r="C458" t="s">
        <v>45</v>
      </c>
      <c r="D458">
        <v>4</v>
      </c>
      <c r="E458" t="s">
        <v>30</v>
      </c>
      <c r="F458">
        <v>7.2</v>
      </c>
      <c r="G458">
        <v>1</v>
      </c>
      <c r="H458">
        <v>6</v>
      </c>
      <c r="I458">
        <v>6</v>
      </c>
      <c r="J458">
        <v>5</v>
      </c>
      <c r="K458" s="4" t="str" cm="1">
        <f t="array" ref="K458">_xlfn.IFS(stdsurvey[[#This Row],[phq9_score]]="","Answer Not Provided",stdsurvey[[#This Row],[phq9_score]]&lt;=4,"Minimal",stdsurvey[[#This Row],[phq9_score]]&lt;=9,"Mild",stdsurvey[[#This Row],[phq9_score]]&lt;=14,"Moderate",stdsurvey[[#This Row],[phq9_score]]&lt;=19,"Moderately Severe",stdsurvey[[#This Row],[phq9_score]]&lt;=27,"Severe")</f>
        <v>Mild</v>
      </c>
      <c r="L458">
        <v>12</v>
      </c>
      <c r="M458" s="4" t="str" cm="1">
        <f t="array" ref="M458">_xlfn.IFS(stdsurvey[[#This Row],[gad7_score]]="","Answer Not Provided",stdsurvey[[#This Row],[gad7_score]]&lt;=4,"Minimal",stdsurvey[[#This Row],[gad7_score]]&lt;=9,"Mild",stdsurvey[[#This Row],[gad7_score]]&lt;=14,"Moderate",stdsurvey[[#This Row],[gad7_score]]&lt;=21,"Severe")</f>
        <v>Mild</v>
      </c>
      <c r="N458">
        <v>20.399999999999999</v>
      </c>
      <c r="O458" s="4" t="str" cm="1">
        <f t="array" ref="O458">_xlfn.IFS(stdsurvey[[#This Row],[perceived_stress_scale]]="","Answer Not Provided",stdsurvey[[#This Row],[perceived_stress_scale]]&lt;=13,"Low Stress",stdsurvey[[#This Row],[perceived_stress_scale]]&lt;=26,"Moderate Stress",stdsurvey[[#This Row],[perceived_stress_scale]]&lt;=40,"High Stress")</f>
        <v>Low Stress</v>
      </c>
      <c r="P458">
        <v>73.400000000000006</v>
      </c>
      <c r="Q458">
        <v>5</v>
      </c>
      <c r="R458" s="4" t="str" cm="1">
        <f t="array" ref="R458">_xlfn.IFS(stdsurvey[[#This Row],[class_attendance_percent]]&lt;60,"Less than 0%",stdsurvey[[#This Row],[class_attendance_percent]]&lt;70,"60-70 %",stdsurvey[[#This Row],[class_attendance_percent]]&lt;80, "70-80%",stdsurvey[[#This Row],[class_attendance_percent]]&lt;90,"80-90%",TRUE,"More than 90%")</f>
        <v>70-80%</v>
      </c>
      <c r="S458" t="s">
        <v>22</v>
      </c>
      <c r="T458">
        <v>5</v>
      </c>
      <c r="U458" t="s">
        <v>23</v>
      </c>
      <c r="V458">
        <v>3.47</v>
      </c>
      <c r="W458" s="4" t="str" cm="1">
        <f t="array" ref="W45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58" s="4" t="str" cm="1">
        <f t="array" ref="X458">_xlfn.IFS(stdsurvey[[#This Row],[daily_sleep_hours]]&lt;4,"&lt; 4 hrs",stdsurvey[[#This Row],[daily_sleep_hours]]&lt;=6,"4-6 hrs",stdsurvey[[#This Row],[daily_sleep_hours]]&lt;=8,"6-8 hrs",TRUE,"&gt; 8 hrs")</f>
        <v>6-8 hrs</v>
      </c>
      <c r="Y458" t="s">
        <v>20</v>
      </c>
    </row>
    <row r="459" spans="1:25" x14ac:dyDescent="0.3">
      <c r="A459" t="s">
        <v>493</v>
      </c>
      <c r="B459">
        <v>22</v>
      </c>
      <c r="C459" t="s">
        <v>20</v>
      </c>
      <c r="D459">
        <v>2</v>
      </c>
      <c r="E459" t="s">
        <v>47</v>
      </c>
      <c r="F459">
        <v>7</v>
      </c>
      <c r="G459">
        <v>8.6</v>
      </c>
      <c r="H459">
        <v>0</v>
      </c>
      <c r="I459">
        <v>2</v>
      </c>
      <c r="J459">
        <v>2</v>
      </c>
      <c r="K459" s="4" t="str" cm="1">
        <f t="array" ref="K459">_xlfn.IFS(stdsurvey[[#This Row],[phq9_score]]="","Answer Not Provided",stdsurvey[[#This Row],[phq9_score]]&lt;=4,"Minimal",stdsurvey[[#This Row],[phq9_score]]&lt;=9,"Mild",stdsurvey[[#This Row],[phq9_score]]&lt;=14,"Moderate",stdsurvey[[#This Row],[phq9_score]]&lt;=19,"Moderately Severe",stdsurvey[[#This Row],[phq9_score]]&lt;=27,"Severe")</f>
        <v>Minimal</v>
      </c>
      <c r="L459">
        <v>6</v>
      </c>
      <c r="M459" s="4" t="str" cm="1">
        <f t="array" ref="M459">_xlfn.IFS(stdsurvey[[#This Row],[gad7_score]]="","Answer Not Provided",stdsurvey[[#This Row],[gad7_score]]&lt;=4,"Minimal",stdsurvey[[#This Row],[gad7_score]]&lt;=9,"Mild",stdsurvey[[#This Row],[gad7_score]]&lt;=14,"Moderate",stdsurvey[[#This Row],[gad7_score]]&lt;=21,"Severe")</f>
        <v>Minimal</v>
      </c>
      <c r="N459">
        <v>20.9</v>
      </c>
      <c r="O459" s="4" t="str" cm="1">
        <f t="array" ref="O459">_xlfn.IFS(stdsurvey[[#This Row],[perceived_stress_scale]]="","Answer Not Provided",stdsurvey[[#This Row],[perceived_stress_scale]]&lt;=13,"Low Stress",stdsurvey[[#This Row],[perceived_stress_scale]]&lt;=26,"Moderate Stress",stdsurvey[[#This Row],[perceived_stress_scale]]&lt;=40,"High Stress")</f>
        <v>Low Stress</v>
      </c>
      <c r="P459">
        <v>94.6</v>
      </c>
      <c r="Q459">
        <v>4</v>
      </c>
      <c r="R459" s="4" t="str" cm="1">
        <f t="array" ref="R459">_xlfn.IFS(stdsurvey[[#This Row],[class_attendance_percent]]&lt;60,"Less than 0%",stdsurvey[[#This Row],[class_attendance_percent]]&lt;70,"60-70 %",stdsurvey[[#This Row],[class_attendance_percent]]&lt;80, "70-80%",stdsurvey[[#This Row],[class_attendance_percent]]&lt;90,"80-90%",TRUE,"More than 90%")</f>
        <v>More than 90%</v>
      </c>
      <c r="S459" t="s">
        <v>22</v>
      </c>
      <c r="T459">
        <v>3</v>
      </c>
      <c r="U459" t="s">
        <v>26</v>
      </c>
      <c r="V459">
        <v>2.95</v>
      </c>
      <c r="W459" s="4" t="str" cm="1">
        <f t="array" ref="W45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59" s="4" t="str" cm="1">
        <f t="array" ref="X459">_xlfn.IFS(stdsurvey[[#This Row],[daily_sleep_hours]]&lt;4,"&lt; 4 hrs",stdsurvey[[#This Row],[daily_sleep_hours]]&lt;=6,"4-6 hrs",stdsurvey[[#This Row],[daily_sleep_hours]]&lt;=8,"6-8 hrs",TRUE,"&gt; 8 hrs")</f>
        <v>6-8 hrs</v>
      </c>
      <c r="Y459" t="s">
        <v>20</v>
      </c>
    </row>
    <row r="460" spans="1:25" x14ac:dyDescent="0.3">
      <c r="A460" t="s">
        <v>494</v>
      </c>
      <c r="B460">
        <v>22</v>
      </c>
      <c r="C460" t="s">
        <v>20</v>
      </c>
      <c r="D460">
        <v>1</v>
      </c>
      <c r="E460" t="s">
        <v>35</v>
      </c>
      <c r="F460">
        <v>5.8</v>
      </c>
      <c r="G460">
        <v>3</v>
      </c>
      <c r="H460">
        <v>4</v>
      </c>
      <c r="I460">
        <v>3</v>
      </c>
      <c r="J460">
        <v>2</v>
      </c>
      <c r="K460" s="4" t="str" cm="1">
        <f t="array" ref="K460">_xlfn.IFS(stdsurvey[[#This Row],[phq9_score]]="","Answer Not Provided",stdsurvey[[#This Row],[phq9_score]]&lt;=4,"Minimal",stdsurvey[[#This Row],[phq9_score]]&lt;=9,"Mild",stdsurvey[[#This Row],[phq9_score]]&lt;=14,"Moderate",stdsurvey[[#This Row],[phq9_score]]&lt;=19,"Moderately Severe",stdsurvey[[#This Row],[phq9_score]]&lt;=27,"Severe")</f>
        <v>Minimal</v>
      </c>
      <c r="L460">
        <v>9</v>
      </c>
      <c r="M460" s="4" t="str" cm="1">
        <f t="array" ref="M460">_xlfn.IFS(stdsurvey[[#This Row],[gad7_score]]="","Answer Not Provided",stdsurvey[[#This Row],[gad7_score]]&lt;=4,"Minimal",stdsurvey[[#This Row],[gad7_score]]&lt;=9,"Mild",stdsurvey[[#This Row],[gad7_score]]&lt;=14,"Moderate",stdsurvey[[#This Row],[gad7_score]]&lt;=21,"Severe")</f>
        <v>Minimal</v>
      </c>
      <c r="N460">
        <v>2.9</v>
      </c>
      <c r="O460" s="4" t="str" cm="1">
        <f t="array" ref="O460">_xlfn.IFS(stdsurvey[[#This Row],[perceived_stress_scale]]="","Answer Not Provided",stdsurvey[[#This Row],[perceived_stress_scale]]&lt;=13,"Low Stress",stdsurvey[[#This Row],[perceived_stress_scale]]&lt;=26,"Moderate Stress",stdsurvey[[#This Row],[perceived_stress_scale]]&lt;=40,"High Stress")</f>
        <v>Low Stress</v>
      </c>
      <c r="P460">
        <v>75.7</v>
      </c>
      <c r="Q460">
        <v>4</v>
      </c>
      <c r="R460" s="4" t="str" cm="1">
        <f t="array" ref="R460">_xlfn.IFS(stdsurvey[[#This Row],[class_attendance_percent]]&lt;60,"Less than 0%",stdsurvey[[#This Row],[class_attendance_percent]]&lt;70,"60-70 %",stdsurvey[[#This Row],[class_attendance_percent]]&lt;80, "70-80%",stdsurvey[[#This Row],[class_attendance_percent]]&lt;90,"80-90%",TRUE,"More than 90%")</f>
        <v>70-80%</v>
      </c>
      <c r="S460" t="s">
        <v>33</v>
      </c>
      <c r="T460">
        <v>4</v>
      </c>
      <c r="U460" t="s">
        <v>23</v>
      </c>
      <c r="V460">
        <v>2.88</v>
      </c>
      <c r="W460" s="4" t="str" cm="1">
        <f t="array" ref="W46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60" s="4" t="str" cm="1">
        <f t="array" ref="X460">_xlfn.IFS(stdsurvey[[#This Row],[daily_sleep_hours]]&lt;4,"&lt; 4 hrs",stdsurvey[[#This Row],[daily_sleep_hours]]&lt;=6,"4-6 hrs",stdsurvey[[#This Row],[daily_sleep_hours]]&lt;=8,"6-8 hrs",TRUE,"&gt; 8 hrs")</f>
        <v>4-6 hrs</v>
      </c>
      <c r="Y460" t="s">
        <v>20</v>
      </c>
    </row>
    <row r="461" spans="1:25" x14ac:dyDescent="0.3">
      <c r="A461" t="s">
        <v>495</v>
      </c>
      <c r="B461">
        <v>24</v>
      </c>
      <c r="C461" t="s">
        <v>27</v>
      </c>
      <c r="D461">
        <v>5</v>
      </c>
      <c r="E461" t="s">
        <v>30</v>
      </c>
      <c r="F461">
        <v>5.0999999999999996</v>
      </c>
      <c r="G461">
        <v>7.9</v>
      </c>
      <c r="H461">
        <v>4</v>
      </c>
      <c r="I461">
        <v>3</v>
      </c>
      <c r="J461">
        <v>3</v>
      </c>
      <c r="K461" s="4" t="str" cm="1">
        <f t="array" ref="K461">_xlfn.IFS(stdsurvey[[#This Row],[phq9_score]]="","Answer Not Provided",stdsurvey[[#This Row],[phq9_score]]&lt;=4,"Minimal",stdsurvey[[#This Row],[phq9_score]]&lt;=9,"Mild",stdsurvey[[#This Row],[phq9_score]]&lt;=14,"Moderate",stdsurvey[[#This Row],[phq9_score]]&lt;=19,"Moderately Severe",stdsurvey[[#This Row],[phq9_score]]&lt;=27,"Severe")</f>
        <v>Minimal</v>
      </c>
      <c r="L461">
        <v>8</v>
      </c>
      <c r="M461" s="4" t="str" cm="1">
        <f t="array" ref="M461">_xlfn.IFS(stdsurvey[[#This Row],[gad7_score]]="","Answer Not Provided",stdsurvey[[#This Row],[gad7_score]]&lt;=4,"Minimal",stdsurvey[[#This Row],[gad7_score]]&lt;=9,"Mild",stdsurvey[[#This Row],[gad7_score]]&lt;=14,"Moderate",stdsurvey[[#This Row],[gad7_score]]&lt;=21,"Severe")</f>
        <v>Minimal</v>
      </c>
      <c r="N461">
        <v>17.899999999999999</v>
      </c>
      <c r="O461" s="4" t="str" cm="1">
        <f t="array" ref="O461">_xlfn.IFS(stdsurvey[[#This Row],[perceived_stress_scale]]="","Answer Not Provided",stdsurvey[[#This Row],[perceived_stress_scale]]&lt;=13,"Low Stress",stdsurvey[[#This Row],[perceived_stress_scale]]&lt;=26,"Moderate Stress",stdsurvey[[#This Row],[perceived_stress_scale]]&lt;=40,"High Stress")</f>
        <v>Low Stress</v>
      </c>
      <c r="P461">
        <v>86.5</v>
      </c>
      <c r="Q461">
        <v>3</v>
      </c>
      <c r="R461" s="4" t="str" cm="1">
        <f t="array" ref="R461">_xlfn.IFS(stdsurvey[[#This Row],[class_attendance_percent]]&lt;60,"Less than 0%",stdsurvey[[#This Row],[class_attendance_percent]]&lt;70,"60-70 %",stdsurvey[[#This Row],[class_attendance_percent]]&lt;80, "70-80%",stdsurvey[[#This Row],[class_attendance_percent]]&lt;90,"80-90%",TRUE,"More than 90%")</f>
        <v>80-90%</v>
      </c>
      <c r="S461" t="s">
        <v>33</v>
      </c>
      <c r="T461">
        <v>4</v>
      </c>
      <c r="U461" t="s">
        <v>23</v>
      </c>
      <c r="V461">
        <v>2.5299999999999998</v>
      </c>
      <c r="W461" s="4" t="str" cm="1">
        <f t="array" ref="W46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61" s="4" t="str" cm="1">
        <f t="array" ref="X461">_xlfn.IFS(stdsurvey[[#This Row],[daily_sleep_hours]]&lt;4,"&lt; 4 hrs",stdsurvey[[#This Row],[daily_sleep_hours]]&lt;=6,"4-6 hrs",stdsurvey[[#This Row],[daily_sleep_hours]]&lt;=8,"6-8 hrs",TRUE,"&gt; 8 hrs")</f>
        <v>4-6 hrs</v>
      </c>
      <c r="Y461" t="s">
        <v>27</v>
      </c>
    </row>
    <row r="462" spans="1:25" x14ac:dyDescent="0.3">
      <c r="A462" t="s">
        <v>496</v>
      </c>
      <c r="B462">
        <v>20</v>
      </c>
      <c r="C462" t="s">
        <v>29</v>
      </c>
      <c r="D462">
        <v>1</v>
      </c>
      <c r="E462" t="s">
        <v>32</v>
      </c>
      <c r="F462">
        <v>7.9</v>
      </c>
      <c r="G462">
        <v>7.5</v>
      </c>
      <c r="H462">
        <v>7</v>
      </c>
      <c r="I462">
        <v>1</v>
      </c>
      <c r="J462">
        <v>3</v>
      </c>
      <c r="K462" s="4" t="str" cm="1">
        <f t="array" ref="K462">_xlfn.IFS(stdsurvey[[#This Row],[phq9_score]]="","Answer Not Provided",stdsurvey[[#This Row],[phq9_score]]&lt;=4,"Minimal",stdsurvey[[#This Row],[phq9_score]]&lt;=9,"Mild",stdsurvey[[#This Row],[phq9_score]]&lt;=14,"Moderate",stdsurvey[[#This Row],[phq9_score]]&lt;=19,"Moderately Severe",stdsurvey[[#This Row],[phq9_score]]&lt;=27,"Severe")</f>
        <v>Minimal</v>
      </c>
      <c r="L462">
        <v>9</v>
      </c>
      <c r="M462" s="4" t="str" cm="1">
        <f t="array" ref="M462">_xlfn.IFS(stdsurvey[[#This Row],[gad7_score]]="","Answer Not Provided",stdsurvey[[#This Row],[gad7_score]]&lt;=4,"Minimal",stdsurvey[[#This Row],[gad7_score]]&lt;=9,"Mild",stdsurvey[[#This Row],[gad7_score]]&lt;=14,"Moderate",stdsurvey[[#This Row],[gad7_score]]&lt;=21,"Severe")</f>
        <v>Minimal</v>
      </c>
      <c r="N462">
        <v>6.5</v>
      </c>
      <c r="O462" s="4" t="str" cm="1">
        <f t="array" ref="O462">_xlfn.IFS(stdsurvey[[#This Row],[perceived_stress_scale]]="","Answer Not Provided",stdsurvey[[#This Row],[perceived_stress_scale]]&lt;=13,"Low Stress",stdsurvey[[#This Row],[perceived_stress_scale]]&lt;=26,"Moderate Stress",stdsurvey[[#This Row],[perceived_stress_scale]]&lt;=40,"High Stress")</f>
        <v>Low Stress</v>
      </c>
      <c r="P462">
        <v>79</v>
      </c>
      <c r="Q462">
        <v>3</v>
      </c>
      <c r="R462" s="4" t="str" cm="1">
        <f t="array" ref="R462">_xlfn.IFS(stdsurvey[[#This Row],[class_attendance_percent]]&lt;60,"Less than 0%",stdsurvey[[#This Row],[class_attendance_percent]]&lt;70,"60-70 %",stdsurvey[[#This Row],[class_attendance_percent]]&lt;80, "70-80%",stdsurvey[[#This Row],[class_attendance_percent]]&lt;90,"80-90%",TRUE,"More than 90%")</f>
        <v>70-80%</v>
      </c>
      <c r="S462" t="s">
        <v>22</v>
      </c>
      <c r="T462">
        <v>4</v>
      </c>
      <c r="U462" t="s">
        <v>51</v>
      </c>
      <c r="V462">
        <v>2.64</v>
      </c>
      <c r="W462" s="4" t="str" cm="1">
        <f t="array" ref="W46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62" s="4" t="str" cm="1">
        <f t="array" ref="X462">_xlfn.IFS(stdsurvey[[#This Row],[daily_sleep_hours]]&lt;4,"&lt; 4 hrs",stdsurvey[[#This Row],[daily_sleep_hours]]&lt;=6,"4-6 hrs",stdsurvey[[#This Row],[daily_sleep_hours]]&lt;=8,"6-8 hrs",TRUE,"&gt; 8 hrs")</f>
        <v>6-8 hrs</v>
      </c>
      <c r="Y462" t="s">
        <v>29</v>
      </c>
    </row>
    <row r="463" spans="1:25" x14ac:dyDescent="0.3">
      <c r="A463" t="s">
        <v>497</v>
      </c>
      <c r="B463">
        <v>22</v>
      </c>
      <c r="C463" t="s">
        <v>27</v>
      </c>
      <c r="D463">
        <v>1</v>
      </c>
      <c r="E463" t="s">
        <v>49</v>
      </c>
      <c r="F463">
        <v>5.6</v>
      </c>
      <c r="G463">
        <v>6.9</v>
      </c>
      <c r="H463">
        <v>2</v>
      </c>
      <c r="K463" s="4" t="str" cm="1">
        <f t="array" ref="K463">_xlfn.IFS(stdsurvey[[#This Row],[phq9_score]]="","Answer Not Provided",stdsurvey[[#This Row],[phq9_score]]&lt;=4,"Minimal",stdsurvey[[#This Row],[phq9_score]]&lt;=9,"Mild",stdsurvey[[#This Row],[phq9_score]]&lt;=14,"Moderate",stdsurvey[[#This Row],[phq9_score]]&lt;=19,"Moderately Severe",stdsurvey[[#This Row],[phq9_score]]&lt;=27,"Severe")</f>
        <v>Answer Not Provided</v>
      </c>
      <c r="L463">
        <v>12</v>
      </c>
      <c r="M463" s="4" t="str" cm="1">
        <f t="array" ref="M463">_xlfn.IFS(stdsurvey[[#This Row],[gad7_score]]="","Answer Not Provided",stdsurvey[[#This Row],[gad7_score]]&lt;=4,"Minimal",stdsurvey[[#This Row],[gad7_score]]&lt;=9,"Mild",stdsurvey[[#This Row],[gad7_score]]&lt;=14,"Moderate",stdsurvey[[#This Row],[gad7_score]]&lt;=21,"Severe")</f>
        <v>Answer Not Provided</v>
      </c>
      <c r="N463">
        <v>16.7</v>
      </c>
      <c r="O463" s="4" t="str" cm="1">
        <f t="array" ref="O463">_xlfn.IFS(stdsurvey[[#This Row],[perceived_stress_scale]]="","Answer Not Provided",stdsurvey[[#This Row],[perceived_stress_scale]]&lt;=13,"Low Stress",stdsurvey[[#This Row],[perceived_stress_scale]]&lt;=26,"Moderate Stress",stdsurvey[[#This Row],[perceived_stress_scale]]&lt;=40,"High Stress")</f>
        <v>Low Stress</v>
      </c>
      <c r="P463">
        <v>73.599999999999994</v>
      </c>
      <c r="Q463">
        <v>3</v>
      </c>
      <c r="R463" s="4" t="str" cm="1">
        <f t="array" ref="R463">_xlfn.IFS(stdsurvey[[#This Row],[class_attendance_percent]]&lt;60,"Less than 0%",stdsurvey[[#This Row],[class_attendance_percent]]&lt;70,"60-70 %",stdsurvey[[#This Row],[class_attendance_percent]]&lt;80, "70-80%",stdsurvey[[#This Row],[class_attendance_percent]]&lt;90,"80-90%",TRUE,"More than 90%")</f>
        <v>70-80%</v>
      </c>
      <c r="S463" t="s">
        <v>22</v>
      </c>
      <c r="T463">
        <v>5</v>
      </c>
      <c r="U463" t="s">
        <v>26</v>
      </c>
      <c r="V463">
        <v>2.7</v>
      </c>
      <c r="W463" s="4" t="str" cm="1">
        <f t="array" ref="W46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63" s="4" t="str" cm="1">
        <f t="array" ref="X463">_xlfn.IFS(stdsurvey[[#This Row],[daily_sleep_hours]]&lt;4,"&lt; 4 hrs",stdsurvey[[#This Row],[daily_sleep_hours]]&lt;=6,"4-6 hrs",stdsurvey[[#This Row],[daily_sleep_hours]]&lt;=8,"6-8 hrs",TRUE,"&gt; 8 hrs")</f>
        <v>4-6 hrs</v>
      </c>
      <c r="Y463" t="s">
        <v>27</v>
      </c>
    </row>
    <row r="464" spans="1:25" x14ac:dyDescent="0.3">
      <c r="A464" t="s">
        <v>498</v>
      </c>
      <c r="B464">
        <v>21</v>
      </c>
      <c r="C464" t="s">
        <v>27</v>
      </c>
      <c r="D464">
        <v>2</v>
      </c>
      <c r="E464" t="s">
        <v>30</v>
      </c>
      <c r="F464">
        <v>7.1</v>
      </c>
      <c r="G464">
        <v>4.5999999999999996</v>
      </c>
      <c r="H464">
        <v>2</v>
      </c>
      <c r="I464">
        <v>3</v>
      </c>
      <c r="J464">
        <v>4</v>
      </c>
      <c r="K464" s="4" t="str" cm="1">
        <f t="array" ref="K464">_xlfn.IFS(stdsurvey[[#This Row],[phq9_score]]="","Answer Not Provided",stdsurvey[[#This Row],[phq9_score]]&lt;=4,"Minimal",stdsurvey[[#This Row],[phq9_score]]&lt;=9,"Mild",stdsurvey[[#This Row],[phq9_score]]&lt;=14,"Moderate",stdsurvey[[#This Row],[phq9_score]]&lt;=19,"Moderately Severe",stdsurvey[[#This Row],[phq9_score]]&lt;=27,"Severe")</f>
        <v>Minimal</v>
      </c>
      <c r="L464">
        <v>9</v>
      </c>
      <c r="M464" s="4" t="str" cm="1">
        <f t="array" ref="M464">_xlfn.IFS(stdsurvey[[#This Row],[gad7_score]]="","Answer Not Provided",stdsurvey[[#This Row],[gad7_score]]&lt;=4,"Minimal",stdsurvey[[#This Row],[gad7_score]]&lt;=9,"Mild",stdsurvey[[#This Row],[gad7_score]]&lt;=14,"Moderate",stdsurvey[[#This Row],[gad7_score]]&lt;=21,"Severe")</f>
        <v>Minimal</v>
      </c>
      <c r="N464">
        <v>24.2</v>
      </c>
      <c r="O464" s="4" t="str" cm="1">
        <f t="array" ref="O464">_xlfn.IFS(stdsurvey[[#This Row],[perceived_stress_scale]]="","Answer Not Provided",stdsurvey[[#This Row],[perceived_stress_scale]]&lt;=13,"Low Stress",stdsurvey[[#This Row],[perceived_stress_scale]]&lt;=26,"Moderate Stress",stdsurvey[[#This Row],[perceived_stress_scale]]&lt;=40,"High Stress")</f>
        <v>Low Stress</v>
      </c>
      <c r="P464">
        <v>66</v>
      </c>
      <c r="Q464">
        <v>3</v>
      </c>
      <c r="R464" s="4" t="str" cm="1">
        <f t="array" ref="R464">_xlfn.IFS(stdsurvey[[#This Row],[class_attendance_percent]]&lt;60,"Less than 0%",stdsurvey[[#This Row],[class_attendance_percent]]&lt;70,"60-70 %",stdsurvey[[#This Row],[class_attendance_percent]]&lt;80, "70-80%",stdsurvey[[#This Row],[class_attendance_percent]]&lt;90,"80-90%",TRUE,"More than 90%")</f>
        <v>60-70 %</v>
      </c>
      <c r="S464" t="s">
        <v>22</v>
      </c>
      <c r="T464">
        <v>4</v>
      </c>
      <c r="U464" t="s">
        <v>26</v>
      </c>
      <c r="V464">
        <v>3.47</v>
      </c>
      <c r="W464" s="4" t="str" cm="1">
        <f t="array" ref="W46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64" s="4" t="str" cm="1">
        <f t="array" ref="X464">_xlfn.IFS(stdsurvey[[#This Row],[daily_sleep_hours]]&lt;4,"&lt; 4 hrs",stdsurvey[[#This Row],[daily_sleep_hours]]&lt;=6,"4-6 hrs",stdsurvey[[#This Row],[daily_sleep_hours]]&lt;=8,"6-8 hrs",TRUE,"&gt; 8 hrs")</f>
        <v>6-8 hrs</v>
      </c>
      <c r="Y464" t="s">
        <v>27</v>
      </c>
    </row>
    <row r="465" spans="1:25" x14ac:dyDescent="0.3">
      <c r="A465" t="s">
        <v>499</v>
      </c>
      <c r="B465">
        <v>22</v>
      </c>
      <c r="C465" t="s">
        <v>20</v>
      </c>
      <c r="D465">
        <v>3</v>
      </c>
      <c r="E465" t="s">
        <v>47</v>
      </c>
      <c r="F465">
        <v>6.7</v>
      </c>
      <c r="G465">
        <v>1.7</v>
      </c>
      <c r="H465">
        <v>2</v>
      </c>
      <c r="I465">
        <v>2</v>
      </c>
      <c r="J465">
        <v>1</v>
      </c>
      <c r="K465" s="4" t="str" cm="1">
        <f t="array" ref="K465">_xlfn.IFS(stdsurvey[[#This Row],[phq9_score]]="","Answer Not Provided",stdsurvey[[#This Row],[phq9_score]]&lt;=4,"Minimal",stdsurvey[[#This Row],[phq9_score]]&lt;=9,"Mild",stdsurvey[[#This Row],[phq9_score]]&lt;=14,"Moderate",stdsurvey[[#This Row],[phq9_score]]&lt;=19,"Moderately Severe",stdsurvey[[#This Row],[phq9_score]]&lt;=27,"Severe")</f>
        <v>Minimal</v>
      </c>
      <c r="L465">
        <v>3</v>
      </c>
      <c r="M465" s="4" t="str" cm="1">
        <f t="array" ref="M465">_xlfn.IFS(stdsurvey[[#This Row],[gad7_score]]="","Answer Not Provided",stdsurvey[[#This Row],[gad7_score]]&lt;=4,"Minimal",stdsurvey[[#This Row],[gad7_score]]&lt;=9,"Mild",stdsurvey[[#This Row],[gad7_score]]&lt;=14,"Moderate",stdsurvey[[#This Row],[gad7_score]]&lt;=21,"Severe")</f>
        <v>Minimal</v>
      </c>
      <c r="N465">
        <v>20.7</v>
      </c>
      <c r="O465" s="4" t="str" cm="1">
        <f t="array" ref="O465">_xlfn.IFS(stdsurvey[[#This Row],[perceived_stress_scale]]="","Answer Not Provided",stdsurvey[[#This Row],[perceived_stress_scale]]&lt;=13,"Low Stress",stdsurvey[[#This Row],[perceived_stress_scale]]&lt;=26,"Moderate Stress",stdsurvey[[#This Row],[perceived_stress_scale]]&lt;=40,"High Stress")</f>
        <v>Low Stress</v>
      </c>
      <c r="P465">
        <v>92.4</v>
      </c>
      <c r="Q465">
        <v>3</v>
      </c>
      <c r="R465" s="4" t="str" cm="1">
        <f t="array" ref="R465">_xlfn.IFS(stdsurvey[[#This Row],[class_attendance_percent]]&lt;60,"Less than 0%",stdsurvey[[#This Row],[class_attendance_percent]]&lt;70,"60-70 %",stdsurvey[[#This Row],[class_attendance_percent]]&lt;80, "70-80%",stdsurvey[[#This Row],[class_attendance_percent]]&lt;90,"80-90%",TRUE,"More than 90%")</f>
        <v>More than 90%</v>
      </c>
      <c r="S465" t="s">
        <v>33</v>
      </c>
      <c r="T465">
        <v>1</v>
      </c>
      <c r="U465" t="s">
        <v>51</v>
      </c>
      <c r="V465">
        <v>3.33</v>
      </c>
      <c r="W465" s="4" t="str" cm="1">
        <f t="array" ref="W46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65" s="4" t="str" cm="1">
        <f t="array" ref="X465">_xlfn.IFS(stdsurvey[[#This Row],[daily_sleep_hours]]&lt;4,"&lt; 4 hrs",stdsurvey[[#This Row],[daily_sleep_hours]]&lt;=6,"4-6 hrs",stdsurvey[[#This Row],[daily_sleep_hours]]&lt;=8,"6-8 hrs",TRUE,"&gt; 8 hrs")</f>
        <v>6-8 hrs</v>
      </c>
      <c r="Y465" t="s">
        <v>20</v>
      </c>
    </row>
    <row r="466" spans="1:25" x14ac:dyDescent="0.3">
      <c r="A466" t="s">
        <v>500</v>
      </c>
      <c r="B466">
        <v>20</v>
      </c>
      <c r="C466" t="s">
        <v>27</v>
      </c>
      <c r="D466">
        <v>4</v>
      </c>
      <c r="E466" t="s">
        <v>49</v>
      </c>
      <c r="F466">
        <v>5.6</v>
      </c>
      <c r="G466">
        <v>3.6</v>
      </c>
      <c r="H466">
        <v>5</v>
      </c>
      <c r="I466">
        <v>6</v>
      </c>
      <c r="J466">
        <v>3</v>
      </c>
      <c r="K466" s="4" t="str" cm="1">
        <f t="array" ref="K466">_xlfn.IFS(stdsurvey[[#This Row],[phq9_score]]="","Answer Not Provided",stdsurvey[[#This Row],[phq9_score]]&lt;=4,"Minimal",stdsurvey[[#This Row],[phq9_score]]&lt;=9,"Mild",stdsurvey[[#This Row],[phq9_score]]&lt;=14,"Moderate",stdsurvey[[#This Row],[phq9_score]]&lt;=19,"Moderately Severe",stdsurvey[[#This Row],[phq9_score]]&lt;=27,"Severe")</f>
        <v>Mild</v>
      </c>
      <c r="L466">
        <v>16</v>
      </c>
      <c r="M466" s="4" t="str" cm="1">
        <f t="array" ref="M466">_xlfn.IFS(stdsurvey[[#This Row],[gad7_score]]="","Answer Not Provided",stdsurvey[[#This Row],[gad7_score]]&lt;=4,"Minimal",stdsurvey[[#This Row],[gad7_score]]&lt;=9,"Mild",stdsurvey[[#This Row],[gad7_score]]&lt;=14,"Moderate",stdsurvey[[#This Row],[gad7_score]]&lt;=21,"Severe")</f>
        <v>Minimal</v>
      </c>
      <c r="N466">
        <v>14.1</v>
      </c>
      <c r="O466" s="4" t="str" cm="1">
        <f t="array" ref="O466">_xlfn.IFS(stdsurvey[[#This Row],[perceived_stress_scale]]="","Answer Not Provided",stdsurvey[[#This Row],[perceived_stress_scale]]&lt;=13,"Low Stress",stdsurvey[[#This Row],[perceived_stress_scale]]&lt;=26,"Moderate Stress",stdsurvey[[#This Row],[perceived_stress_scale]]&lt;=40,"High Stress")</f>
        <v>Moderate Stress</v>
      </c>
      <c r="P466">
        <v>100</v>
      </c>
      <c r="Q466">
        <v>2</v>
      </c>
      <c r="R466" s="4" t="str" cm="1">
        <f t="array" ref="R466">_xlfn.IFS(stdsurvey[[#This Row],[class_attendance_percent]]&lt;60,"Less than 0%",stdsurvey[[#This Row],[class_attendance_percent]]&lt;70,"60-70 %",stdsurvey[[#This Row],[class_attendance_percent]]&lt;80, "70-80%",stdsurvey[[#This Row],[class_attendance_percent]]&lt;90,"80-90%",TRUE,"More than 90%")</f>
        <v>More than 90%</v>
      </c>
      <c r="S466" t="s">
        <v>22</v>
      </c>
      <c r="T466">
        <v>2</v>
      </c>
      <c r="U466" t="s">
        <v>23</v>
      </c>
      <c r="V466">
        <v>2.95</v>
      </c>
      <c r="W466" s="4" t="str" cm="1">
        <f t="array" ref="W46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66" s="4" t="str" cm="1">
        <f t="array" ref="X466">_xlfn.IFS(stdsurvey[[#This Row],[daily_sleep_hours]]&lt;4,"&lt; 4 hrs",stdsurvey[[#This Row],[daily_sleep_hours]]&lt;=6,"4-6 hrs",stdsurvey[[#This Row],[daily_sleep_hours]]&lt;=8,"6-8 hrs",TRUE,"&gt; 8 hrs")</f>
        <v>4-6 hrs</v>
      </c>
      <c r="Y466" t="s">
        <v>27</v>
      </c>
    </row>
    <row r="467" spans="1:25" x14ac:dyDescent="0.3">
      <c r="A467" t="s">
        <v>501</v>
      </c>
      <c r="B467">
        <v>18</v>
      </c>
      <c r="C467" t="s">
        <v>27</v>
      </c>
      <c r="D467">
        <v>4</v>
      </c>
      <c r="E467" t="s">
        <v>35</v>
      </c>
      <c r="F467">
        <v>6</v>
      </c>
      <c r="G467">
        <v>10.1</v>
      </c>
      <c r="H467">
        <v>4</v>
      </c>
      <c r="I467">
        <v>10</v>
      </c>
      <c r="J467">
        <v>10</v>
      </c>
      <c r="K467" s="4" t="str" cm="1">
        <f t="array" ref="K467">_xlfn.IFS(stdsurvey[[#This Row],[phq9_score]]="","Answer Not Provided",stdsurvey[[#This Row],[phq9_score]]&lt;=4,"Minimal",stdsurvey[[#This Row],[phq9_score]]&lt;=9,"Mild",stdsurvey[[#This Row],[phq9_score]]&lt;=14,"Moderate",stdsurvey[[#This Row],[phq9_score]]&lt;=19,"Moderately Severe",stdsurvey[[#This Row],[phq9_score]]&lt;=27,"Severe")</f>
        <v>Moderate</v>
      </c>
      <c r="L467">
        <v>16</v>
      </c>
      <c r="M467" s="4" t="str" cm="1">
        <f t="array" ref="M467">_xlfn.IFS(stdsurvey[[#This Row],[gad7_score]]="","Answer Not Provided",stdsurvey[[#This Row],[gad7_score]]&lt;=4,"Minimal",stdsurvey[[#This Row],[gad7_score]]&lt;=9,"Mild",stdsurvey[[#This Row],[gad7_score]]&lt;=14,"Moderate",stdsurvey[[#This Row],[gad7_score]]&lt;=21,"Severe")</f>
        <v>Moderate</v>
      </c>
      <c r="N467">
        <v>18.2</v>
      </c>
      <c r="O467" s="4" t="str" cm="1">
        <f t="array" ref="O467">_xlfn.IFS(stdsurvey[[#This Row],[perceived_stress_scale]]="","Answer Not Provided",stdsurvey[[#This Row],[perceived_stress_scale]]&lt;=13,"Low Stress",stdsurvey[[#This Row],[perceived_stress_scale]]&lt;=26,"Moderate Stress",stdsurvey[[#This Row],[perceived_stress_scale]]&lt;=40,"High Stress")</f>
        <v>Moderate Stress</v>
      </c>
      <c r="P467">
        <v>66</v>
      </c>
      <c r="Q467">
        <v>3</v>
      </c>
      <c r="R467" s="4" t="str" cm="1">
        <f t="array" ref="R467">_xlfn.IFS(stdsurvey[[#This Row],[class_attendance_percent]]&lt;60,"Less than 0%",stdsurvey[[#This Row],[class_attendance_percent]]&lt;70,"60-70 %",stdsurvey[[#This Row],[class_attendance_percent]]&lt;80, "70-80%",stdsurvey[[#This Row],[class_attendance_percent]]&lt;90,"80-90%",TRUE,"More than 90%")</f>
        <v>60-70 %</v>
      </c>
      <c r="S467" t="s">
        <v>22</v>
      </c>
      <c r="T467">
        <v>5</v>
      </c>
      <c r="U467" t="s">
        <v>51</v>
      </c>
      <c r="V467">
        <v>2.74</v>
      </c>
      <c r="W467" s="4" t="str" cm="1">
        <f t="array" ref="W46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67" s="4" t="str" cm="1">
        <f t="array" ref="X467">_xlfn.IFS(stdsurvey[[#This Row],[daily_sleep_hours]]&lt;4,"&lt; 4 hrs",stdsurvey[[#This Row],[daily_sleep_hours]]&lt;=6,"4-6 hrs",stdsurvey[[#This Row],[daily_sleep_hours]]&lt;=8,"6-8 hrs",TRUE,"&gt; 8 hrs")</f>
        <v>4-6 hrs</v>
      </c>
      <c r="Y467" t="s">
        <v>27</v>
      </c>
    </row>
    <row r="468" spans="1:25" x14ac:dyDescent="0.3">
      <c r="A468" t="s">
        <v>502</v>
      </c>
      <c r="B468">
        <v>17</v>
      </c>
      <c r="C468" t="s">
        <v>20</v>
      </c>
      <c r="D468">
        <v>3</v>
      </c>
      <c r="E468" t="s">
        <v>63</v>
      </c>
      <c r="F468">
        <v>7.2</v>
      </c>
      <c r="G468">
        <v>8</v>
      </c>
      <c r="H468">
        <v>3</v>
      </c>
      <c r="I468">
        <v>5</v>
      </c>
      <c r="J468">
        <v>4</v>
      </c>
      <c r="K468" s="4" t="str" cm="1">
        <f t="array" ref="K468">_xlfn.IFS(stdsurvey[[#This Row],[phq9_score]]="","Answer Not Provided",stdsurvey[[#This Row],[phq9_score]]&lt;=4,"Minimal",stdsurvey[[#This Row],[phq9_score]]&lt;=9,"Mild",stdsurvey[[#This Row],[phq9_score]]&lt;=14,"Moderate",stdsurvey[[#This Row],[phq9_score]]&lt;=19,"Moderately Severe",stdsurvey[[#This Row],[phq9_score]]&lt;=27,"Severe")</f>
        <v>Mild</v>
      </c>
      <c r="L468">
        <v>10</v>
      </c>
      <c r="M468" s="4" t="str" cm="1">
        <f t="array" ref="M468">_xlfn.IFS(stdsurvey[[#This Row],[gad7_score]]="","Answer Not Provided",stdsurvey[[#This Row],[gad7_score]]&lt;=4,"Minimal",stdsurvey[[#This Row],[gad7_score]]&lt;=9,"Mild",stdsurvey[[#This Row],[gad7_score]]&lt;=14,"Moderate",stdsurvey[[#This Row],[gad7_score]]&lt;=21,"Severe")</f>
        <v>Minimal</v>
      </c>
      <c r="N468">
        <v>13.7</v>
      </c>
      <c r="O468" s="4" t="str" cm="1">
        <f t="array" ref="O468">_xlfn.IFS(stdsurvey[[#This Row],[perceived_stress_scale]]="","Answer Not Provided",stdsurvey[[#This Row],[perceived_stress_scale]]&lt;=13,"Low Stress",stdsurvey[[#This Row],[perceived_stress_scale]]&lt;=26,"Moderate Stress",stdsurvey[[#This Row],[perceived_stress_scale]]&lt;=40,"High Stress")</f>
        <v>Low Stress</v>
      </c>
      <c r="P468">
        <v>84.8</v>
      </c>
      <c r="Q468">
        <v>3</v>
      </c>
      <c r="R468" s="4" t="str" cm="1">
        <f t="array" ref="R468">_xlfn.IFS(stdsurvey[[#This Row],[class_attendance_percent]]&lt;60,"Less than 0%",stdsurvey[[#This Row],[class_attendance_percent]]&lt;70,"60-70 %",stdsurvey[[#This Row],[class_attendance_percent]]&lt;80, "70-80%",stdsurvey[[#This Row],[class_attendance_percent]]&lt;90,"80-90%",TRUE,"More than 90%")</f>
        <v>80-90%</v>
      </c>
      <c r="S468" t="s">
        <v>33</v>
      </c>
      <c r="T468">
        <v>5</v>
      </c>
      <c r="U468" t="s">
        <v>51</v>
      </c>
      <c r="V468">
        <v>2.7</v>
      </c>
      <c r="W468" s="4" t="str" cm="1">
        <f t="array" ref="W46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68" s="4" t="str" cm="1">
        <f t="array" ref="X468">_xlfn.IFS(stdsurvey[[#This Row],[daily_sleep_hours]]&lt;4,"&lt; 4 hrs",stdsurvey[[#This Row],[daily_sleep_hours]]&lt;=6,"4-6 hrs",stdsurvey[[#This Row],[daily_sleep_hours]]&lt;=8,"6-8 hrs",TRUE,"&gt; 8 hrs")</f>
        <v>6-8 hrs</v>
      </c>
      <c r="Y468" t="s">
        <v>20</v>
      </c>
    </row>
    <row r="469" spans="1:25" x14ac:dyDescent="0.3">
      <c r="A469" t="s">
        <v>503</v>
      </c>
      <c r="B469">
        <v>19</v>
      </c>
      <c r="C469" t="s">
        <v>20</v>
      </c>
      <c r="D469">
        <v>1</v>
      </c>
      <c r="E469" t="s">
        <v>30</v>
      </c>
      <c r="F469">
        <v>6.8</v>
      </c>
      <c r="G469">
        <v>3.7</v>
      </c>
      <c r="H469">
        <v>1</v>
      </c>
      <c r="I469">
        <v>3</v>
      </c>
      <c r="J469">
        <v>2</v>
      </c>
      <c r="K469" s="4" t="str" cm="1">
        <f t="array" ref="K469">_xlfn.IFS(stdsurvey[[#This Row],[phq9_score]]="","Answer Not Provided",stdsurvey[[#This Row],[phq9_score]]&lt;=4,"Minimal",stdsurvey[[#This Row],[phq9_score]]&lt;=9,"Mild",stdsurvey[[#This Row],[phq9_score]]&lt;=14,"Moderate",stdsurvey[[#This Row],[phq9_score]]&lt;=19,"Moderately Severe",stdsurvey[[#This Row],[phq9_score]]&lt;=27,"Severe")</f>
        <v>Minimal</v>
      </c>
      <c r="L469">
        <v>7</v>
      </c>
      <c r="M469" s="4" t="str" cm="1">
        <f t="array" ref="M469">_xlfn.IFS(stdsurvey[[#This Row],[gad7_score]]="","Answer Not Provided",stdsurvey[[#This Row],[gad7_score]]&lt;=4,"Minimal",stdsurvey[[#This Row],[gad7_score]]&lt;=9,"Mild",stdsurvey[[#This Row],[gad7_score]]&lt;=14,"Moderate",stdsurvey[[#This Row],[gad7_score]]&lt;=21,"Severe")</f>
        <v>Minimal</v>
      </c>
      <c r="N469">
        <v>13.8</v>
      </c>
      <c r="O469" s="4" t="str" cm="1">
        <f t="array" ref="O469">_xlfn.IFS(stdsurvey[[#This Row],[perceived_stress_scale]]="","Answer Not Provided",stdsurvey[[#This Row],[perceived_stress_scale]]&lt;=13,"Low Stress",stdsurvey[[#This Row],[perceived_stress_scale]]&lt;=26,"Moderate Stress",stdsurvey[[#This Row],[perceived_stress_scale]]&lt;=40,"High Stress")</f>
        <v>Low Stress</v>
      </c>
      <c r="P469">
        <v>87.6</v>
      </c>
      <c r="Q469">
        <v>3</v>
      </c>
      <c r="R469" s="4" t="str" cm="1">
        <f t="array" ref="R469">_xlfn.IFS(stdsurvey[[#This Row],[class_attendance_percent]]&lt;60,"Less than 0%",stdsurvey[[#This Row],[class_attendance_percent]]&lt;70,"60-70 %",stdsurvey[[#This Row],[class_attendance_percent]]&lt;80, "70-80%",stdsurvey[[#This Row],[class_attendance_percent]]&lt;90,"80-90%",TRUE,"More than 90%")</f>
        <v>80-90%</v>
      </c>
      <c r="S469" t="s">
        <v>33</v>
      </c>
      <c r="T469">
        <v>5</v>
      </c>
      <c r="U469" t="s">
        <v>23</v>
      </c>
      <c r="V469">
        <v>3.39</v>
      </c>
      <c r="W469" s="4" t="str" cm="1">
        <f t="array" ref="W46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69" s="4" t="str" cm="1">
        <f t="array" ref="X469">_xlfn.IFS(stdsurvey[[#This Row],[daily_sleep_hours]]&lt;4,"&lt; 4 hrs",stdsurvey[[#This Row],[daily_sleep_hours]]&lt;=6,"4-6 hrs",stdsurvey[[#This Row],[daily_sleep_hours]]&lt;=8,"6-8 hrs",TRUE,"&gt; 8 hrs")</f>
        <v>6-8 hrs</v>
      </c>
      <c r="Y469" t="s">
        <v>20</v>
      </c>
    </row>
    <row r="470" spans="1:25" x14ac:dyDescent="0.3">
      <c r="A470" t="s">
        <v>504</v>
      </c>
      <c r="B470">
        <v>21</v>
      </c>
      <c r="C470" t="s">
        <v>45</v>
      </c>
      <c r="D470">
        <v>2</v>
      </c>
      <c r="E470" t="s">
        <v>21</v>
      </c>
      <c r="F470">
        <v>3.5</v>
      </c>
      <c r="G470">
        <v>3.7</v>
      </c>
      <c r="H470">
        <v>4</v>
      </c>
      <c r="I470">
        <v>1</v>
      </c>
      <c r="J470">
        <v>0</v>
      </c>
      <c r="K470" s="4" t="str" cm="1">
        <f t="array" ref="K470">_xlfn.IFS(stdsurvey[[#This Row],[phq9_score]]="","Answer Not Provided",stdsurvey[[#This Row],[phq9_score]]&lt;=4,"Minimal",stdsurvey[[#This Row],[phq9_score]]&lt;=9,"Mild",stdsurvey[[#This Row],[phq9_score]]&lt;=14,"Moderate",stdsurvey[[#This Row],[phq9_score]]&lt;=19,"Moderately Severe",stdsurvey[[#This Row],[phq9_score]]&lt;=27,"Severe")</f>
        <v>Minimal</v>
      </c>
      <c r="L470">
        <v>4</v>
      </c>
      <c r="M470" s="4" t="str" cm="1">
        <f t="array" ref="M470">_xlfn.IFS(stdsurvey[[#This Row],[gad7_score]]="","Answer Not Provided",stdsurvey[[#This Row],[gad7_score]]&lt;=4,"Minimal",stdsurvey[[#This Row],[gad7_score]]&lt;=9,"Mild",stdsurvey[[#This Row],[gad7_score]]&lt;=14,"Moderate",stdsurvey[[#This Row],[gad7_score]]&lt;=21,"Severe")</f>
        <v>Minimal</v>
      </c>
      <c r="N470">
        <v>21</v>
      </c>
      <c r="O470" s="4" t="str" cm="1">
        <f t="array" ref="O470">_xlfn.IFS(stdsurvey[[#This Row],[perceived_stress_scale]]="","Answer Not Provided",stdsurvey[[#This Row],[perceived_stress_scale]]&lt;=13,"Low Stress",stdsurvey[[#This Row],[perceived_stress_scale]]&lt;=26,"Moderate Stress",stdsurvey[[#This Row],[perceived_stress_scale]]&lt;=40,"High Stress")</f>
        <v>Low Stress</v>
      </c>
      <c r="P470">
        <v>82.1</v>
      </c>
      <c r="Q470">
        <v>2</v>
      </c>
      <c r="R470" s="4" t="str" cm="1">
        <f t="array" ref="R470">_xlfn.IFS(stdsurvey[[#This Row],[class_attendance_percent]]&lt;60,"Less than 0%",stdsurvey[[#This Row],[class_attendance_percent]]&lt;70,"60-70 %",stdsurvey[[#This Row],[class_attendance_percent]]&lt;80, "70-80%",stdsurvey[[#This Row],[class_attendance_percent]]&lt;90,"80-90%",TRUE,"More than 90%")</f>
        <v>80-90%</v>
      </c>
      <c r="S470" t="s">
        <v>22</v>
      </c>
      <c r="T470">
        <v>1</v>
      </c>
      <c r="U470" t="s">
        <v>23</v>
      </c>
      <c r="V470">
        <v>3.26</v>
      </c>
      <c r="W470" s="4" t="str" cm="1">
        <f t="array" ref="W47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70" s="4" t="str" cm="1">
        <f t="array" ref="X470">_xlfn.IFS(stdsurvey[[#This Row],[daily_sleep_hours]]&lt;4,"&lt; 4 hrs",stdsurvey[[#This Row],[daily_sleep_hours]]&lt;=6,"4-6 hrs",stdsurvey[[#This Row],[daily_sleep_hours]]&lt;=8,"6-8 hrs",TRUE,"&gt; 8 hrs")</f>
        <v>&lt; 4 hrs</v>
      </c>
      <c r="Y470" t="s">
        <v>20</v>
      </c>
    </row>
    <row r="471" spans="1:25" x14ac:dyDescent="0.3">
      <c r="A471" t="s">
        <v>505</v>
      </c>
      <c r="B471">
        <v>21</v>
      </c>
      <c r="C471" t="s">
        <v>27</v>
      </c>
      <c r="D471">
        <v>3</v>
      </c>
      <c r="E471" t="s">
        <v>32</v>
      </c>
      <c r="F471">
        <v>5.6</v>
      </c>
      <c r="G471">
        <v>6.5</v>
      </c>
      <c r="H471">
        <v>5</v>
      </c>
      <c r="I471">
        <v>2</v>
      </c>
      <c r="J471">
        <v>4</v>
      </c>
      <c r="K471" s="4" t="str" cm="1">
        <f t="array" ref="K471">_xlfn.IFS(stdsurvey[[#This Row],[phq9_score]]="","Answer Not Provided",stdsurvey[[#This Row],[phq9_score]]&lt;=4,"Minimal",stdsurvey[[#This Row],[phq9_score]]&lt;=9,"Mild",stdsurvey[[#This Row],[phq9_score]]&lt;=14,"Moderate",stdsurvey[[#This Row],[phq9_score]]&lt;=19,"Moderately Severe",stdsurvey[[#This Row],[phq9_score]]&lt;=27,"Severe")</f>
        <v>Minimal</v>
      </c>
      <c r="L471">
        <v>13</v>
      </c>
      <c r="M471" s="4" t="str" cm="1">
        <f t="array" ref="M471">_xlfn.IFS(stdsurvey[[#This Row],[gad7_score]]="","Answer Not Provided",stdsurvey[[#This Row],[gad7_score]]&lt;=4,"Minimal",stdsurvey[[#This Row],[gad7_score]]&lt;=9,"Mild",stdsurvey[[#This Row],[gad7_score]]&lt;=14,"Moderate",stdsurvey[[#This Row],[gad7_score]]&lt;=21,"Severe")</f>
        <v>Minimal</v>
      </c>
      <c r="N471">
        <v>20.8</v>
      </c>
      <c r="O471" s="4" t="str" cm="1">
        <f t="array" ref="O471">_xlfn.IFS(stdsurvey[[#This Row],[perceived_stress_scale]]="","Answer Not Provided",stdsurvey[[#This Row],[perceived_stress_scale]]&lt;=13,"Low Stress",stdsurvey[[#This Row],[perceived_stress_scale]]&lt;=26,"Moderate Stress",stdsurvey[[#This Row],[perceived_stress_scale]]&lt;=40,"High Stress")</f>
        <v>Low Stress</v>
      </c>
      <c r="P471">
        <v>64.400000000000006</v>
      </c>
      <c r="Q471">
        <v>3</v>
      </c>
      <c r="R471" s="4" t="str" cm="1">
        <f t="array" ref="R471">_xlfn.IFS(stdsurvey[[#This Row],[class_attendance_percent]]&lt;60,"Less than 0%",stdsurvey[[#This Row],[class_attendance_percent]]&lt;70,"60-70 %",stdsurvey[[#This Row],[class_attendance_percent]]&lt;80, "70-80%",stdsurvey[[#This Row],[class_attendance_percent]]&lt;90,"80-90%",TRUE,"More than 90%")</f>
        <v>60-70 %</v>
      </c>
      <c r="S471" t="s">
        <v>22</v>
      </c>
      <c r="T471">
        <v>3</v>
      </c>
      <c r="U471" t="s">
        <v>23</v>
      </c>
      <c r="V471">
        <v>3.21</v>
      </c>
      <c r="W471" s="4" t="str" cm="1">
        <f t="array" ref="W47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1" s="4" t="str" cm="1">
        <f t="array" ref="X471">_xlfn.IFS(stdsurvey[[#This Row],[daily_sleep_hours]]&lt;4,"&lt; 4 hrs",stdsurvey[[#This Row],[daily_sleep_hours]]&lt;=6,"4-6 hrs",stdsurvey[[#This Row],[daily_sleep_hours]]&lt;=8,"6-8 hrs",TRUE,"&gt; 8 hrs")</f>
        <v>4-6 hrs</v>
      </c>
      <c r="Y471" t="s">
        <v>27</v>
      </c>
    </row>
    <row r="472" spans="1:25" x14ac:dyDescent="0.3">
      <c r="A472" t="s">
        <v>506</v>
      </c>
      <c r="B472">
        <v>26</v>
      </c>
      <c r="C472" t="s">
        <v>39</v>
      </c>
      <c r="D472">
        <v>1</v>
      </c>
      <c r="E472" t="s">
        <v>30</v>
      </c>
      <c r="F472">
        <v>8.1999999999999993</v>
      </c>
      <c r="G472">
        <v>4.8</v>
      </c>
      <c r="H472">
        <v>2</v>
      </c>
      <c r="I472">
        <v>8</v>
      </c>
      <c r="J472">
        <v>10</v>
      </c>
      <c r="K472" s="4" t="str" cm="1">
        <f t="array" ref="K472">_xlfn.IFS(stdsurvey[[#This Row],[phq9_score]]="","Answer Not Provided",stdsurvey[[#This Row],[phq9_score]]&lt;=4,"Minimal",stdsurvey[[#This Row],[phq9_score]]&lt;=9,"Mild",stdsurvey[[#This Row],[phq9_score]]&lt;=14,"Moderate",stdsurvey[[#This Row],[phq9_score]]&lt;=19,"Moderately Severe",stdsurvey[[#This Row],[phq9_score]]&lt;=27,"Severe")</f>
        <v>Mild</v>
      </c>
      <c r="L472">
        <v>19</v>
      </c>
      <c r="M472" s="4" t="str" cm="1">
        <f t="array" ref="M472">_xlfn.IFS(stdsurvey[[#This Row],[gad7_score]]="","Answer Not Provided",stdsurvey[[#This Row],[gad7_score]]&lt;=4,"Minimal",stdsurvey[[#This Row],[gad7_score]]&lt;=9,"Mild",stdsurvey[[#This Row],[gad7_score]]&lt;=14,"Moderate",stdsurvey[[#This Row],[gad7_score]]&lt;=21,"Severe")</f>
        <v>Moderate</v>
      </c>
      <c r="N472">
        <v>27.3</v>
      </c>
      <c r="O472" s="4" t="str" cm="1">
        <f t="array" ref="O472">_xlfn.IFS(stdsurvey[[#This Row],[perceived_stress_scale]]="","Answer Not Provided",stdsurvey[[#This Row],[perceived_stress_scale]]&lt;=13,"Low Stress",stdsurvey[[#This Row],[perceived_stress_scale]]&lt;=26,"Moderate Stress",stdsurvey[[#This Row],[perceived_stress_scale]]&lt;=40,"High Stress")</f>
        <v>Moderate Stress</v>
      </c>
      <c r="P472">
        <v>58.6</v>
      </c>
      <c r="R472" s="4" t="str" cm="1">
        <f t="array" ref="R472">_xlfn.IFS(stdsurvey[[#This Row],[class_attendance_percent]]&lt;60,"Less than 0%",stdsurvey[[#This Row],[class_attendance_percent]]&lt;70,"60-70 %",stdsurvey[[#This Row],[class_attendance_percent]]&lt;80, "70-80%",stdsurvey[[#This Row],[class_attendance_percent]]&lt;90,"80-90%",TRUE,"More than 90%")</f>
        <v>Less than 0%</v>
      </c>
      <c r="S472" t="s">
        <v>22</v>
      </c>
      <c r="T472">
        <v>4</v>
      </c>
      <c r="U472" t="s">
        <v>51</v>
      </c>
      <c r="V472">
        <v>3.11</v>
      </c>
      <c r="W472" s="4" t="str" cm="1">
        <f t="array" ref="W47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2" s="4" t="str" cm="1">
        <f t="array" ref="X472">_xlfn.IFS(stdsurvey[[#This Row],[daily_sleep_hours]]&lt;4,"&lt; 4 hrs",stdsurvey[[#This Row],[daily_sleep_hours]]&lt;=6,"4-6 hrs",stdsurvey[[#This Row],[daily_sleep_hours]]&lt;=8,"6-8 hrs",TRUE,"&gt; 8 hrs")</f>
        <v>&gt; 8 hrs</v>
      </c>
      <c r="Y472" t="s">
        <v>27</v>
      </c>
    </row>
    <row r="473" spans="1:25" x14ac:dyDescent="0.3">
      <c r="A473" t="s">
        <v>507</v>
      </c>
      <c r="B473">
        <v>24</v>
      </c>
      <c r="C473" t="s">
        <v>20</v>
      </c>
      <c r="D473">
        <v>2</v>
      </c>
      <c r="E473" t="s">
        <v>21</v>
      </c>
      <c r="F473">
        <v>5.9</v>
      </c>
      <c r="G473">
        <v>3.8</v>
      </c>
      <c r="H473">
        <v>3</v>
      </c>
      <c r="I473">
        <v>11</v>
      </c>
      <c r="J473">
        <v>8</v>
      </c>
      <c r="K473" s="4" t="str" cm="1">
        <f t="array" ref="K473">_xlfn.IFS(stdsurvey[[#This Row],[phq9_score]]="","Answer Not Provided",stdsurvey[[#This Row],[phq9_score]]&lt;=4,"Minimal",stdsurvey[[#This Row],[phq9_score]]&lt;=9,"Mild",stdsurvey[[#This Row],[phq9_score]]&lt;=14,"Moderate",stdsurvey[[#This Row],[phq9_score]]&lt;=19,"Moderately Severe",stdsurvey[[#This Row],[phq9_score]]&lt;=27,"Severe")</f>
        <v>Moderate</v>
      </c>
      <c r="L473">
        <v>17</v>
      </c>
      <c r="M473" s="4" t="str" cm="1">
        <f t="array" ref="M473">_xlfn.IFS(stdsurvey[[#This Row],[gad7_score]]="","Answer Not Provided",stdsurvey[[#This Row],[gad7_score]]&lt;=4,"Minimal",stdsurvey[[#This Row],[gad7_score]]&lt;=9,"Mild",stdsurvey[[#This Row],[gad7_score]]&lt;=14,"Moderate",stdsurvey[[#This Row],[gad7_score]]&lt;=21,"Severe")</f>
        <v>Mild</v>
      </c>
      <c r="N473">
        <v>9.9</v>
      </c>
      <c r="O473" s="4" t="str" cm="1">
        <f t="array" ref="O473">_xlfn.IFS(stdsurvey[[#This Row],[perceived_stress_scale]]="","Answer Not Provided",stdsurvey[[#This Row],[perceived_stress_scale]]&lt;=13,"Low Stress",stdsurvey[[#This Row],[perceived_stress_scale]]&lt;=26,"Moderate Stress",stdsurvey[[#This Row],[perceived_stress_scale]]&lt;=40,"High Stress")</f>
        <v>Moderate Stress</v>
      </c>
      <c r="P473">
        <v>72.8</v>
      </c>
      <c r="Q473">
        <v>4</v>
      </c>
      <c r="R473" s="4" t="str" cm="1">
        <f t="array" ref="R473">_xlfn.IFS(stdsurvey[[#This Row],[class_attendance_percent]]&lt;60,"Less than 0%",stdsurvey[[#This Row],[class_attendance_percent]]&lt;70,"60-70 %",stdsurvey[[#This Row],[class_attendance_percent]]&lt;80, "70-80%",stdsurvey[[#This Row],[class_attendance_percent]]&lt;90,"80-90%",TRUE,"More than 90%")</f>
        <v>70-80%</v>
      </c>
      <c r="S473" t="s">
        <v>22</v>
      </c>
      <c r="T473">
        <v>4</v>
      </c>
      <c r="U473" t="s">
        <v>51</v>
      </c>
      <c r="V473">
        <v>1.94</v>
      </c>
      <c r="W473" s="4" t="str" cm="1">
        <f t="array" ref="W47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73" s="4" t="str" cm="1">
        <f t="array" ref="X473">_xlfn.IFS(stdsurvey[[#This Row],[daily_sleep_hours]]&lt;4,"&lt; 4 hrs",stdsurvey[[#This Row],[daily_sleep_hours]]&lt;=6,"4-6 hrs",stdsurvey[[#This Row],[daily_sleep_hours]]&lt;=8,"6-8 hrs",TRUE,"&gt; 8 hrs")</f>
        <v>4-6 hrs</v>
      </c>
      <c r="Y473" t="s">
        <v>20</v>
      </c>
    </row>
    <row r="474" spans="1:25" x14ac:dyDescent="0.3">
      <c r="A474" t="s">
        <v>508</v>
      </c>
      <c r="B474">
        <v>19</v>
      </c>
      <c r="C474" t="s">
        <v>20</v>
      </c>
      <c r="D474">
        <v>2</v>
      </c>
      <c r="E474" t="s">
        <v>63</v>
      </c>
      <c r="F474">
        <v>4.2</v>
      </c>
      <c r="G474">
        <v>6.1</v>
      </c>
      <c r="H474">
        <v>2</v>
      </c>
      <c r="I474">
        <v>3</v>
      </c>
      <c r="J474">
        <v>4</v>
      </c>
      <c r="K474" s="4" t="str" cm="1">
        <f t="array" ref="K474">_xlfn.IFS(stdsurvey[[#This Row],[phq9_score]]="","Answer Not Provided",stdsurvey[[#This Row],[phq9_score]]&lt;=4,"Minimal",stdsurvey[[#This Row],[phq9_score]]&lt;=9,"Mild",stdsurvey[[#This Row],[phq9_score]]&lt;=14,"Moderate",stdsurvey[[#This Row],[phq9_score]]&lt;=19,"Moderately Severe",stdsurvey[[#This Row],[phq9_score]]&lt;=27,"Severe")</f>
        <v>Minimal</v>
      </c>
      <c r="L474">
        <v>8</v>
      </c>
      <c r="M474" s="4" t="str" cm="1">
        <f t="array" ref="M474">_xlfn.IFS(stdsurvey[[#This Row],[gad7_score]]="","Answer Not Provided",stdsurvey[[#This Row],[gad7_score]]&lt;=4,"Minimal",stdsurvey[[#This Row],[gad7_score]]&lt;=9,"Mild",stdsurvey[[#This Row],[gad7_score]]&lt;=14,"Moderate",stdsurvey[[#This Row],[gad7_score]]&lt;=21,"Severe")</f>
        <v>Minimal</v>
      </c>
      <c r="N474">
        <v>23.6</v>
      </c>
      <c r="O474" s="4" t="str" cm="1">
        <f t="array" ref="O474">_xlfn.IFS(stdsurvey[[#This Row],[perceived_stress_scale]]="","Answer Not Provided",stdsurvey[[#This Row],[perceived_stress_scale]]&lt;=13,"Low Stress",stdsurvey[[#This Row],[perceived_stress_scale]]&lt;=26,"Moderate Stress",stdsurvey[[#This Row],[perceived_stress_scale]]&lt;=40,"High Stress")</f>
        <v>Low Stress</v>
      </c>
      <c r="P474">
        <v>47.3</v>
      </c>
      <c r="Q474">
        <v>4</v>
      </c>
      <c r="R474" s="4" t="str" cm="1">
        <f t="array" ref="R474">_xlfn.IFS(stdsurvey[[#This Row],[class_attendance_percent]]&lt;60,"Less than 0%",stdsurvey[[#This Row],[class_attendance_percent]]&lt;70,"60-70 %",stdsurvey[[#This Row],[class_attendance_percent]]&lt;80, "70-80%",stdsurvey[[#This Row],[class_attendance_percent]]&lt;90,"80-90%",TRUE,"More than 90%")</f>
        <v>Less than 0%</v>
      </c>
      <c r="S474" t="s">
        <v>22</v>
      </c>
      <c r="T474">
        <v>1</v>
      </c>
      <c r="U474" t="s">
        <v>26</v>
      </c>
      <c r="V474">
        <v>2.4500000000000002</v>
      </c>
      <c r="W474" s="4" t="str" cm="1">
        <f t="array" ref="W47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4" s="4" t="str" cm="1">
        <f t="array" ref="X474">_xlfn.IFS(stdsurvey[[#This Row],[daily_sleep_hours]]&lt;4,"&lt; 4 hrs",stdsurvey[[#This Row],[daily_sleep_hours]]&lt;=6,"4-6 hrs",stdsurvey[[#This Row],[daily_sleep_hours]]&lt;=8,"6-8 hrs",TRUE,"&gt; 8 hrs")</f>
        <v>4-6 hrs</v>
      </c>
      <c r="Y474" t="s">
        <v>20</v>
      </c>
    </row>
    <row r="475" spans="1:25" x14ac:dyDescent="0.3">
      <c r="A475" t="s">
        <v>509</v>
      </c>
      <c r="B475">
        <v>22</v>
      </c>
      <c r="C475" t="s">
        <v>20</v>
      </c>
      <c r="D475">
        <v>1</v>
      </c>
      <c r="E475" t="s">
        <v>30</v>
      </c>
      <c r="F475">
        <v>8.6</v>
      </c>
      <c r="G475">
        <v>6</v>
      </c>
      <c r="H475">
        <v>3</v>
      </c>
      <c r="I475">
        <v>2</v>
      </c>
      <c r="J475">
        <v>5</v>
      </c>
      <c r="K475" s="4" t="str" cm="1">
        <f t="array" ref="K475">_xlfn.IFS(stdsurvey[[#This Row],[phq9_score]]="","Answer Not Provided",stdsurvey[[#This Row],[phq9_score]]&lt;=4,"Minimal",stdsurvey[[#This Row],[phq9_score]]&lt;=9,"Mild",stdsurvey[[#This Row],[phq9_score]]&lt;=14,"Moderate",stdsurvey[[#This Row],[phq9_score]]&lt;=19,"Moderately Severe",stdsurvey[[#This Row],[phq9_score]]&lt;=27,"Severe")</f>
        <v>Minimal</v>
      </c>
      <c r="L475">
        <v>10</v>
      </c>
      <c r="M475" t="str" cm="1">
        <f t="array" ref="M475">_xlfn.IFS(stdsurvey[[#This Row],[gad7_score]]="","Answer Not Provided",stdsurvey[[#This Row],[gad7_score]]&lt;=4,"Minimal",stdsurvey[[#This Row],[gad7_score]]&lt;=9,"Mild",stdsurvey[[#This Row],[gad7_score]]&lt;=14,"Moderate",stdsurvey[[#This Row],[gad7_score]]&lt;=21,"Severe")</f>
        <v>Mild</v>
      </c>
      <c r="N475">
        <v>18.899999999999999</v>
      </c>
      <c r="O475" s="4" t="str" cm="1">
        <f t="array" ref="O475">_xlfn.IFS(stdsurvey[[#This Row],[perceived_stress_scale]]="","Answer Not Provided",stdsurvey[[#This Row],[perceived_stress_scale]]&lt;=13,"Low Stress",stdsurvey[[#This Row],[perceived_stress_scale]]&lt;=26,"Moderate Stress",stdsurvey[[#This Row],[perceived_stress_scale]]&lt;=40,"High Stress")</f>
        <v>Low Stress</v>
      </c>
      <c r="P475">
        <v>94.8</v>
      </c>
      <c r="Q475">
        <v>2</v>
      </c>
      <c r="R475" s="4" t="str" cm="1">
        <f t="array" ref="R475">_xlfn.IFS(stdsurvey[[#This Row],[class_attendance_percent]]&lt;60,"Less than 0%",stdsurvey[[#This Row],[class_attendance_percent]]&lt;70,"60-70 %",stdsurvey[[#This Row],[class_attendance_percent]]&lt;80, "70-80%",stdsurvey[[#This Row],[class_attendance_percent]]&lt;90,"80-90%",TRUE,"More than 90%")</f>
        <v>More than 90%</v>
      </c>
      <c r="S475" t="s">
        <v>33</v>
      </c>
      <c r="T475">
        <v>3</v>
      </c>
      <c r="U475" t="s">
        <v>23</v>
      </c>
      <c r="V475">
        <v>3.35</v>
      </c>
      <c r="W475" s="4" t="str" cm="1">
        <f t="array" ref="W47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5" s="4" t="str" cm="1">
        <f t="array" ref="X475">_xlfn.IFS(stdsurvey[[#This Row],[daily_sleep_hours]]&lt;4,"&lt; 4 hrs",stdsurvey[[#This Row],[daily_sleep_hours]]&lt;=6,"4-6 hrs",stdsurvey[[#This Row],[daily_sleep_hours]]&lt;=8,"6-8 hrs",TRUE,"&gt; 8 hrs")</f>
        <v>&gt; 8 hrs</v>
      </c>
      <c r="Y475" t="s">
        <v>20</v>
      </c>
    </row>
    <row r="476" spans="1:25" x14ac:dyDescent="0.3">
      <c r="A476" t="s">
        <v>510</v>
      </c>
      <c r="B476">
        <v>21</v>
      </c>
      <c r="C476" t="s">
        <v>20</v>
      </c>
      <c r="D476">
        <v>3</v>
      </c>
      <c r="E476" t="s">
        <v>21</v>
      </c>
      <c r="F476">
        <v>7.3</v>
      </c>
      <c r="G476">
        <v>2.7</v>
      </c>
      <c r="H476">
        <v>3</v>
      </c>
      <c r="I476">
        <v>16</v>
      </c>
      <c r="J476">
        <v>9</v>
      </c>
      <c r="K476" s="4" t="str" cm="1">
        <f t="array" ref="K476">_xlfn.IFS(stdsurvey[[#This Row],[phq9_score]]="","Answer Not Provided",stdsurvey[[#This Row],[phq9_score]]&lt;=4,"Minimal",stdsurvey[[#This Row],[phq9_score]]&lt;=9,"Mild",stdsurvey[[#This Row],[phq9_score]]&lt;=14,"Moderate",stdsurvey[[#This Row],[phq9_score]]&lt;=19,"Moderately Severe",stdsurvey[[#This Row],[phq9_score]]&lt;=27,"Severe")</f>
        <v>Moderately Severe</v>
      </c>
      <c r="L476">
        <v>20</v>
      </c>
      <c r="M476" s="4" t="str" cm="1">
        <f t="array" ref="M476">_xlfn.IFS(stdsurvey[[#This Row],[gad7_score]]="","Answer Not Provided",stdsurvey[[#This Row],[gad7_score]]&lt;=4,"Minimal",stdsurvey[[#This Row],[gad7_score]]&lt;=9,"Mild",stdsurvey[[#This Row],[gad7_score]]&lt;=14,"Moderate",stdsurvey[[#This Row],[gad7_score]]&lt;=21,"Severe")</f>
        <v>Mild</v>
      </c>
      <c r="N476">
        <v>21.2</v>
      </c>
      <c r="O476" s="4" t="str" cm="1">
        <f t="array" ref="O476">_xlfn.IFS(stdsurvey[[#This Row],[perceived_stress_scale]]="","Answer Not Provided",stdsurvey[[#This Row],[perceived_stress_scale]]&lt;=13,"Low Stress",stdsurvey[[#This Row],[perceived_stress_scale]]&lt;=26,"Moderate Stress",stdsurvey[[#This Row],[perceived_stress_scale]]&lt;=40,"High Stress")</f>
        <v>Moderate Stress</v>
      </c>
      <c r="P476">
        <v>82.4</v>
      </c>
      <c r="Q476">
        <v>1</v>
      </c>
      <c r="R476" s="4" t="str" cm="1">
        <f t="array" ref="R476">_xlfn.IFS(stdsurvey[[#This Row],[class_attendance_percent]]&lt;60,"Less than 0%",stdsurvey[[#This Row],[class_attendance_percent]]&lt;70,"60-70 %",stdsurvey[[#This Row],[class_attendance_percent]]&lt;80, "70-80%",stdsurvey[[#This Row],[class_attendance_percent]]&lt;90,"80-90%",TRUE,"More than 90%")</f>
        <v>80-90%</v>
      </c>
      <c r="S476" t="s">
        <v>22</v>
      </c>
      <c r="T476">
        <v>2</v>
      </c>
      <c r="U476" t="s">
        <v>26</v>
      </c>
      <c r="V476">
        <v>2.95</v>
      </c>
      <c r="W476" s="4" t="str" cm="1">
        <f t="array" ref="W47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76" s="4" t="str" cm="1">
        <f t="array" ref="X476">_xlfn.IFS(stdsurvey[[#This Row],[daily_sleep_hours]]&lt;4,"&lt; 4 hrs",stdsurvey[[#This Row],[daily_sleep_hours]]&lt;=6,"4-6 hrs",stdsurvey[[#This Row],[daily_sleep_hours]]&lt;=8,"6-8 hrs",TRUE,"&gt; 8 hrs")</f>
        <v>6-8 hrs</v>
      </c>
      <c r="Y476" t="s">
        <v>20</v>
      </c>
    </row>
    <row r="477" spans="1:25" x14ac:dyDescent="0.3">
      <c r="A477" t="s">
        <v>511</v>
      </c>
      <c r="B477">
        <v>21</v>
      </c>
      <c r="C477" t="s">
        <v>102</v>
      </c>
      <c r="D477">
        <v>3</v>
      </c>
      <c r="E477" t="s">
        <v>47</v>
      </c>
      <c r="F477">
        <v>5.9</v>
      </c>
      <c r="G477">
        <v>5.5</v>
      </c>
      <c r="H477">
        <v>4</v>
      </c>
      <c r="I477">
        <v>9</v>
      </c>
      <c r="J477">
        <v>12</v>
      </c>
      <c r="K477" s="4" t="str" cm="1">
        <f t="array" ref="K477">_xlfn.IFS(stdsurvey[[#This Row],[phq9_score]]="","Answer Not Provided",stdsurvey[[#This Row],[phq9_score]]&lt;=4,"Minimal",stdsurvey[[#This Row],[phq9_score]]&lt;=9,"Mild",stdsurvey[[#This Row],[phq9_score]]&lt;=14,"Moderate",stdsurvey[[#This Row],[phq9_score]]&lt;=19,"Moderately Severe",stdsurvey[[#This Row],[phq9_score]]&lt;=27,"Severe")</f>
        <v>Mild</v>
      </c>
      <c r="L477">
        <v>16</v>
      </c>
      <c r="M477" s="4" t="str" cm="1">
        <f t="array" ref="M477">_xlfn.IFS(stdsurvey[[#This Row],[gad7_score]]="","Answer Not Provided",stdsurvey[[#This Row],[gad7_score]]&lt;=4,"Minimal",stdsurvey[[#This Row],[gad7_score]]&lt;=9,"Mild",stdsurvey[[#This Row],[gad7_score]]&lt;=14,"Moderate",stdsurvey[[#This Row],[gad7_score]]&lt;=21,"Severe")</f>
        <v>Moderate</v>
      </c>
      <c r="N477">
        <v>13.6</v>
      </c>
      <c r="O477" s="4" t="str" cm="1">
        <f t="array" ref="O477">_xlfn.IFS(stdsurvey[[#This Row],[perceived_stress_scale]]="","Answer Not Provided",stdsurvey[[#This Row],[perceived_stress_scale]]&lt;=13,"Low Stress",stdsurvey[[#This Row],[perceived_stress_scale]]&lt;=26,"Moderate Stress",stdsurvey[[#This Row],[perceived_stress_scale]]&lt;=40,"High Stress")</f>
        <v>Moderate Stress</v>
      </c>
      <c r="P477">
        <v>74.2</v>
      </c>
      <c r="Q477">
        <v>3</v>
      </c>
      <c r="R477" s="4" t="str" cm="1">
        <f t="array" ref="R477">_xlfn.IFS(stdsurvey[[#This Row],[class_attendance_percent]]&lt;60,"Less than 0%",stdsurvey[[#This Row],[class_attendance_percent]]&lt;70,"60-70 %",stdsurvey[[#This Row],[class_attendance_percent]]&lt;80, "70-80%",stdsurvey[[#This Row],[class_attendance_percent]]&lt;90,"80-90%",TRUE,"More than 90%")</f>
        <v>70-80%</v>
      </c>
      <c r="S477" t="s">
        <v>22</v>
      </c>
      <c r="T477">
        <v>3</v>
      </c>
      <c r="U477" t="s">
        <v>23</v>
      </c>
      <c r="V477">
        <v>2.5499999999999998</v>
      </c>
      <c r="W477" s="4" t="str" cm="1">
        <f t="array" ref="W47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7" s="4" t="str" cm="1">
        <f t="array" ref="X477">_xlfn.IFS(stdsurvey[[#This Row],[daily_sleep_hours]]&lt;4,"&lt; 4 hrs",stdsurvey[[#This Row],[daily_sleep_hours]]&lt;=6,"4-6 hrs",stdsurvey[[#This Row],[daily_sleep_hours]]&lt;=8,"6-8 hrs",TRUE,"&gt; 8 hrs")</f>
        <v>4-6 hrs</v>
      </c>
      <c r="Y477" t="s">
        <v>20</v>
      </c>
    </row>
    <row r="478" spans="1:25" x14ac:dyDescent="0.3">
      <c r="A478" t="s">
        <v>512</v>
      </c>
      <c r="B478">
        <v>22</v>
      </c>
      <c r="C478" t="s">
        <v>20</v>
      </c>
      <c r="D478">
        <v>1</v>
      </c>
      <c r="E478" t="s">
        <v>21</v>
      </c>
      <c r="F478">
        <v>6</v>
      </c>
      <c r="G478">
        <v>5.8</v>
      </c>
      <c r="H478">
        <v>6</v>
      </c>
      <c r="I478">
        <v>2</v>
      </c>
      <c r="J478">
        <v>8</v>
      </c>
      <c r="K478" s="4" t="str" cm="1">
        <f t="array" ref="K478">_xlfn.IFS(stdsurvey[[#This Row],[phq9_score]]="","Answer Not Provided",stdsurvey[[#This Row],[phq9_score]]&lt;=4,"Minimal",stdsurvey[[#This Row],[phq9_score]]&lt;=9,"Mild",stdsurvey[[#This Row],[phq9_score]]&lt;=14,"Moderate",stdsurvey[[#This Row],[phq9_score]]&lt;=19,"Moderately Severe",stdsurvey[[#This Row],[phq9_score]]&lt;=27,"Severe")</f>
        <v>Minimal</v>
      </c>
      <c r="L478">
        <v>11</v>
      </c>
      <c r="M478" s="4" t="str" cm="1">
        <f t="array" ref="M478">_xlfn.IFS(stdsurvey[[#This Row],[gad7_score]]="","Answer Not Provided",stdsurvey[[#This Row],[gad7_score]]&lt;=4,"Minimal",stdsurvey[[#This Row],[gad7_score]]&lt;=9,"Mild",stdsurvey[[#This Row],[gad7_score]]&lt;=14,"Moderate",stdsurvey[[#This Row],[gad7_score]]&lt;=21,"Severe")</f>
        <v>Mild</v>
      </c>
      <c r="N478">
        <v>14.9</v>
      </c>
      <c r="O478" s="4" t="str" cm="1">
        <f t="array" ref="O478">_xlfn.IFS(stdsurvey[[#This Row],[perceived_stress_scale]]="","Answer Not Provided",stdsurvey[[#This Row],[perceived_stress_scale]]&lt;=13,"Low Stress",stdsurvey[[#This Row],[perceived_stress_scale]]&lt;=26,"Moderate Stress",stdsurvey[[#This Row],[perceived_stress_scale]]&lt;=40,"High Stress")</f>
        <v>Low Stress</v>
      </c>
      <c r="P478">
        <v>49.6</v>
      </c>
      <c r="Q478">
        <v>2</v>
      </c>
      <c r="R478" s="4" t="str" cm="1">
        <f t="array" ref="R478">_xlfn.IFS(stdsurvey[[#This Row],[class_attendance_percent]]&lt;60,"Less than 0%",stdsurvey[[#This Row],[class_attendance_percent]]&lt;70,"60-70 %",stdsurvey[[#This Row],[class_attendance_percent]]&lt;80, "70-80%",stdsurvey[[#This Row],[class_attendance_percent]]&lt;90,"80-90%",TRUE,"More than 90%")</f>
        <v>Less than 0%</v>
      </c>
      <c r="S478" t="s">
        <v>22</v>
      </c>
      <c r="T478">
        <v>2</v>
      </c>
      <c r="U478" t="s">
        <v>23</v>
      </c>
      <c r="V478">
        <v>2.59</v>
      </c>
      <c r="W478" s="4" t="str" cm="1">
        <f t="array" ref="W47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8" s="4" t="str" cm="1">
        <f t="array" ref="X478">_xlfn.IFS(stdsurvey[[#This Row],[daily_sleep_hours]]&lt;4,"&lt; 4 hrs",stdsurvey[[#This Row],[daily_sleep_hours]]&lt;=6,"4-6 hrs",stdsurvey[[#This Row],[daily_sleep_hours]]&lt;=8,"6-8 hrs",TRUE,"&gt; 8 hrs")</f>
        <v>4-6 hrs</v>
      </c>
      <c r="Y478" t="s">
        <v>20</v>
      </c>
    </row>
    <row r="479" spans="1:25" x14ac:dyDescent="0.3">
      <c r="A479" t="s">
        <v>513</v>
      </c>
      <c r="B479">
        <v>23</v>
      </c>
      <c r="C479" t="s">
        <v>27</v>
      </c>
      <c r="D479">
        <v>3</v>
      </c>
      <c r="E479" t="s">
        <v>21</v>
      </c>
      <c r="F479">
        <v>7.6</v>
      </c>
      <c r="G479">
        <v>4.4000000000000004</v>
      </c>
      <c r="H479">
        <v>2</v>
      </c>
      <c r="I479">
        <v>4</v>
      </c>
      <c r="J479">
        <v>0</v>
      </c>
      <c r="K479" s="4" t="str" cm="1">
        <f t="array" ref="K479">_xlfn.IFS(stdsurvey[[#This Row],[phq9_score]]="","Answer Not Provided",stdsurvey[[#This Row],[phq9_score]]&lt;=4,"Minimal",stdsurvey[[#This Row],[phq9_score]]&lt;=9,"Mild",stdsurvey[[#This Row],[phq9_score]]&lt;=14,"Moderate",stdsurvey[[#This Row],[phq9_score]]&lt;=19,"Moderately Severe",stdsurvey[[#This Row],[phq9_score]]&lt;=27,"Severe")</f>
        <v>Minimal</v>
      </c>
      <c r="L479">
        <v>6</v>
      </c>
      <c r="M479" s="4" t="str" cm="1">
        <f t="array" ref="M479">_xlfn.IFS(stdsurvey[[#This Row],[gad7_score]]="","Answer Not Provided",stdsurvey[[#This Row],[gad7_score]]&lt;=4,"Minimal",stdsurvey[[#This Row],[gad7_score]]&lt;=9,"Mild",stdsurvey[[#This Row],[gad7_score]]&lt;=14,"Moderate",stdsurvey[[#This Row],[gad7_score]]&lt;=21,"Severe")</f>
        <v>Minimal</v>
      </c>
      <c r="N479">
        <v>1</v>
      </c>
      <c r="O479" s="4" t="str" cm="1">
        <f t="array" ref="O479">_xlfn.IFS(stdsurvey[[#This Row],[perceived_stress_scale]]="","Answer Not Provided",stdsurvey[[#This Row],[perceived_stress_scale]]&lt;=13,"Low Stress",stdsurvey[[#This Row],[perceived_stress_scale]]&lt;=26,"Moderate Stress",stdsurvey[[#This Row],[perceived_stress_scale]]&lt;=40,"High Stress")</f>
        <v>Low Stress</v>
      </c>
      <c r="P479">
        <v>51.2</v>
      </c>
      <c r="Q479">
        <v>3</v>
      </c>
      <c r="R479" s="4" t="str" cm="1">
        <f t="array" ref="R479">_xlfn.IFS(stdsurvey[[#This Row],[class_attendance_percent]]&lt;60,"Less than 0%",stdsurvey[[#This Row],[class_attendance_percent]]&lt;70,"60-70 %",stdsurvey[[#This Row],[class_attendance_percent]]&lt;80, "70-80%",stdsurvey[[#This Row],[class_attendance_percent]]&lt;90,"80-90%",TRUE,"More than 90%")</f>
        <v>Less than 0%</v>
      </c>
      <c r="S479" t="s">
        <v>22</v>
      </c>
      <c r="T479">
        <v>1</v>
      </c>
      <c r="U479" t="s">
        <v>51</v>
      </c>
      <c r="V479">
        <v>2.57</v>
      </c>
      <c r="W479" s="4" t="str" cm="1">
        <f t="array" ref="W47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79" s="4" t="str" cm="1">
        <f t="array" ref="X479">_xlfn.IFS(stdsurvey[[#This Row],[daily_sleep_hours]]&lt;4,"&lt; 4 hrs",stdsurvey[[#This Row],[daily_sleep_hours]]&lt;=6,"4-6 hrs",stdsurvey[[#This Row],[daily_sleep_hours]]&lt;=8,"6-8 hrs",TRUE,"&gt; 8 hrs")</f>
        <v>6-8 hrs</v>
      </c>
      <c r="Y479" t="s">
        <v>27</v>
      </c>
    </row>
    <row r="480" spans="1:25" x14ac:dyDescent="0.3">
      <c r="A480" t="s">
        <v>514</v>
      </c>
      <c r="B480">
        <v>21</v>
      </c>
      <c r="C480" t="s">
        <v>61</v>
      </c>
      <c r="D480">
        <v>4</v>
      </c>
      <c r="E480" t="s">
        <v>63</v>
      </c>
      <c r="F480">
        <v>5.6</v>
      </c>
      <c r="G480">
        <v>2.5</v>
      </c>
      <c r="H480">
        <v>2</v>
      </c>
      <c r="I480">
        <v>7</v>
      </c>
      <c r="J480">
        <v>6</v>
      </c>
      <c r="K480" s="4" t="str" cm="1">
        <f t="array" ref="K480">_xlfn.IFS(stdsurvey[[#This Row],[phq9_score]]="","Answer Not Provided",stdsurvey[[#This Row],[phq9_score]]&lt;=4,"Minimal",stdsurvey[[#This Row],[phq9_score]]&lt;=9,"Mild",stdsurvey[[#This Row],[phq9_score]]&lt;=14,"Moderate",stdsurvey[[#This Row],[phq9_score]]&lt;=19,"Moderately Severe",stdsurvey[[#This Row],[phq9_score]]&lt;=27,"Severe")</f>
        <v>Mild</v>
      </c>
      <c r="L480">
        <v>13</v>
      </c>
      <c r="M480" s="4" t="str" cm="1">
        <f t="array" ref="M480">_xlfn.IFS(stdsurvey[[#This Row],[gad7_score]]="","Answer Not Provided",stdsurvey[[#This Row],[gad7_score]]&lt;=4,"Minimal",stdsurvey[[#This Row],[gad7_score]]&lt;=9,"Mild",stdsurvey[[#This Row],[gad7_score]]&lt;=14,"Moderate",stdsurvey[[#This Row],[gad7_score]]&lt;=21,"Severe")</f>
        <v>Mild</v>
      </c>
      <c r="N480">
        <v>18.399999999999999</v>
      </c>
      <c r="O480" s="4" t="str" cm="1">
        <f t="array" ref="O480">_xlfn.IFS(stdsurvey[[#This Row],[perceived_stress_scale]]="","Answer Not Provided",stdsurvey[[#This Row],[perceived_stress_scale]]&lt;=13,"Low Stress",stdsurvey[[#This Row],[perceived_stress_scale]]&lt;=26,"Moderate Stress",stdsurvey[[#This Row],[perceived_stress_scale]]&lt;=40,"High Stress")</f>
        <v>Low Stress</v>
      </c>
      <c r="P480">
        <v>79</v>
      </c>
      <c r="Q480">
        <v>5</v>
      </c>
      <c r="R480" s="4" t="str" cm="1">
        <f t="array" ref="R480">_xlfn.IFS(stdsurvey[[#This Row],[class_attendance_percent]]&lt;60,"Less than 0%",stdsurvey[[#This Row],[class_attendance_percent]]&lt;70,"60-70 %",stdsurvey[[#This Row],[class_attendance_percent]]&lt;80, "70-80%",stdsurvey[[#This Row],[class_attendance_percent]]&lt;90,"80-90%",TRUE,"More than 90%")</f>
        <v>70-80%</v>
      </c>
      <c r="S480" t="s">
        <v>22</v>
      </c>
      <c r="T480">
        <v>1</v>
      </c>
      <c r="U480" t="s">
        <v>23</v>
      </c>
      <c r="V480">
        <v>2.99</v>
      </c>
      <c r="W480" s="4" t="str" cm="1">
        <f t="array" ref="W48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80" s="4" t="str" cm="1">
        <f t="array" ref="X480">_xlfn.IFS(stdsurvey[[#This Row],[daily_sleep_hours]]&lt;4,"&lt; 4 hrs",stdsurvey[[#This Row],[daily_sleep_hours]]&lt;=6,"4-6 hrs",stdsurvey[[#This Row],[daily_sleep_hours]]&lt;=8,"6-8 hrs",TRUE,"&gt; 8 hrs")</f>
        <v>4-6 hrs</v>
      </c>
      <c r="Y480" t="s">
        <v>61</v>
      </c>
    </row>
    <row r="481" spans="1:25" x14ac:dyDescent="0.3">
      <c r="A481" t="s">
        <v>515</v>
      </c>
      <c r="B481">
        <v>24</v>
      </c>
      <c r="C481" t="s">
        <v>25</v>
      </c>
      <c r="D481">
        <v>4</v>
      </c>
      <c r="E481" t="s">
        <v>21</v>
      </c>
      <c r="F481">
        <v>7.2</v>
      </c>
      <c r="G481">
        <v>3.5</v>
      </c>
      <c r="H481">
        <v>2</v>
      </c>
      <c r="I481">
        <v>4</v>
      </c>
      <c r="J481">
        <v>3</v>
      </c>
      <c r="K481" s="4" t="str" cm="1">
        <f t="array" ref="K481">_xlfn.IFS(stdsurvey[[#This Row],[phq9_score]]="","Answer Not Provided",stdsurvey[[#This Row],[phq9_score]]&lt;=4,"Minimal",stdsurvey[[#This Row],[phq9_score]]&lt;=9,"Mild",stdsurvey[[#This Row],[phq9_score]]&lt;=14,"Moderate",stdsurvey[[#This Row],[phq9_score]]&lt;=19,"Moderately Severe",stdsurvey[[#This Row],[phq9_score]]&lt;=27,"Severe")</f>
        <v>Minimal</v>
      </c>
      <c r="L481">
        <v>10</v>
      </c>
      <c r="M481" s="4" t="str" cm="1">
        <f t="array" ref="M481">_xlfn.IFS(stdsurvey[[#This Row],[gad7_score]]="","Answer Not Provided",stdsurvey[[#This Row],[gad7_score]]&lt;=4,"Minimal",stdsurvey[[#This Row],[gad7_score]]&lt;=9,"Mild",stdsurvey[[#This Row],[gad7_score]]&lt;=14,"Moderate",stdsurvey[[#This Row],[gad7_score]]&lt;=21,"Severe")</f>
        <v>Minimal</v>
      </c>
      <c r="N481">
        <v>19.8</v>
      </c>
      <c r="O481" s="4" t="str" cm="1">
        <f t="array" ref="O481">_xlfn.IFS(stdsurvey[[#This Row],[perceived_stress_scale]]="","Answer Not Provided",stdsurvey[[#This Row],[perceived_stress_scale]]&lt;=13,"Low Stress",stdsurvey[[#This Row],[perceived_stress_scale]]&lt;=26,"Moderate Stress",stdsurvey[[#This Row],[perceived_stress_scale]]&lt;=40,"High Stress")</f>
        <v>Low Stress</v>
      </c>
      <c r="P481">
        <v>100</v>
      </c>
      <c r="Q481">
        <v>2</v>
      </c>
      <c r="R481" s="4" t="str" cm="1">
        <f t="array" ref="R481">_xlfn.IFS(stdsurvey[[#This Row],[class_attendance_percent]]&lt;60,"Less than 0%",stdsurvey[[#This Row],[class_attendance_percent]]&lt;70,"60-70 %",stdsurvey[[#This Row],[class_attendance_percent]]&lt;80, "70-80%",stdsurvey[[#This Row],[class_attendance_percent]]&lt;90,"80-90%",TRUE,"More than 90%")</f>
        <v>More than 90%</v>
      </c>
      <c r="S481" t="s">
        <v>33</v>
      </c>
      <c r="T481">
        <v>5</v>
      </c>
      <c r="U481" t="s">
        <v>26</v>
      </c>
      <c r="V481">
        <v>3.4</v>
      </c>
      <c r="W481" s="4" t="str" cm="1">
        <f t="array" ref="W48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81" s="4" t="str" cm="1">
        <f t="array" ref="X481">_xlfn.IFS(stdsurvey[[#This Row],[daily_sleep_hours]]&lt;4,"&lt; 4 hrs",stdsurvey[[#This Row],[daily_sleep_hours]]&lt;=6,"4-6 hrs",stdsurvey[[#This Row],[daily_sleep_hours]]&lt;=8,"6-8 hrs",TRUE,"&gt; 8 hrs")</f>
        <v>6-8 hrs</v>
      </c>
      <c r="Y481" t="s">
        <v>27</v>
      </c>
    </row>
    <row r="482" spans="1:25" x14ac:dyDescent="0.3">
      <c r="A482" t="s">
        <v>516</v>
      </c>
      <c r="B482">
        <v>19</v>
      </c>
      <c r="C482" t="s">
        <v>27</v>
      </c>
      <c r="D482">
        <v>4</v>
      </c>
      <c r="E482" t="s">
        <v>30</v>
      </c>
      <c r="F482">
        <v>7.1</v>
      </c>
      <c r="G482">
        <v>2.1</v>
      </c>
      <c r="H482">
        <v>1</v>
      </c>
      <c r="I482">
        <v>5</v>
      </c>
      <c r="J482">
        <v>5</v>
      </c>
      <c r="K482" s="4" t="str" cm="1">
        <f t="array" ref="K482">_xlfn.IFS(stdsurvey[[#This Row],[phq9_score]]="","Answer Not Provided",stdsurvey[[#This Row],[phq9_score]]&lt;=4,"Minimal",stdsurvey[[#This Row],[phq9_score]]&lt;=9,"Mild",stdsurvey[[#This Row],[phq9_score]]&lt;=14,"Moderate",stdsurvey[[#This Row],[phq9_score]]&lt;=19,"Moderately Severe",stdsurvey[[#This Row],[phq9_score]]&lt;=27,"Severe")</f>
        <v>Mild</v>
      </c>
      <c r="L482">
        <v>12</v>
      </c>
      <c r="M482" s="4" t="str" cm="1">
        <f t="array" ref="M482">_xlfn.IFS(stdsurvey[[#This Row],[gad7_score]]="","Answer Not Provided",stdsurvey[[#This Row],[gad7_score]]&lt;=4,"Minimal",stdsurvey[[#This Row],[gad7_score]]&lt;=9,"Mild",stdsurvey[[#This Row],[gad7_score]]&lt;=14,"Moderate",stdsurvey[[#This Row],[gad7_score]]&lt;=21,"Severe")</f>
        <v>Mild</v>
      </c>
      <c r="N482">
        <v>16.5</v>
      </c>
      <c r="O482" s="4" t="str" cm="1">
        <f t="array" ref="O482">_xlfn.IFS(stdsurvey[[#This Row],[perceived_stress_scale]]="","Answer Not Provided",stdsurvey[[#This Row],[perceived_stress_scale]]&lt;=13,"Low Stress",stdsurvey[[#This Row],[perceived_stress_scale]]&lt;=26,"Moderate Stress",stdsurvey[[#This Row],[perceived_stress_scale]]&lt;=40,"High Stress")</f>
        <v>Low Stress</v>
      </c>
      <c r="P482">
        <v>71.3</v>
      </c>
      <c r="Q482">
        <v>3</v>
      </c>
      <c r="R482" s="4" t="str" cm="1">
        <f t="array" ref="R482">_xlfn.IFS(stdsurvey[[#This Row],[class_attendance_percent]]&lt;60,"Less than 0%",stdsurvey[[#This Row],[class_attendance_percent]]&lt;70,"60-70 %",stdsurvey[[#This Row],[class_attendance_percent]]&lt;80, "70-80%",stdsurvey[[#This Row],[class_attendance_percent]]&lt;90,"80-90%",TRUE,"More than 90%")</f>
        <v>70-80%</v>
      </c>
      <c r="S482" t="s">
        <v>22</v>
      </c>
      <c r="T482">
        <v>4</v>
      </c>
      <c r="U482" t="s">
        <v>26</v>
      </c>
      <c r="V482">
        <v>2.89</v>
      </c>
      <c r="W482" s="4" t="str" cm="1">
        <f t="array" ref="W48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82" s="4" t="str" cm="1">
        <f t="array" ref="X482">_xlfn.IFS(stdsurvey[[#This Row],[daily_sleep_hours]]&lt;4,"&lt; 4 hrs",stdsurvey[[#This Row],[daily_sleep_hours]]&lt;=6,"4-6 hrs",stdsurvey[[#This Row],[daily_sleep_hours]]&lt;=8,"6-8 hrs",TRUE,"&gt; 8 hrs")</f>
        <v>6-8 hrs</v>
      </c>
      <c r="Y482" t="s">
        <v>27</v>
      </c>
    </row>
    <row r="483" spans="1:25" x14ac:dyDescent="0.3">
      <c r="A483" t="s">
        <v>517</v>
      </c>
      <c r="B483">
        <v>22</v>
      </c>
      <c r="C483" t="s">
        <v>20</v>
      </c>
      <c r="D483">
        <v>2</v>
      </c>
      <c r="E483" t="s">
        <v>30</v>
      </c>
      <c r="F483">
        <v>6.6</v>
      </c>
      <c r="G483">
        <v>5.6</v>
      </c>
      <c r="H483">
        <v>2</v>
      </c>
      <c r="I483">
        <v>4</v>
      </c>
      <c r="J483">
        <v>4</v>
      </c>
      <c r="K483" s="4" t="str" cm="1">
        <f t="array" ref="K483">_xlfn.IFS(stdsurvey[[#This Row],[phq9_score]]="","Answer Not Provided",stdsurvey[[#This Row],[phq9_score]]&lt;=4,"Minimal",stdsurvey[[#This Row],[phq9_score]]&lt;=9,"Mild",stdsurvey[[#This Row],[phq9_score]]&lt;=14,"Moderate",stdsurvey[[#This Row],[phq9_score]]&lt;=19,"Moderately Severe",stdsurvey[[#This Row],[phq9_score]]&lt;=27,"Severe")</f>
        <v>Minimal</v>
      </c>
      <c r="L483">
        <v>8</v>
      </c>
      <c r="M483" s="4" t="str" cm="1">
        <f t="array" ref="M483">_xlfn.IFS(stdsurvey[[#This Row],[gad7_score]]="","Answer Not Provided",stdsurvey[[#This Row],[gad7_score]]&lt;=4,"Minimal",stdsurvey[[#This Row],[gad7_score]]&lt;=9,"Mild",stdsurvey[[#This Row],[gad7_score]]&lt;=14,"Moderate",stdsurvey[[#This Row],[gad7_score]]&lt;=21,"Severe")</f>
        <v>Minimal</v>
      </c>
      <c r="N483">
        <v>33.799999999999997</v>
      </c>
      <c r="O483" s="4" t="str" cm="1">
        <f t="array" ref="O483">_xlfn.IFS(stdsurvey[[#This Row],[perceived_stress_scale]]="","Answer Not Provided",stdsurvey[[#This Row],[perceived_stress_scale]]&lt;=13,"Low Stress",stdsurvey[[#This Row],[perceived_stress_scale]]&lt;=26,"Moderate Stress",stdsurvey[[#This Row],[perceived_stress_scale]]&lt;=40,"High Stress")</f>
        <v>Low Stress</v>
      </c>
      <c r="P483">
        <v>94.7</v>
      </c>
      <c r="Q483">
        <v>4</v>
      </c>
      <c r="R483" s="4" t="str" cm="1">
        <f t="array" ref="R483">_xlfn.IFS(stdsurvey[[#This Row],[class_attendance_percent]]&lt;60,"Less than 0%",stdsurvey[[#This Row],[class_attendance_percent]]&lt;70,"60-70 %",stdsurvey[[#This Row],[class_attendance_percent]]&lt;80, "70-80%",stdsurvey[[#This Row],[class_attendance_percent]]&lt;90,"80-90%",TRUE,"More than 90%")</f>
        <v>More than 90%</v>
      </c>
      <c r="S483" t="s">
        <v>22</v>
      </c>
      <c r="T483">
        <v>5</v>
      </c>
      <c r="U483" t="s">
        <v>26</v>
      </c>
      <c r="V483">
        <v>3.5</v>
      </c>
      <c r="W483" s="4" t="str" cm="1">
        <f t="array" ref="W48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83" s="4" t="str" cm="1">
        <f t="array" ref="X483">_xlfn.IFS(stdsurvey[[#This Row],[daily_sleep_hours]]&lt;4,"&lt; 4 hrs",stdsurvey[[#This Row],[daily_sleep_hours]]&lt;=6,"4-6 hrs",stdsurvey[[#This Row],[daily_sleep_hours]]&lt;=8,"6-8 hrs",TRUE,"&gt; 8 hrs")</f>
        <v>6-8 hrs</v>
      </c>
      <c r="Y483" t="s">
        <v>20</v>
      </c>
    </row>
    <row r="484" spans="1:25" x14ac:dyDescent="0.3">
      <c r="A484" t="s">
        <v>518</v>
      </c>
      <c r="B484">
        <v>27</v>
      </c>
      <c r="C484" t="s">
        <v>45</v>
      </c>
      <c r="D484">
        <v>4</v>
      </c>
      <c r="E484" t="s">
        <v>35</v>
      </c>
      <c r="F484">
        <v>7.5</v>
      </c>
      <c r="G484">
        <v>1.2</v>
      </c>
      <c r="H484">
        <v>0</v>
      </c>
      <c r="I484">
        <v>2</v>
      </c>
      <c r="J484">
        <v>5</v>
      </c>
      <c r="K484" s="4" t="str" cm="1">
        <f t="array" ref="K484">_xlfn.IFS(stdsurvey[[#This Row],[phq9_score]]="","Answer Not Provided",stdsurvey[[#This Row],[phq9_score]]&lt;=4,"Minimal",stdsurvey[[#This Row],[phq9_score]]&lt;=9,"Mild",stdsurvey[[#This Row],[phq9_score]]&lt;=14,"Moderate",stdsurvey[[#This Row],[phq9_score]]&lt;=19,"Moderately Severe",stdsurvey[[#This Row],[phq9_score]]&lt;=27,"Severe")</f>
        <v>Minimal</v>
      </c>
      <c r="L484">
        <v>11</v>
      </c>
      <c r="M484" s="4" t="str" cm="1">
        <f t="array" ref="M484">_xlfn.IFS(stdsurvey[[#This Row],[gad7_score]]="","Answer Not Provided",stdsurvey[[#This Row],[gad7_score]]&lt;=4,"Minimal",stdsurvey[[#This Row],[gad7_score]]&lt;=9,"Mild",stdsurvey[[#This Row],[gad7_score]]&lt;=14,"Moderate",stdsurvey[[#This Row],[gad7_score]]&lt;=21,"Severe")</f>
        <v>Mild</v>
      </c>
      <c r="N484">
        <v>6.9</v>
      </c>
      <c r="O484" s="4" t="str" cm="1">
        <f t="array" ref="O484">_xlfn.IFS(stdsurvey[[#This Row],[perceived_stress_scale]]="","Answer Not Provided",stdsurvey[[#This Row],[perceived_stress_scale]]&lt;=13,"Low Stress",stdsurvey[[#This Row],[perceived_stress_scale]]&lt;=26,"Moderate Stress",stdsurvey[[#This Row],[perceived_stress_scale]]&lt;=40,"High Stress")</f>
        <v>Low Stress</v>
      </c>
      <c r="P484">
        <v>75.400000000000006</v>
      </c>
      <c r="Q484">
        <v>3</v>
      </c>
      <c r="R484" s="4" t="str" cm="1">
        <f t="array" ref="R484">_xlfn.IFS(stdsurvey[[#This Row],[class_attendance_percent]]&lt;60,"Less than 0%",stdsurvey[[#This Row],[class_attendance_percent]]&lt;70,"60-70 %",stdsurvey[[#This Row],[class_attendance_percent]]&lt;80, "70-80%",stdsurvey[[#This Row],[class_attendance_percent]]&lt;90,"80-90%",TRUE,"More than 90%")</f>
        <v>70-80%</v>
      </c>
      <c r="S484" t="s">
        <v>33</v>
      </c>
      <c r="T484">
        <v>3</v>
      </c>
      <c r="U484" t="s">
        <v>26</v>
      </c>
      <c r="V484">
        <v>2.48</v>
      </c>
      <c r="W484" s="4" t="str" cm="1">
        <f t="array" ref="W48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84" s="4" t="str" cm="1">
        <f t="array" ref="X484">_xlfn.IFS(stdsurvey[[#This Row],[daily_sleep_hours]]&lt;4,"&lt; 4 hrs",stdsurvey[[#This Row],[daily_sleep_hours]]&lt;=6,"4-6 hrs",stdsurvey[[#This Row],[daily_sleep_hours]]&lt;=8,"6-8 hrs",TRUE,"&gt; 8 hrs")</f>
        <v>6-8 hrs</v>
      </c>
      <c r="Y484" t="s">
        <v>20</v>
      </c>
    </row>
    <row r="485" spans="1:25" x14ac:dyDescent="0.3">
      <c r="A485" t="s">
        <v>519</v>
      </c>
      <c r="B485">
        <v>22</v>
      </c>
      <c r="C485" t="s">
        <v>39</v>
      </c>
      <c r="D485">
        <v>2</v>
      </c>
      <c r="E485" t="s">
        <v>30</v>
      </c>
      <c r="F485">
        <v>5.3</v>
      </c>
      <c r="G485">
        <v>10.7</v>
      </c>
      <c r="H485">
        <v>2</v>
      </c>
      <c r="I485">
        <v>0</v>
      </c>
      <c r="J485">
        <v>2</v>
      </c>
      <c r="K485" s="4" t="str" cm="1">
        <f t="array" ref="K485">_xlfn.IFS(stdsurvey[[#This Row],[phq9_score]]="","Answer Not Provided",stdsurvey[[#This Row],[phq9_score]]&lt;=4,"Minimal",stdsurvey[[#This Row],[phq9_score]]&lt;=9,"Mild",stdsurvey[[#This Row],[phq9_score]]&lt;=14,"Moderate",stdsurvey[[#This Row],[phq9_score]]&lt;=19,"Moderately Severe",stdsurvey[[#This Row],[phq9_score]]&lt;=27,"Severe")</f>
        <v>Minimal</v>
      </c>
      <c r="L485">
        <v>3</v>
      </c>
      <c r="M485" s="4" t="str" cm="1">
        <f t="array" ref="M485">_xlfn.IFS(stdsurvey[[#This Row],[gad7_score]]="","Answer Not Provided",stdsurvey[[#This Row],[gad7_score]]&lt;=4,"Minimal",stdsurvey[[#This Row],[gad7_score]]&lt;=9,"Mild",stdsurvey[[#This Row],[gad7_score]]&lt;=14,"Moderate",stdsurvey[[#This Row],[gad7_score]]&lt;=21,"Severe")</f>
        <v>Minimal</v>
      </c>
      <c r="N485">
        <v>15.7</v>
      </c>
      <c r="O485" s="4" t="str" cm="1">
        <f t="array" ref="O485">_xlfn.IFS(stdsurvey[[#This Row],[perceived_stress_scale]]="","Answer Not Provided",stdsurvey[[#This Row],[perceived_stress_scale]]&lt;=13,"Low Stress",stdsurvey[[#This Row],[perceived_stress_scale]]&lt;=26,"Moderate Stress",stdsurvey[[#This Row],[perceived_stress_scale]]&lt;=40,"High Stress")</f>
        <v>Low Stress</v>
      </c>
      <c r="P485">
        <v>81.400000000000006</v>
      </c>
      <c r="Q485">
        <v>1</v>
      </c>
      <c r="R485" s="4" t="str" cm="1">
        <f t="array" ref="R485">_xlfn.IFS(stdsurvey[[#This Row],[class_attendance_percent]]&lt;60,"Less than 0%",stdsurvey[[#This Row],[class_attendance_percent]]&lt;70,"60-70 %",stdsurvey[[#This Row],[class_attendance_percent]]&lt;80, "70-80%",stdsurvey[[#This Row],[class_attendance_percent]]&lt;90,"80-90%",TRUE,"More than 90%")</f>
        <v>80-90%</v>
      </c>
      <c r="S485" t="s">
        <v>33</v>
      </c>
      <c r="T485">
        <v>3</v>
      </c>
      <c r="U485" t="s">
        <v>51</v>
      </c>
      <c r="V485">
        <v>2.86</v>
      </c>
      <c r="W485" s="4" t="str" cm="1">
        <f t="array" ref="W48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85" s="4" t="str" cm="1">
        <f t="array" ref="X485">_xlfn.IFS(stdsurvey[[#This Row],[daily_sleep_hours]]&lt;4,"&lt; 4 hrs",stdsurvey[[#This Row],[daily_sleep_hours]]&lt;=6,"4-6 hrs",stdsurvey[[#This Row],[daily_sleep_hours]]&lt;=8,"6-8 hrs",TRUE,"&gt; 8 hrs")</f>
        <v>4-6 hrs</v>
      </c>
      <c r="Y485" t="s">
        <v>27</v>
      </c>
    </row>
    <row r="486" spans="1:25" x14ac:dyDescent="0.3">
      <c r="A486" t="s">
        <v>520</v>
      </c>
      <c r="B486">
        <v>25</v>
      </c>
      <c r="C486" t="s">
        <v>29</v>
      </c>
      <c r="D486">
        <v>2</v>
      </c>
      <c r="E486" t="s">
        <v>21</v>
      </c>
      <c r="F486">
        <v>6.7</v>
      </c>
      <c r="G486">
        <v>9.4</v>
      </c>
      <c r="H486">
        <v>1</v>
      </c>
      <c r="I486">
        <v>9</v>
      </c>
      <c r="J486">
        <v>6</v>
      </c>
      <c r="K486" s="4" t="str" cm="1">
        <f t="array" ref="K486">_xlfn.IFS(stdsurvey[[#This Row],[phq9_score]]="","Answer Not Provided",stdsurvey[[#This Row],[phq9_score]]&lt;=4,"Minimal",stdsurvey[[#This Row],[phq9_score]]&lt;=9,"Mild",stdsurvey[[#This Row],[phq9_score]]&lt;=14,"Moderate",stdsurvey[[#This Row],[phq9_score]]&lt;=19,"Moderately Severe",stdsurvey[[#This Row],[phq9_score]]&lt;=27,"Severe")</f>
        <v>Mild</v>
      </c>
      <c r="L486">
        <v>12</v>
      </c>
      <c r="M486" s="4" t="str" cm="1">
        <f t="array" ref="M486">_xlfn.IFS(stdsurvey[[#This Row],[gad7_score]]="","Answer Not Provided",stdsurvey[[#This Row],[gad7_score]]&lt;=4,"Minimal",stdsurvey[[#This Row],[gad7_score]]&lt;=9,"Mild",stdsurvey[[#This Row],[gad7_score]]&lt;=14,"Moderate",stdsurvey[[#This Row],[gad7_score]]&lt;=21,"Severe")</f>
        <v>Mild</v>
      </c>
      <c r="N486">
        <v>10.5</v>
      </c>
      <c r="O486" s="4" t="str" cm="1">
        <f t="array" ref="O486">_xlfn.IFS(stdsurvey[[#This Row],[perceived_stress_scale]]="","Answer Not Provided",stdsurvey[[#This Row],[perceived_stress_scale]]&lt;=13,"Low Stress",stdsurvey[[#This Row],[perceived_stress_scale]]&lt;=26,"Moderate Stress",stdsurvey[[#This Row],[perceived_stress_scale]]&lt;=40,"High Stress")</f>
        <v>Low Stress</v>
      </c>
      <c r="P486">
        <v>91.5</v>
      </c>
      <c r="Q486">
        <v>2</v>
      </c>
      <c r="R486" s="4" t="str" cm="1">
        <f t="array" ref="R486">_xlfn.IFS(stdsurvey[[#This Row],[class_attendance_percent]]&lt;60,"Less than 0%",stdsurvey[[#This Row],[class_attendance_percent]]&lt;70,"60-70 %",stdsurvey[[#This Row],[class_attendance_percent]]&lt;80, "70-80%",stdsurvey[[#This Row],[class_attendance_percent]]&lt;90,"80-90%",TRUE,"More than 90%")</f>
        <v>More than 90%</v>
      </c>
      <c r="S486" t="s">
        <v>22</v>
      </c>
      <c r="T486">
        <v>3</v>
      </c>
      <c r="U486" t="s">
        <v>26</v>
      </c>
      <c r="V486">
        <v>2.41</v>
      </c>
      <c r="W486" s="4" t="str" cm="1">
        <f t="array" ref="W48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86" s="4" t="str" cm="1">
        <f t="array" ref="X486">_xlfn.IFS(stdsurvey[[#This Row],[daily_sleep_hours]]&lt;4,"&lt; 4 hrs",stdsurvey[[#This Row],[daily_sleep_hours]]&lt;=6,"4-6 hrs",stdsurvey[[#This Row],[daily_sleep_hours]]&lt;=8,"6-8 hrs",TRUE,"&gt; 8 hrs")</f>
        <v>6-8 hrs</v>
      </c>
      <c r="Y486" t="s">
        <v>29</v>
      </c>
    </row>
    <row r="487" spans="1:25" x14ac:dyDescent="0.3">
      <c r="A487" t="s">
        <v>521</v>
      </c>
      <c r="B487">
        <v>22</v>
      </c>
      <c r="C487" t="s">
        <v>20</v>
      </c>
      <c r="D487">
        <v>1</v>
      </c>
      <c r="E487" t="s">
        <v>30</v>
      </c>
      <c r="F487">
        <v>4.7</v>
      </c>
      <c r="G487">
        <v>5.9</v>
      </c>
      <c r="H487">
        <v>2</v>
      </c>
      <c r="I487">
        <v>6</v>
      </c>
      <c r="J487">
        <v>6</v>
      </c>
      <c r="K487" s="4" t="str" cm="1">
        <f t="array" ref="K487">_xlfn.IFS(stdsurvey[[#This Row],[phq9_score]]="","Answer Not Provided",stdsurvey[[#This Row],[phq9_score]]&lt;=4,"Minimal",stdsurvey[[#This Row],[phq9_score]]&lt;=9,"Mild",stdsurvey[[#This Row],[phq9_score]]&lt;=14,"Moderate",stdsurvey[[#This Row],[phq9_score]]&lt;=19,"Moderately Severe",stdsurvey[[#This Row],[phq9_score]]&lt;=27,"Severe")</f>
        <v>Mild</v>
      </c>
      <c r="L487">
        <v>10</v>
      </c>
      <c r="M487" s="4" t="str" cm="1">
        <f t="array" ref="M487">_xlfn.IFS(stdsurvey[[#This Row],[gad7_score]]="","Answer Not Provided",stdsurvey[[#This Row],[gad7_score]]&lt;=4,"Minimal",stdsurvey[[#This Row],[gad7_score]]&lt;=9,"Mild",stdsurvey[[#This Row],[gad7_score]]&lt;=14,"Moderate",stdsurvey[[#This Row],[gad7_score]]&lt;=21,"Severe")</f>
        <v>Mild</v>
      </c>
      <c r="N487">
        <v>17.100000000000001</v>
      </c>
      <c r="O487" s="4" t="str" cm="1">
        <f t="array" ref="O487">_xlfn.IFS(stdsurvey[[#This Row],[perceived_stress_scale]]="","Answer Not Provided",stdsurvey[[#This Row],[perceived_stress_scale]]&lt;=13,"Low Stress",stdsurvey[[#This Row],[perceived_stress_scale]]&lt;=26,"Moderate Stress",stdsurvey[[#This Row],[perceived_stress_scale]]&lt;=40,"High Stress")</f>
        <v>Low Stress</v>
      </c>
      <c r="P487">
        <v>69.7</v>
      </c>
      <c r="Q487">
        <v>5</v>
      </c>
      <c r="R487" s="4" t="str" cm="1">
        <f t="array" ref="R487">_xlfn.IFS(stdsurvey[[#This Row],[class_attendance_percent]]&lt;60,"Less than 0%",stdsurvey[[#This Row],[class_attendance_percent]]&lt;70,"60-70 %",stdsurvey[[#This Row],[class_attendance_percent]]&lt;80, "70-80%",stdsurvey[[#This Row],[class_attendance_percent]]&lt;90,"80-90%",TRUE,"More than 90%")</f>
        <v>60-70 %</v>
      </c>
      <c r="S487" t="s">
        <v>33</v>
      </c>
      <c r="T487">
        <v>3</v>
      </c>
      <c r="U487" t="s">
        <v>26</v>
      </c>
      <c r="V487">
        <v>2.33</v>
      </c>
      <c r="W487" s="4" t="str" cm="1">
        <f t="array" ref="W48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87" s="4" t="str" cm="1">
        <f t="array" ref="X487">_xlfn.IFS(stdsurvey[[#This Row],[daily_sleep_hours]]&lt;4,"&lt; 4 hrs",stdsurvey[[#This Row],[daily_sleep_hours]]&lt;=6,"4-6 hrs",stdsurvey[[#This Row],[daily_sleep_hours]]&lt;=8,"6-8 hrs",TRUE,"&gt; 8 hrs")</f>
        <v>4-6 hrs</v>
      </c>
      <c r="Y487" t="s">
        <v>20</v>
      </c>
    </row>
    <row r="488" spans="1:25" x14ac:dyDescent="0.3">
      <c r="A488" t="s">
        <v>522</v>
      </c>
      <c r="B488">
        <v>23</v>
      </c>
      <c r="C488" t="s">
        <v>20</v>
      </c>
      <c r="D488">
        <v>2</v>
      </c>
      <c r="E488" t="s">
        <v>21</v>
      </c>
      <c r="F488">
        <v>4.0999999999999996</v>
      </c>
      <c r="G488">
        <v>7.7</v>
      </c>
      <c r="H488">
        <v>4</v>
      </c>
      <c r="I488">
        <v>12</v>
      </c>
      <c r="J488">
        <v>11</v>
      </c>
      <c r="K488" s="4" t="str" cm="1">
        <f t="array" ref="K488">_xlfn.IFS(stdsurvey[[#This Row],[phq9_score]]="","Answer Not Provided",stdsurvey[[#This Row],[phq9_score]]&lt;=4,"Minimal",stdsurvey[[#This Row],[phq9_score]]&lt;=9,"Mild",stdsurvey[[#This Row],[phq9_score]]&lt;=14,"Moderate",stdsurvey[[#This Row],[phq9_score]]&lt;=19,"Moderately Severe",stdsurvey[[#This Row],[phq9_score]]&lt;=27,"Severe")</f>
        <v>Moderate</v>
      </c>
      <c r="L488">
        <v>15</v>
      </c>
      <c r="M488" s="4" t="str" cm="1">
        <f t="array" ref="M488">_xlfn.IFS(stdsurvey[[#This Row],[gad7_score]]="","Answer Not Provided",stdsurvey[[#This Row],[gad7_score]]&lt;=4,"Minimal",stdsurvey[[#This Row],[gad7_score]]&lt;=9,"Mild",stdsurvey[[#This Row],[gad7_score]]&lt;=14,"Moderate",stdsurvey[[#This Row],[gad7_score]]&lt;=21,"Severe")</f>
        <v>Moderate</v>
      </c>
      <c r="N488">
        <v>23.2</v>
      </c>
      <c r="O488" s="4" t="str" cm="1">
        <f t="array" ref="O488">_xlfn.IFS(stdsurvey[[#This Row],[perceived_stress_scale]]="","Answer Not Provided",stdsurvey[[#This Row],[perceived_stress_scale]]&lt;=13,"Low Stress",stdsurvey[[#This Row],[perceived_stress_scale]]&lt;=26,"Moderate Stress",stdsurvey[[#This Row],[perceived_stress_scale]]&lt;=40,"High Stress")</f>
        <v>Moderate Stress</v>
      </c>
      <c r="P488">
        <v>68.900000000000006</v>
      </c>
      <c r="Q488">
        <v>2</v>
      </c>
      <c r="R488" s="4" t="str" cm="1">
        <f t="array" ref="R488">_xlfn.IFS(stdsurvey[[#This Row],[class_attendance_percent]]&lt;60,"Less than 0%",stdsurvey[[#This Row],[class_attendance_percent]]&lt;70,"60-70 %",stdsurvey[[#This Row],[class_attendance_percent]]&lt;80, "70-80%",stdsurvey[[#This Row],[class_attendance_percent]]&lt;90,"80-90%",TRUE,"More than 90%")</f>
        <v>60-70 %</v>
      </c>
      <c r="S488" t="s">
        <v>33</v>
      </c>
      <c r="T488">
        <v>3</v>
      </c>
      <c r="U488" t="s">
        <v>23</v>
      </c>
      <c r="V488">
        <v>2.6</v>
      </c>
      <c r="W488" s="4" t="str" cm="1">
        <f t="array" ref="W48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88" s="4" t="str" cm="1">
        <f t="array" ref="X488">_xlfn.IFS(stdsurvey[[#This Row],[daily_sleep_hours]]&lt;4,"&lt; 4 hrs",stdsurvey[[#This Row],[daily_sleep_hours]]&lt;=6,"4-6 hrs",stdsurvey[[#This Row],[daily_sleep_hours]]&lt;=8,"6-8 hrs",TRUE,"&gt; 8 hrs")</f>
        <v>4-6 hrs</v>
      </c>
      <c r="Y488" t="s">
        <v>20</v>
      </c>
    </row>
    <row r="489" spans="1:25" x14ac:dyDescent="0.3">
      <c r="A489" t="s">
        <v>523</v>
      </c>
      <c r="B489">
        <v>21</v>
      </c>
      <c r="C489" t="s">
        <v>27</v>
      </c>
      <c r="D489">
        <v>2</v>
      </c>
      <c r="E489" t="s">
        <v>35</v>
      </c>
      <c r="F489">
        <v>6.1</v>
      </c>
      <c r="G489">
        <v>7.4</v>
      </c>
      <c r="H489">
        <v>1</v>
      </c>
      <c r="I489">
        <v>2</v>
      </c>
      <c r="J489">
        <v>1</v>
      </c>
      <c r="K489" s="4" t="str" cm="1">
        <f t="array" ref="K489">_xlfn.IFS(stdsurvey[[#This Row],[phq9_score]]="","Answer Not Provided",stdsurvey[[#This Row],[phq9_score]]&lt;=4,"Minimal",stdsurvey[[#This Row],[phq9_score]]&lt;=9,"Mild",stdsurvey[[#This Row],[phq9_score]]&lt;=14,"Moderate",stdsurvey[[#This Row],[phq9_score]]&lt;=19,"Moderately Severe",stdsurvey[[#This Row],[phq9_score]]&lt;=27,"Severe")</f>
        <v>Minimal</v>
      </c>
      <c r="L489">
        <v>10</v>
      </c>
      <c r="M489" s="4" t="str" cm="1">
        <f t="array" ref="M489">_xlfn.IFS(stdsurvey[[#This Row],[gad7_score]]="","Answer Not Provided",stdsurvey[[#This Row],[gad7_score]]&lt;=4,"Minimal",stdsurvey[[#This Row],[gad7_score]]&lt;=9,"Mild",stdsurvey[[#This Row],[gad7_score]]&lt;=14,"Moderate",stdsurvey[[#This Row],[gad7_score]]&lt;=21,"Severe")</f>
        <v>Minimal</v>
      </c>
      <c r="N489">
        <v>28.5</v>
      </c>
      <c r="O489" s="4" t="str" cm="1">
        <f t="array" ref="O489">_xlfn.IFS(stdsurvey[[#This Row],[perceived_stress_scale]]="","Answer Not Provided",stdsurvey[[#This Row],[perceived_stress_scale]]&lt;=13,"Low Stress",stdsurvey[[#This Row],[perceived_stress_scale]]&lt;=26,"Moderate Stress",stdsurvey[[#This Row],[perceived_stress_scale]]&lt;=40,"High Stress")</f>
        <v>Low Stress</v>
      </c>
      <c r="P489">
        <v>99.1</v>
      </c>
      <c r="Q489">
        <v>4</v>
      </c>
      <c r="R489" s="4" t="str" cm="1">
        <f t="array" ref="R489">_xlfn.IFS(stdsurvey[[#This Row],[class_attendance_percent]]&lt;60,"Less than 0%",stdsurvey[[#This Row],[class_attendance_percent]]&lt;70,"60-70 %",stdsurvey[[#This Row],[class_attendance_percent]]&lt;80, "70-80%",stdsurvey[[#This Row],[class_attendance_percent]]&lt;90,"80-90%",TRUE,"More than 90%")</f>
        <v>More than 90%</v>
      </c>
      <c r="S489" t="s">
        <v>22</v>
      </c>
      <c r="T489">
        <v>4</v>
      </c>
      <c r="U489" t="s">
        <v>26</v>
      </c>
      <c r="V489">
        <v>4</v>
      </c>
      <c r="W489" s="4" t="str" cm="1">
        <f t="array" ref="W48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89" s="4" t="str" cm="1">
        <f t="array" ref="X489">_xlfn.IFS(stdsurvey[[#This Row],[daily_sleep_hours]]&lt;4,"&lt; 4 hrs",stdsurvey[[#This Row],[daily_sleep_hours]]&lt;=6,"4-6 hrs",stdsurvey[[#This Row],[daily_sleep_hours]]&lt;=8,"6-8 hrs",TRUE,"&gt; 8 hrs")</f>
        <v>6-8 hrs</v>
      </c>
      <c r="Y489" t="s">
        <v>27</v>
      </c>
    </row>
    <row r="490" spans="1:25" x14ac:dyDescent="0.3">
      <c r="A490" t="s">
        <v>524</v>
      </c>
      <c r="B490">
        <v>21</v>
      </c>
      <c r="C490" t="s">
        <v>102</v>
      </c>
      <c r="D490">
        <v>2</v>
      </c>
      <c r="E490" t="s">
        <v>21</v>
      </c>
      <c r="F490">
        <v>7.1</v>
      </c>
      <c r="G490">
        <v>4.9000000000000004</v>
      </c>
      <c r="H490">
        <v>3</v>
      </c>
      <c r="I490">
        <v>2</v>
      </c>
      <c r="J490">
        <v>0</v>
      </c>
      <c r="K490" s="4" t="str" cm="1">
        <f t="array" ref="K490">_xlfn.IFS(stdsurvey[[#This Row],[phq9_score]]="","Answer Not Provided",stdsurvey[[#This Row],[phq9_score]]&lt;=4,"Minimal",stdsurvey[[#This Row],[phq9_score]]&lt;=9,"Mild",stdsurvey[[#This Row],[phq9_score]]&lt;=14,"Moderate",stdsurvey[[#This Row],[phq9_score]]&lt;=19,"Moderately Severe",stdsurvey[[#This Row],[phq9_score]]&lt;=27,"Severe")</f>
        <v>Minimal</v>
      </c>
      <c r="L490">
        <v>3</v>
      </c>
      <c r="M490" s="4" t="str" cm="1">
        <f t="array" ref="M490">_xlfn.IFS(stdsurvey[[#This Row],[gad7_score]]="","Answer Not Provided",stdsurvey[[#This Row],[gad7_score]]&lt;=4,"Minimal",stdsurvey[[#This Row],[gad7_score]]&lt;=9,"Mild",stdsurvey[[#This Row],[gad7_score]]&lt;=14,"Moderate",stdsurvey[[#This Row],[gad7_score]]&lt;=21,"Severe")</f>
        <v>Minimal</v>
      </c>
      <c r="N490">
        <v>13</v>
      </c>
      <c r="O490" s="4" t="str" cm="1">
        <f t="array" ref="O490">_xlfn.IFS(stdsurvey[[#This Row],[perceived_stress_scale]]="","Answer Not Provided",stdsurvey[[#This Row],[perceived_stress_scale]]&lt;=13,"Low Stress",stdsurvey[[#This Row],[perceived_stress_scale]]&lt;=26,"Moderate Stress",stdsurvey[[#This Row],[perceived_stress_scale]]&lt;=40,"High Stress")</f>
        <v>Low Stress</v>
      </c>
      <c r="P490">
        <v>76.599999999999994</v>
      </c>
      <c r="Q490">
        <v>4</v>
      </c>
      <c r="R490" s="4" t="str" cm="1">
        <f t="array" ref="R490">_xlfn.IFS(stdsurvey[[#This Row],[class_attendance_percent]]&lt;60,"Less than 0%",stdsurvey[[#This Row],[class_attendance_percent]]&lt;70,"60-70 %",stdsurvey[[#This Row],[class_attendance_percent]]&lt;80, "70-80%",stdsurvey[[#This Row],[class_attendance_percent]]&lt;90,"80-90%",TRUE,"More than 90%")</f>
        <v>70-80%</v>
      </c>
      <c r="S490" t="s">
        <v>22</v>
      </c>
      <c r="T490">
        <v>4</v>
      </c>
      <c r="U490" t="s">
        <v>26</v>
      </c>
      <c r="V490">
        <v>2.66</v>
      </c>
      <c r="W490" s="4" t="str" cm="1">
        <f t="array" ref="W49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90" s="4" t="str" cm="1">
        <f t="array" ref="X490">_xlfn.IFS(stdsurvey[[#This Row],[daily_sleep_hours]]&lt;4,"&lt; 4 hrs",stdsurvey[[#This Row],[daily_sleep_hours]]&lt;=6,"4-6 hrs",stdsurvey[[#This Row],[daily_sleep_hours]]&lt;=8,"6-8 hrs",TRUE,"&gt; 8 hrs")</f>
        <v>6-8 hrs</v>
      </c>
      <c r="Y490" t="s">
        <v>20</v>
      </c>
    </row>
    <row r="491" spans="1:25" x14ac:dyDescent="0.3">
      <c r="A491" t="s">
        <v>525</v>
      </c>
      <c r="B491">
        <v>20</v>
      </c>
      <c r="C491" t="s">
        <v>20</v>
      </c>
      <c r="D491">
        <v>4</v>
      </c>
      <c r="E491" t="s">
        <v>63</v>
      </c>
      <c r="F491">
        <v>7.2</v>
      </c>
      <c r="G491">
        <v>3.9</v>
      </c>
      <c r="H491">
        <v>5</v>
      </c>
      <c r="I491">
        <v>16</v>
      </c>
      <c r="J491">
        <v>16</v>
      </c>
      <c r="K491" s="4" t="str" cm="1">
        <f t="array" ref="K491">_xlfn.IFS(stdsurvey[[#This Row],[phq9_score]]="","Answer Not Provided",stdsurvey[[#This Row],[phq9_score]]&lt;=4,"Minimal",stdsurvey[[#This Row],[phq9_score]]&lt;=9,"Mild",stdsurvey[[#This Row],[phq9_score]]&lt;=14,"Moderate",stdsurvey[[#This Row],[phq9_score]]&lt;=19,"Moderately Severe",stdsurvey[[#This Row],[phq9_score]]&lt;=27,"Severe")</f>
        <v>Moderately Severe</v>
      </c>
      <c r="L491">
        <v>21</v>
      </c>
      <c r="M491" s="4" t="str" cm="1">
        <f t="array" ref="M491">_xlfn.IFS(stdsurvey[[#This Row],[gad7_score]]="","Answer Not Provided",stdsurvey[[#This Row],[gad7_score]]&lt;=4,"Minimal",stdsurvey[[#This Row],[gad7_score]]&lt;=9,"Mild",stdsurvey[[#This Row],[gad7_score]]&lt;=14,"Moderate",stdsurvey[[#This Row],[gad7_score]]&lt;=21,"Severe")</f>
        <v>Severe</v>
      </c>
      <c r="N491">
        <v>10.199999999999999</v>
      </c>
      <c r="O491" s="4" t="str" cm="1">
        <f t="array" ref="O491">_xlfn.IFS(stdsurvey[[#This Row],[perceived_stress_scale]]="","Answer Not Provided",stdsurvey[[#This Row],[perceived_stress_scale]]&lt;=13,"Low Stress",stdsurvey[[#This Row],[perceived_stress_scale]]&lt;=26,"Moderate Stress",stdsurvey[[#This Row],[perceived_stress_scale]]&lt;=40,"High Stress")</f>
        <v>Moderate Stress</v>
      </c>
      <c r="P491">
        <v>92.1</v>
      </c>
      <c r="Q491">
        <v>3</v>
      </c>
      <c r="R491" s="4" t="str" cm="1">
        <f t="array" ref="R491">_xlfn.IFS(stdsurvey[[#This Row],[class_attendance_percent]]&lt;60,"Less than 0%",stdsurvey[[#This Row],[class_attendance_percent]]&lt;70,"60-70 %",stdsurvey[[#This Row],[class_attendance_percent]]&lt;80, "70-80%",stdsurvey[[#This Row],[class_attendance_percent]]&lt;90,"80-90%",TRUE,"More than 90%")</f>
        <v>More than 90%</v>
      </c>
      <c r="S491" t="s">
        <v>22</v>
      </c>
      <c r="T491">
        <v>5</v>
      </c>
      <c r="U491" t="s">
        <v>51</v>
      </c>
      <c r="V491">
        <v>4.0999999999999996</v>
      </c>
      <c r="W491" s="4" t="str" cm="1">
        <f t="array" ref="W49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91" s="4" t="str" cm="1">
        <f t="array" ref="X491">_xlfn.IFS(stdsurvey[[#This Row],[daily_sleep_hours]]&lt;4,"&lt; 4 hrs",stdsurvey[[#This Row],[daily_sleep_hours]]&lt;=6,"4-6 hrs",stdsurvey[[#This Row],[daily_sleep_hours]]&lt;=8,"6-8 hrs",TRUE,"&gt; 8 hrs")</f>
        <v>6-8 hrs</v>
      </c>
      <c r="Y491" t="s">
        <v>20</v>
      </c>
    </row>
    <row r="492" spans="1:25" x14ac:dyDescent="0.3">
      <c r="A492" t="s">
        <v>526</v>
      </c>
      <c r="B492">
        <v>22</v>
      </c>
      <c r="C492" t="s">
        <v>39</v>
      </c>
      <c r="D492">
        <v>2</v>
      </c>
      <c r="E492" t="s">
        <v>30</v>
      </c>
      <c r="F492">
        <v>7</v>
      </c>
      <c r="G492">
        <v>3.6</v>
      </c>
      <c r="H492">
        <v>3</v>
      </c>
      <c r="I492">
        <v>8</v>
      </c>
      <c r="J492">
        <v>6</v>
      </c>
      <c r="K492" s="4" t="str" cm="1">
        <f t="array" ref="K492">_xlfn.IFS(stdsurvey[[#This Row],[phq9_score]]="","Answer Not Provided",stdsurvey[[#This Row],[phq9_score]]&lt;=4,"Minimal",stdsurvey[[#This Row],[phq9_score]]&lt;=9,"Mild",stdsurvey[[#This Row],[phq9_score]]&lt;=14,"Moderate",stdsurvey[[#This Row],[phq9_score]]&lt;=19,"Moderately Severe",stdsurvey[[#This Row],[phq9_score]]&lt;=27,"Severe")</f>
        <v>Mild</v>
      </c>
      <c r="L492">
        <v>17</v>
      </c>
      <c r="M492" s="4" t="str" cm="1">
        <f t="array" ref="M492">_xlfn.IFS(stdsurvey[[#This Row],[gad7_score]]="","Answer Not Provided",stdsurvey[[#This Row],[gad7_score]]&lt;=4,"Minimal",stdsurvey[[#This Row],[gad7_score]]&lt;=9,"Mild",stdsurvey[[#This Row],[gad7_score]]&lt;=14,"Moderate",stdsurvey[[#This Row],[gad7_score]]&lt;=21,"Severe")</f>
        <v>Mild</v>
      </c>
      <c r="N492">
        <v>11.1</v>
      </c>
      <c r="O492" s="4" t="str" cm="1">
        <f t="array" ref="O492">_xlfn.IFS(stdsurvey[[#This Row],[perceived_stress_scale]]="","Answer Not Provided",stdsurvey[[#This Row],[perceived_stress_scale]]&lt;=13,"Low Stress",stdsurvey[[#This Row],[perceived_stress_scale]]&lt;=26,"Moderate Stress",stdsurvey[[#This Row],[perceived_stress_scale]]&lt;=40,"High Stress")</f>
        <v>Moderate Stress</v>
      </c>
      <c r="P492">
        <v>62.9</v>
      </c>
      <c r="Q492">
        <v>4</v>
      </c>
      <c r="R492" s="4" t="str" cm="1">
        <f t="array" ref="R492">_xlfn.IFS(stdsurvey[[#This Row],[class_attendance_percent]]&lt;60,"Less than 0%",stdsurvey[[#This Row],[class_attendance_percent]]&lt;70,"60-70 %",stdsurvey[[#This Row],[class_attendance_percent]]&lt;80, "70-80%",stdsurvey[[#This Row],[class_attendance_percent]]&lt;90,"80-90%",TRUE,"More than 90%")</f>
        <v>60-70 %</v>
      </c>
      <c r="S492" t="s">
        <v>22</v>
      </c>
      <c r="T492">
        <v>2</v>
      </c>
      <c r="U492" t="s">
        <v>26</v>
      </c>
      <c r="V492">
        <v>2.89</v>
      </c>
      <c r="W492" s="4" t="str" cm="1">
        <f t="array" ref="W49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92" s="4" t="str" cm="1">
        <f t="array" ref="X492">_xlfn.IFS(stdsurvey[[#This Row],[daily_sleep_hours]]&lt;4,"&lt; 4 hrs",stdsurvey[[#This Row],[daily_sleep_hours]]&lt;=6,"4-6 hrs",stdsurvey[[#This Row],[daily_sleep_hours]]&lt;=8,"6-8 hrs",TRUE,"&gt; 8 hrs")</f>
        <v>6-8 hrs</v>
      </c>
      <c r="Y492" t="s">
        <v>27</v>
      </c>
    </row>
    <row r="493" spans="1:25" x14ac:dyDescent="0.3">
      <c r="A493" t="s">
        <v>527</v>
      </c>
      <c r="B493">
        <v>20</v>
      </c>
      <c r="C493" t="s">
        <v>20</v>
      </c>
      <c r="D493">
        <v>2</v>
      </c>
      <c r="E493" t="s">
        <v>21</v>
      </c>
      <c r="F493">
        <v>5</v>
      </c>
      <c r="G493">
        <v>11</v>
      </c>
      <c r="H493">
        <v>1</v>
      </c>
      <c r="I493">
        <v>0</v>
      </c>
      <c r="J493">
        <v>2</v>
      </c>
      <c r="K493" s="4" t="str" cm="1">
        <f t="array" ref="K493">_xlfn.IFS(stdsurvey[[#This Row],[phq9_score]]="","Answer Not Provided",stdsurvey[[#This Row],[phq9_score]]&lt;=4,"Minimal",stdsurvey[[#This Row],[phq9_score]]&lt;=9,"Mild",stdsurvey[[#This Row],[phq9_score]]&lt;=14,"Moderate",stdsurvey[[#This Row],[phq9_score]]&lt;=19,"Moderately Severe",stdsurvey[[#This Row],[phq9_score]]&lt;=27,"Severe")</f>
        <v>Minimal</v>
      </c>
      <c r="L493">
        <v>4</v>
      </c>
      <c r="M493" s="4" t="str" cm="1">
        <f t="array" ref="M493">_xlfn.IFS(stdsurvey[[#This Row],[gad7_score]]="","Answer Not Provided",stdsurvey[[#This Row],[gad7_score]]&lt;=4,"Minimal",stdsurvey[[#This Row],[gad7_score]]&lt;=9,"Mild",stdsurvey[[#This Row],[gad7_score]]&lt;=14,"Moderate",stdsurvey[[#This Row],[gad7_score]]&lt;=21,"Severe")</f>
        <v>Minimal</v>
      </c>
      <c r="N493">
        <v>26.3</v>
      </c>
      <c r="O493" s="4" t="str" cm="1">
        <f t="array" ref="O493">_xlfn.IFS(stdsurvey[[#This Row],[perceived_stress_scale]]="","Answer Not Provided",stdsurvey[[#This Row],[perceived_stress_scale]]&lt;=13,"Low Stress",stdsurvey[[#This Row],[perceived_stress_scale]]&lt;=26,"Moderate Stress",stdsurvey[[#This Row],[perceived_stress_scale]]&lt;=40,"High Stress")</f>
        <v>Low Stress</v>
      </c>
      <c r="P493">
        <v>100</v>
      </c>
      <c r="Q493">
        <v>2</v>
      </c>
      <c r="R493" s="4" t="str" cm="1">
        <f t="array" ref="R493">_xlfn.IFS(stdsurvey[[#This Row],[class_attendance_percent]]&lt;60,"Less than 0%",stdsurvey[[#This Row],[class_attendance_percent]]&lt;70,"60-70 %",stdsurvey[[#This Row],[class_attendance_percent]]&lt;80, "70-80%",stdsurvey[[#This Row],[class_attendance_percent]]&lt;90,"80-90%",TRUE,"More than 90%")</f>
        <v>More than 90%</v>
      </c>
      <c r="S493" t="s">
        <v>22</v>
      </c>
      <c r="T493">
        <v>3</v>
      </c>
      <c r="U493" t="s">
        <v>26</v>
      </c>
      <c r="V493">
        <v>3.7</v>
      </c>
      <c r="W493" s="4" t="str" cm="1">
        <f t="array" ref="W49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93" s="4" t="str" cm="1">
        <f t="array" ref="X493">_xlfn.IFS(stdsurvey[[#This Row],[daily_sleep_hours]]&lt;4,"&lt; 4 hrs",stdsurvey[[#This Row],[daily_sleep_hours]]&lt;=6,"4-6 hrs",stdsurvey[[#This Row],[daily_sleep_hours]]&lt;=8,"6-8 hrs",TRUE,"&gt; 8 hrs")</f>
        <v>4-6 hrs</v>
      </c>
      <c r="Y493" t="s">
        <v>20</v>
      </c>
    </row>
    <row r="494" spans="1:25" x14ac:dyDescent="0.3">
      <c r="A494" t="s">
        <v>528</v>
      </c>
      <c r="B494">
        <v>23</v>
      </c>
      <c r="C494" t="s">
        <v>20</v>
      </c>
      <c r="D494">
        <v>1</v>
      </c>
      <c r="E494" t="s">
        <v>47</v>
      </c>
      <c r="F494">
        <v>7.6</v>
      </c>
      <c r="G494">
        <v>2.5</v>
      </c>
      <c r="H494">
        <v>2</v>
      </c>
      <c r="I494">
        <v>25</v>
      </c>
      <c r="J494">
        <v>17</v>
      </c>
      <c r="K494" s="4" t="str" cm="1">
        <f t="array" ref="K494">_xlfn.IFS(stdsurvey[[#This Row],[phq9_score]]="","Answer Not Provided",stdsurvey[[#This Row],[phq9_score]]&lt;=4,"Minimal",stdsurvey[[#This Row],[phq9_score]]&lt;=9,"Mild",stdsurvey[[#This Row],[phq9_score]]&lt;=14,"Moderate",stdsurvey[[#This Row],[phq9_score]]&lt;=19,"Moderately Severe",stdsurvey[[#This Row],[phq9_score]]&lt;=27,"Severe")</f>
        <v>Severe</v>
      </c>
      <c r="L494">
        <v>29</v>
      </c>
      <c r="M494" s="4" t="str" cm="1">
        <f t="array" ref="M494">_xlfn.IFS(stdsurvey[[#This Row],[gad7_score]]="","Answer Not Provided",stdsurvey[[#This Row],[gad7_score]]&lt;=4,"Minimal",stdsurvey[[#This Row],[gad7_score]]&lt;=9,"Mild",stdsurvey[[#This Row],[gad7_score]]&lt;=14,"Moderate",stdsurvey[[#This Row],[gad7_score]]&lt;=21,"Severe")</f>
        <v>Severe</v>
      </c>
      <c r="N494">
        <v>25.6</v>
      </c>
      <c r="O494" s="4" t="str" cm="1">
        <f t="array" ref="O494">_xlfn.IFS(stdsurvey[[#This Row],[perceived_stress_scale]]="","Answer Not Provided",stdsurvey[[#This Row],[perceived_stress_scale]]&lt;=13,"Low Stress",stdsurvey[[#This Row],[perceived_stress_scale]]&lt;=26,"Moderate Stress",stdsurvey[[#This Row],[perceived_stress_scale]]&lt;=40,"High Stress")</f>
        <v>High Stress</v>
      </c>
      <c r="P494">
        <v>79.900000000000006</v>
      </c>
      <c r="Q494">
        <v>3</v>
      </c>
      <c r="R494" s="4" t="str" cm="1">
        <f t="array" ref="R494">_xlfn.IFS(stdsurvey[[#This Row],[class_attendance_percent]]&lt;60,"Less than 0%",stdsurvey[[#This Row],[class_attendance_percent]]&lt;70,"60-70 %",stdsurvey[[#This Row],[class_attendance_percent]]&lt;80, "70-80%",stdsurvey[[#This Row],[class_attendance_percent]]&lt;90,"80-90%",TRUE,"More than 90%")</f>
        <v>70-80%</v>
      </c>
      <c r="S494" t="s">
        <v>22</v>
      </c>
      <c r="T494">
        <v>2</v>
      </c>
      <c r="U494" t="s">
        <v>23</v>
      </c>
      <c r="V494">
        <v>2.95</v>
      </c>
      <c r="W494" s="4" t="str" cm="1">
        <f t="array" ref="W49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94" s="4" t="str" cm="1">
        <f t="array" ref="X494">_xlfn.IFS(stdsurvey[[#This Row],[daily_sleep_hours]]&lt;4,"&lt; 4 hrs",stdsurvey[[#This Row],[daily_sleep_hours]]&lt;=6,"4-6 hrs",stdsurvey[[#This Row],[daily_sleep_hours]]&lt;=8,"6-8 hrs",TRUE,"&gt; 8 hrs")</f>
        <v>6-8 hrs</v>
      </c>
      <c r="Y494" t="s">
        <v>20</v>
      </c>
    </row>
    <row r="495" spans="1:25" x14ac:dyDescent="0.3">
      <c r="A495" t="s">
        <v>529</v>
      </c>
      <c r="B495">
        <v>24</v>
      </c>
      <c r="C495" t="s">
        <v>39</v>
      </c>
      <c r="D495">
        <v>2</v>
      </c>
      <c r="E495" t="s">
        <v>21</v>
      </c>
      <c r="F495">
        <v>6.5</v>
      </c>
      <c r="G495">
        <v>2.5</v>
      </c>
      <c r="H495">
        <v>3</v>
      </c>
      <c r="I495">
        <v>11</v>
      </c>
      <c r="J495">
        <v>10</v>
      </c>
      <c r="K495" s="4" t="str" cm="1">
        <f t="array" ref="K495">_xlfn.IFS(stdsurvey[[#This Row],[phq9_score]]="","Answer Not Provided",stdsurvey[[#This Row],[phq9_score]]&lt;=4,"Minimal",stdsurvey[[#This Row],[phq9_score]]&lt;=9,"Mild",stdsurvey[[#This Row],[phq9_score]]&lt;=14,"Moderate",stdsurvey[[#This Row],[phq9_score]]&lt;=19,"Moderately Severe",stdsurvey[[#This Row],[phq9_score]]&lt;=27,"Severe")</f>
        <v>Moderate</v>
      </c>
      <c r="L495">
        <v>14</v>
      </c>
      <c r="M495" s="4" t="str" cm="1">
        <f t="array" ref="M495">_xlfn.IFS(stdsurvey[[#This Row],[gad7_score]]="","Answer Not Provided",stdsurvey[[#This Row],[gad7_score]]&lt;=4,"Minimal",stdsurvey[[#This Row],[gad7_score]]&lt;=9,"Mild",stdsurvey[[#This Row],[gad7_score]]&lt;=14,"Moderate",stdsurvey[[#This Row],[gad7_score]]&lt;=21,"Severe")</f>
        <v>Moderate</v>
      </c>
      <c r="N495">
        <v>16.399999999999999</v>
      </c>
      <c r="O495" s="4" t="str" cm="1">
        <f t="array" ref="O495">_xlfn.IFS(stdsurvey[[#This Row],[perceived_stress_scale]]="","Answer Not Provided",stdsurvey[[#This Row],[perceived_stress_scale]]&lt;=13,"Low Stress",stdsurvey[[#This Row],[perceived_stress_scale]]&lt;=26,"Moderate Stress",stdsurvey[[#This Row],[perceived_stress_scale]]&lt;=40,"High Stress")</f>
        <v>Moderate Stress</v>
      </c>
      <c r="P495">
        <v>83.9</v>
      </c>
      <c r="Q495">
        <v>3</v>
      </c>
      <c r="R495" s="4" t="str" cm="1">
        <f t="array" ref="R495">_xlfn.IFS(stdsurvey[[#This Row],[class_attendance_percent]]&lt;60,"Less than 0%",stdsurvey[[#This Row],[class_attendance_percent]]&lt;70,"60-70 %",stdsurvey[[#This Row],[class_attendance_percent]]&lt;80, "70-80%",stdsurvey[[#This Row],[class_attendance_percent]]&lt;90,"80-90%",TRUE,"More than 90%")</f>
        <v>80-90%</v>
      </c>
      <c r="S495" t="s">
        <v>33</v>
      </c>
      <c r="T495">
        <v>1</v>
      </c>
      <c r="U495" t="s">
        <v>26</v>
      </c>
      <c r="V495">
        <v>3.13</v>
      </c>
      <c r="W495" s="4" t="str" cm="1">
        <f t="array" ref="W495">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95" s="4" t="str" cm="1">
        <f t="array" ref="X495">_xlfn.IFS(stdsurvey[[#This Row],[daily_sleep_hours]]&lt;4,"&lt; 4 hrs",stdsurvey[[#This Row],[daily_sleep_hours]]&lt;=6,"4-6 hrs",stdsurvey[[#This Row],[daily_sleep_hours]]&lt;=8,"6-8 hrs",TRUE,"&gt; 8 hrs")</f>
        <v>6-8 hrs</v>
      </c>
      <c r="Y495" t="s">
        <v>27</v>
      </c>
    </row>
    <row r="496" spans="1:25" x14ac:dyDescent="0.3">
      <c r="A496" t="s">
        <v>530</v>
      </c>
      <c r="B496">
        <v>22</v>
      </c>
      <c r="C496" t="s">
        <v>20</v>
      </c>
      <c r="D496">
        <v>2</v>
      </c>
      <c r="E496" t="s">
        <v>30</v>
      </c>
      <c r="F496">
        <v>5</v>
      </c>
      <c r="G496">
        <v>8.1</v>
      </c>
      <c r="H496">
        <v>3</v>
      </c>
      <c r="I496">
        <v>5</v>
      </c>
      <c r="J496">
        <v>9</v>
      </c>
      <c r="K496" s="4" t="str" cm="1">
        <f t="array" ref="K496">_xlfn.IFS(stdsurvey[[#This Row],[phq9_score]]="","Answer Not Provided",stdsurvey[[#This Row],[phq9_score]]&lt;=4,"Minimal",stdsurvey[[#This Row],[phq9_score]]&lt;=9,"Mild",stdsurvey[[#This Row],[phq9_score]]&lt;=14,"Moderate",stdsurvey[[#This Row],[phq9_score]]&lt;=19,"Moderately Severe",stdsurvey[[#This Row],[phq9_score]]&lt;=27,"Severe")</f>
        <v>Mild</v>
      </c>
      <c r="L496">
        <v>15</v>
      </c>
      <c r="M496" s="4" t="str" cm="1">
        <f t="array" ref="M496">_xlfn.IFS(stdsurvey[[#This Row],[gad7_score]]="","Answer Not Provided",stdsurvey[[#This Row],[gad7_score]]&lt;=4,"Minimal",stdsurvey[[#This Row],[gad7_score]]&lt;=9,"Mild",stdsurvey[[#This Row],[gad7_score]]&lt;=14,"Moderate",stdsurvey[[#This Row],[gad7_score]]&lt;=21,"Severe")</f>
        <v>Mild</v>
      </c>
      <c r="N496">
        <v>10.9</v>
      </c>
      <c r="O496" s="4" t="str" cm="1">
        <f t="array" ref="O496">_xlfn.IFS(stdsurvey[[#This Row],[perceived_stress_scale]]="","Answer Not Provided",stdsurvey[[#This Row],[perceived_stress_scale]]&lt;=13,"Low Stress",stdsurvey[[#This Row],[perceived_stress_scale]]&lt;=26,"Moderate Stress",stdsurvey[[#This Row],[perceived_stress_scale]]&lt;=40,"High Stress")</f>
        <v>Moderate Stress</v>
      </c>
      <c r="P496">
        <v>77.400000000000006</v>
      </c>
      <c r="Q496">
        <v>5</v>
      </c>
      <c r="R496" s="4" t="str" cm="1">
        <f t="array" ref="R496">_xlfn.IFS(stdsurvey[[#This Row],[class_attendance_percent]]&lt;60,"Less than 0%",stdsurvey[[#This Row],[class_attendance_percent]]&lt;70,"60-70 %",stdsurvey[[#This Row],[class_attendance_percent]]&lt;80, "70-80%",stdsurvey[[#This Row],[class_attendance_percent]]&lt;90,"80-90%",TRUE,"More than 90%")</f>
        <v>70-80%</v>
      </c>
      <c r="S496" t="s">
        <v>22</v>
      </c>
      <c r="T496">
        <v>4</v>
      </c>
      <c r="U496" t="s">
        <v>26</v>
      </c>
      <c r="V496">
        <v>2.65</v>
      </c>
      <c r="W496" s="4" t="str" cm="1">
        <f t="array" ref="W496">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496" s="4" t="str" cm="1">
        <f t="array" ref="X496">_xlfn.IFS(stdsurvey[[#This Row],[daily_sleep_hours]]&lt;4,"&lt; 4 hrs",stdsurvey[[#This Row],[daily_sleep_hours]]&lt;=6,"4-6 hrs",stdsurvey[[#This Row],[daily_sleep_hours]]&lt;=8,"6-8 hrs",TRUE,"&gt; 8 hrs")</f>
        <v>4-6 hrs</v>
      </c>
      <c r="Y496" t="s">
        <v>20</v>
      </c>
    </row>
    <row r="497" spans="1:25" x14ac:dyDescent="0.3">
      <c r="A497" t="s">
        <v>531</v>
      </c>
      <c r="B497">
        <v>21</v>
      </c>
      <c r="C497" t="s">
        <v>45</v>
      </c>
      <c r="D497">
        <v>2</v>
      </c>
      <c r="E497" t="s">
        <v>47</v>
      </c>
      <c r="F497">
        <v>6.1</v>
      </c>
      <c r="G497">
        <v>7.7</v>
      </c>
      <c r="H497">
        <v>1</v>
      </c>
      <c r="I497">
        <v>6</v>
      </c>
      <c r="J497">
        <v>7</v>
      </c>
      <c r="K497" s="4" t="str" cm="1">
        <f t="array" ref="K497">_xlfn.IFS(stdsurvey[[#This Row],[phq9_score]]="","Answer Not Provided",stdsurvey[[#This Row],[phq9_score]]&lt;=4,"Minimal",stdsurvey[[#This Row],[phq9_score]]&lt;=9,"Mild",stdsurvey[[#This Row],[phq9_score]]&lt;=14,"Moderate",stdsurvey[[#This Row],[phq9_score]]&lt;=19,"Moderately Severe",stdsurvey[[#This Row],[phq9_score]]&lt;=27,"Severe")</f>
        <v>Mild</v>
      </c>
      <c r="L497">
        <v>15</v>
      </c>
      <c r="M497" s="4" t="str" cm="1">
        <f t="array" ref="M497">_xlfn.IFS(stdsurvey[[#This Row],[gad7_score]]="","Answer Not Provided",stdsurvey[[#This Row],[gad7_score]]&lt;=4,"Minimal",stdsurvey[[#This Row],[gad7_score]]&lt;=9,"Mild",stdsurvey[[#This Row],[gad7_score]]&lt;=14,"Moderate",stdsurvey[[#This Row],[gad7_score]]&lt;=21,"Severe")</f>
        <v>Mild</v>
      </c>
      <c r="N497">
        <v>8.6</v>
      </c>
      <c r="O497" s="4" t="str" cm="1">
        <f t="array" ref="O497">_xlfn.IFS(stdsurvey[[#This Row],[perceived_stress_scale]]="","Answer Not Provided",stdsurvey[[#This Row],[perceived_stress_scale]]&lt;=13,"Low Stress",stdsurvey[[#This Row],[perceived_stress_scale]]&lt;=26,"Moderate Stress",stdsurvey[[#This Row],[perceived_stress_scale]]&lt;=40,"High Stress")</f>
        <v>Moderate Stress</v>
      </c>
      <c r="P497">
        <v>73.099999999999994</v>
      </c>
      <c r="Q497">
        <v>2</v>
      </c>
      <c r="R497" s="4" t="str" cm="1">
        <f t="array" ref="R497">_xlfn.IFS(stdsurvey[[#This Row],[class_attendance_percent]]&lt;60,"Less than 0%",stdsurvey[[#This Row],[class_attendance_percent]]&lt;70,"60-70 %",stdsurvey[[#This Row],[class_attendance_percent]]&lt;80, "70-80%",stdsurvey[[#This Row],[class_attendance_percent]]&lt;90,"80-90%",TRUE,"More than 90%")</f>
        <v>70-80%</v>
      </c>
      <c r="S497" t="s">
        <v>33</v>
      </c>
      <c r="T497">
        <v>3</v>
      </c>
      <c r="U497" t="s">
        <v>26</v>
      </c>
      <c r="V497">
        <v>2.66</v>
      </c>
      <c r="W497" s="4" t="str" cm="1">
        <f t="array" ref="W497">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97" s="4" t="str" cm="1">
        <f t="array" ref="X497">_xlfn.IFS(stdsurvey[[#This Row],[daily_sleep_hours]]&lt;4,"&lt; 4 hrs",stdsurvey[[#This Row],[daily_sleep_hours]]&lt;=6,"4-6 hrs",stdsurvey[[#This Row],[daily_sleep_hours]]&lt;=8,"6-8 hrs",TRUE,"&gt; 8 hrs")</f>
        <v>6-8 hrs</v>
      </c>
      <c r="Y497" t="s">
        <v>20</v>
      </c>
    </row>
    <row r="498" spans="1:25" x14ac:dyDescent="0.3">
      <c r="A498" t="s">
        <v>532</v>
      </c>
      <c r="B498">
        <v>22</v>
      </c>
      <c r="C498" t="s">
        <v>20</v>
      </c>
      <c r="D498">
        <v>2</v>
      </c>
      <c r="E498" t="s">
        <v>21</v>
      </c>
      <c r="F498">
        <v>8.6999999999999993</v>
      </c>
      <c r="G498">
        <v>3.7</v>
      </c>
      <c r="H498">
        <v>2</v>
      </c>
      <c r="I498">
        <v>3</v>
      </c>
      <c r="J498">
        <v>1</v>
      </c>
      <c r="K498" s="4" t="str" cm="1">
        <f t="array" ref="K498">_xlfn.IFS(stdsurvey[[#This Row],[phq9_score]]="","Answer Not Provided",stdsurvey[[#This Row],[phq9_score]]&lt;=4,"Minimal",stdsurvey[[#This Row],[phq9_score]]&lt;=9,"Mild",stdsurvey[[#This Row],[phq9_score]]&lt;=14,"Moderate",stdsurvey[[#This Row],[phq9_score]]&lt;=19,"Moderately Severe",stdsurvey[[#This Row],[phq9_score]]&lt;=27,"Severe")</f>
        <v>Minimal</v>
      </c>
      <c r="L498">
        <v>10</v>
      </c>
      <c r="M498" s="4" t="str" cm="1">
        <f t="array" ref="M498">_xlfn.IFS(stdsurvey[[#This Row],[gad7_score]]="","Answer Not Provided",stdsurvey[[#This Row],[gad7_score]]&lt;=4,"Minimal",stdsurvey[[#This Row],[gad7_score]]&lt;=9,"Mild",stdsurvey[[#This Row],[gad7_score]]&lt;=14,"Moderate",stdsurvey[[#This Row],[gad7_score]]&lt;=21,"Severe")</f>
        <v>Minimal</v>
      </c>
      <c r="N498">
        <v>16.7</v>
      </c>
      <c r="O498" s="4" t="str" cm="1">
        <f t="array" ref="O498">_xlfn.IFS(stdsurvey[[#This Row],[perceived_stress_scale]]="","Answer Not Provided",stdsurvey[[#This Row],[perceived_stress_scale]]&lt;=13,"Low Stress",stdsurvey[[#This Row],[perceived_stress_scale]]&lt;=26,"Moderate Stress",stdsurvey[[#This Row],[perceived_stress_scale]]&lt;=40,"High Stress")</f>
        <v>Low Stress</v>
      </c>
      <c r="P498">
        <v>80.400000000000006</v>
      </c>
      <c r="Q498">
        <v>2</v>
      </c>
      <c r="R498" s="4" t="str" cm="1">
        <f t="array" ref="R498">_xlfn.IFS(stdsurvey[[#This Row],[class_attendance_percent]]&lt;60,"Less than 0%",stdsurvey[[#This Row],[class_attendance_percent]]&lt;70,"60-70 %",stdsurvey[[#This Row],[class_attendance_percent]]&lt;80, "70-80%",stdsurvey[[#This Row],[class_attendance_percent]]&lt;90,"80-90%",TRUE,"More than 90%")</f>
        <v>80-90%</v>
      </c>
      <c r="S498" t="s">
        <v>22</v>
      </c>
      <c r="T498">
        <v>4</v>
      </c>
      <c r="U498" t="s">
        <v>26</v>
      </c>
      <c r="V498">
        <v>3.2</v>
      </c>
      <c r="W498" s="4" t="str" cm="1">
        <f t="array" ref="W498">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498" s="4" t="str" cm="1">
        <f t="array" ref="X498">_xlfn.IFS(stdsurvey[[#This Row],[daily_sleep_hours]]&lt;4,"&lt; 4 hrs",stdsurvey[[#This Row],[daily_sleep_hours]]&lt;=6,"4-6 hrs",stdsurvey[[#This Row],[daily_sleep_hours]]&lt;=8,"6-8 hrs",TRUE,"&gt; 8 hrs")</f>
        <v>&gt; 8 hrs</v>
      </c>
      <c r="Y498" t="s">
        <v>20</v>
      </c>
    </row>
    <row r="499" spans="1:25" x14ac:dyDescent="0.3">
      <c r="A499" t="s">
        <v>533</v>
      </c>
      <c r="B499">
        <v>21</v>
      </c>
      <c r="C499" t="s">
        <v>20</v>
      </c>
      <c r="D499">
        <v>4</v>
      </c>
      <c r="E499" t="s">
        <v>32</v>
      </c>
      <c r="F499">
        <v>4.2</v>
      </c>
      <c r="G499">
        <v>6.3</v>
      </c>
      <c r="H499">
        <v>3</v>
      </c>
      <c r="I499">
        <v>2</v>
      </c>
      <c r="J499">
        <v>1</v>
      </c>
      <c r="K499" s="4" t="str" cm="1">
        <f t="array" ref="K499">_xlfn.IFS(stdsurvey[[#This Row],[phq9_score]]="","Answer Not Provided",stdsurvey[[#This Row],[phq9_score]]&lt;=4,"Minimal",stdsurvey[[#This Row],[phq9_score]]&lt;=9,"Mild",stdsurvey[[#This Row],[phq9_score]]&lt;=14,"Moderate",stdsurvey[[#This Row],[phq9_score]]&lt;=19,"Moderately Severe",stdsurvey[[#This Row],[phq9_score]]&lt;=27,"Severe")</f>
        <v>Minimal</v>
      </c>
      <c r="L499">
        <v>8</v>
      </c>
      <c r="M499" s="4" t="str" cm="1">
        <f t="array" ref="M499">_xlfn.IFS(stdsurvey[[#This Row],[gad7_score]]="","Answer Not Provided",stdsurvey[[#This Row],[gad7_score]]&lt;=4,"Minimal",stdsurvey[[#This Row],[gad7_score]]&lt;=9,"Mild",stdsurvey[[#This Row],[gad7_score]]&lt;=14,"Moderate",stdsurvey[[#This Row],[gad7_score]]&lt;=21,"Severe")</f>
        <v>Minimal</v>
      </c>
      <c r="N499">
        <v>22.3</v>
      </c>
      <c r="O499" s="4" t="str" cm="1">
        <f t="array" ref="O499">_xlfn.IFS(stdsurvey[[#This Row],[perceived_stress_scale]]="","Answer Not Provided",stdsurvey[[#This Row],[perceived_stress_scale]]&lt;=13,"Low Stress",stdsurvey[[#This Row],[perceived_stress_scale]]&lt;=26,"Moderate Stress",stdsurvey[[#This Row],[perceived_stress_scale]]&lt;=40,"High Stress")</f>
        <v>Low Stress</v>
      </c>
      <c r="P499">
        <v>73.599999999999994</v>
      </c>
      <c r="Q499">
        <v>5</v>
      </c>
      <c r="R499" s="4" t="str" cm="1">
        <f t="array" ref="R499">_xlfn.IFS(stdsurvey[[#This Row],[class_attendance_percent]]&lt;60,"Less than 0%",stdsurvey[[#This Row],[class_attendance_percent]]&lt;70,"60-70 %",stdsurvey[[#This Row],[class_attendance_percent]]&lt;80, "70-80%",stdsurvey[[#This Row],[class_attendance_percent]]&lt;90,"80-90%",TRUE,"More than 90%")</f>
        <v>70-80%</v>
      </c>
      <c r="S499" t="s">
        <v>22</v>
      </c>
      <c r="T499">
        <v>1</v>
      </c>
      <c r="U499" t="s">
        <v>51</v>
      </c>
      <c r="V499">
        <v>2.82</v>
      </c>
      <c r="W499" s="4" t="str" cm="1">
        <f t="array" ref="W499">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499" s="4" t="str" cm="1">
        <f t="array" ref="X499">_xlfn.IFS(stdsurvey[[#This Row],[daily_sleep_hours]]&lt;4,"&lt; 4 hrs",stdsurvey[[#This Row],[daily_sleep_hours]]&lt;=6,"4-6 hrs",stdsurvey[[#This Row],[daily_sleep_hours]]&lt;=8,"6-8 hrs",TRUE,"&gt; 8 hrs")</f>
        <v>4-6 hrs</v>
      </c>
      <c r="Y499" t="s">
        <v>20</v>
      </c>
    </row>
    <row r="500" spans="1:25" x14ac:dyDescent="0.3">
      <c r="A500" t="s">
        <v>534</v>
      </c>
      <c r="B500">
        <v>23</v>
      </c>
      <c r="C500" t="s">
        <v>20</v>
      </c>
      <c r="D500">
        <v>5</v>
      </c>
      <c r="E500" t="s">
        <v>63</v>
      </c>
      <c r="F500">
        <v>5.9</v>
      </c>
      <c r="G500">
        <v>6.8</v>
      </c>
      <c r="H500">
        <v>2</v>
      </c>
      <c r="I500">
        <v>4</v>
      </c>
      <c r="J500">
        <v>4</v>
      </c>
      <c r="K500" s="4" t="str" cm="1">
        <f t="array" ref="K500">_xlfn.IFS(stdsurvey[[#This Row],[phq9_score]]="","Answer Not Provided",stdsurvey[[#This Row],[phq9_score]]&lt;=4,"Minimal",stdsurvey[[#This Row],[phq9_score]]&lt;=9,"Mild",stdsurvey[[#This Row],[phq9_score]]&lt;=14,"Moderate",stdsurvey[[#This Row],[phq9_score]]&lt;=19,"Moderately Severe",stdsurvey[[#This Row],[phq9_score]]&lt;=27,"Severe")</f>
        <v>Minimal</v>
      </c>
      <c r="L500">
        <v>10</v>
      </c>
      <c r="M500" s="4" t="str" cm="1">
        <f t="array" ref="M500">_xlfn.IFS(stdsurvey[[#This Row],[gad7_score]]="","Answer Not Provided",stdsurvey[[#This Row],[gad7_score]]&lt;=4,"Minimal",stdsurvey[[#This Row],[gad7_score]]&lt;=9,"Mild",stdsurvey[[#This Row],[gad7_score]]&lt;=14,"Moderate",stdsurvey[[#This Row],[gad7_score]]&lt;=21,"Severe")</f>
        <v>Minimal</v>
      </c>
      <c r="N500">
        <v>5.9</v>
      </c>
      <c r="O500" s="4" t="str" cm="1">
        <f t="array" ref="O500">_xlfn.IFS(stdsurvey[[#This Row],[perceived_stress_scale]]="","Answer Not Provided",stdsurvey[[#This Row],[perceived_stress_scale]]&lt;=13,"Low Stress",stdsurvey[[#This Row],[perceived_stress_scale]]&lt;=26,"Moderate Stress",stdsurvey[[#This Row],[perceived_stress_scale]]&lt;=40,"High Stress")</f>
        <v>Low Stress</v>
      </c>
      <c r="P500">
        <v>92</v>
      </c>
      <c r="Q500">
        <v>2</v>
      </c>
      <c r="R500" s="4" t="str" cm="1">
        <f t="array" ref="R500">_xlfn.IFS(stdsurvey[[#This Row],[class_attendance_percent]]&lt;60,"Less than 0%",stdsurvey[[#This Row],[class_attendance_percent]]&lt;70,"60-70 %",stdsurvey[[#This Row],[class_attendance_percent]]&lt;80, "70-80%",stdsurvey[[#This Row],[class_attendance_percent]]&lt;90,"80-90%",TRUE,"More than 90%")</f>
        <v>More than 90%</v>
      </c>
      <c r="S500" t="s">
        <v>22</v>
      </c>
      <c r="T500">
        <v>5</v>
      </c>
      <c r="U500" t="s">
        <v>23</v>
      </c>
      <c r="V500">
        <v>2.93</v>
      </c>
      <c r="W500" s="4" t="str" cm="1">
        <f t="array" ref="W500">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00" s="4" t="str" cm="1">
        <f t="array" ref="X500">_xlfn.IFS(stdsurvey[[#This Row],[daily_sleep_hours]]&lt;4,"&lt; 4 hrs",stdsurvey[[#This Row],[daily_sleep_hours]]&lt;=6,"4-6 hrs",stdsurvey[[#This Row],[daily_sleep_hours]]&lt;=8,"6-8 hrs",TRUE,"&gt; 8 hrs")</f>
        <v>4-6 hrs</v>
      </c>
      <c r="Y500" t="s">
        <v>20</v>
      </c>
    </row>
    <row r="501" spans="1:25" x14ac:dyDescent="0.3">
      <c r="A501" t="s">
        <v>535</v>
      </c>
      <c r="B501">
        <v>18</v>
      </c>
      <c r="C501" t="s">
        <v>20</v>
      </c>
      <c r="D501">
        <v>3</v>
      </c>
      <c r="E501" t="s">
        <v>30</v>
      </c>
      <c r="F501">
        <v>5</v>
      </c>
      <c r="G501">
        <v>1.6</v>
      </c>
      <c r="H501">
        <v>3</v>
      </c>
      <c r="I501">
        <v>5</v>
      </c>
      <c r="J501">
        <v>5</v>
      </c>
      <c r="K501" s="4" t="str" cm="1">
        <f t="array" ref="K501">_xlfn.IFS(stdsurvey[[#This Row],[phq9_score]]="","Answer Not Provided",stdsurvey[[#This Row],[phq9_score]]&lt;=4,"Minimal",stdsurvey[[#This Row],[phq9_score]]&lt;=9,"Mild",stdsurvey[[#This Row],[phq9_score]]&lt;=14,"Moderate",stdsurvey[[#This Row],[phq9_score]]&lt;=19,"Moderately Severe",stdsurvey[[#This Row],[phq9_score]]&lt;=27,"Severe")</f>
        <v>Mild</v>
      </c>
      <c r="L501">
        <v>9</v>
      </c>
      <c r="M501" s="4" t="str" cm="1">
        <f t="array" ref="M501">_xlfn.IFS(stdsurvey[[#This Row],[gad7_score]]="","Answer Not Provided",stdsurvey[[#This Row],[gad7_score]]&lt;=4,"Minimal",stdsurvey[[#This Row],[gad7_score]]&lt;=9,"Mild",stdsurvey[[#This Row],[gad7_score]]&lt;=14,"Moderate",stdsurvey[[#This Row],[gad7_score]]&lt;=21,"Severe")</f>
        <v>Mild</v>
      </c>
      <c r="N501">
        <v>18.3</v>
      </c>
      <c r="O501" s="4" t="str" cm="1">
        <f t="array" ref="O501">_xlfn.IFS(stdsurvey[[#This Row],[perceived_stress_scale]]="","Answer Not Provided",stdsurvey[[#This Row],[perceived_stress_scale]]&lt;=13,"Low Stress",stdsurvey[[#This Row],[perceived_stress_scale]]&lt;=26,"Moderate Stress",stdsurvey[[#This Row],[perceived_stress_scale]]&lt;=40,"High Stress")</f>
        <v>Low Stress</v>
      </c>
      <c r="P501">
        <v>72.3</v>
      </c>
      <c r="Q501">
        <v>5</v>
      </c>
      <c r="R501" s="4" t="str" cm="1">
        <f t="array" ref="R501">_xlfn.IFS(stdsurvey[[#This Row],[class_attendance_percent]]&lt;60,"Less than 0%",stdsurvey[[#This Row],[class_attendance_percent]]&lt;70,"60-70 %",stdsurvey[[#This Row],[class_attendance_percent]]&lt;80, "70-80%",stdsurvey[[#This Row],[class_attendance_percent]]&lt;90,"80-90%",TRUE,"More than 90%")</f>
        <v>70-80%</v>
      </c>
      <c r="S501" t="s">
        <v>22</v>
      </c>
      <c r="T501">
        <v>5</v>
      </c>
      <c r="U501" t="s">
        <v>26</v>
      </c>
      <c r="V501">
        <v>2.46</v>
      </c>
      <c r="W501" s="4" t="str" cm="1">
        <f t="array" ref="W501">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1-4 hrs</v>
      </c>
      <c r="X501" s="4" t="str" cm="1">
        <f t="array" ref="X501">_xlfn.IFS(stdsurvey[[#This Row],[daily_sleep_hours]]&lt;4,"&lt; 4 hrs",stdsurvey[[#This Row],[daily_sleep_hours]]&lt;=6,"4-6 hrs",stdsurvey[[#This Row],[daily_sleep_hours]]&lt;=8,"6-8 hrs",TRUE,"&gt; 8 hrs")</f>
        <v>4-6 hrs</v>
      </c>
      <c r="Y501" t="s">
        <v>20</v>
      </c>
    </row>
    <row r="502" spans="1:25" x14ac:dyDescent="0.3">
      <c r="A502" t="s">
        <v>536</v>
      </c>
      <c r="B502">
        <v>21</v>
      </c>
      <c r="C502" t="s">
        <v>20</v>
      </c>
      <c r="D502">
        <v>3</v>
      </c>
      <c r="E502" t="s">
        <v>30</v>
      </c>
      <c r="F502">
        <v>5.9</v>
      </c>
      <c r="G502">
        <v>9.8000000000000007</v>
      </c>
      <c r="H502">
        <v>0</v>
      </c>
      <c r="I502">
        <v>4</v>
      </c>
      <c r="J502">
        <v>1</v>
      </c>
      <c r="K502" s="4" t="str" cm="1">
        <f t="array" ref="K502">_xlfn.IFS(stdsurvey[[#This Row],[phq9_score]]="","Answer Not Provided",stdsurvey[[#This Row],[phq9_score]]&lt;=4,"Minimal",stdsurvey[[#This Row],[phq9_score]]&lt;=9,"Mild",stdsurvey[[#This Row],[phq9_score]]&lt;=14,"Moderate",stdsurvey[[#This Row],[phq9_score]]&lt;=19,"Moderately Severe",stdsurvey[[#This Row],[phq9_score]]&lt;=27,"Severe")</f>
        <v>Minimal</v>
      </c>
      <c r="L502">
        <v>6</v>
      </c>
      <c r="M502" s="4" t="str" cm="1">
        <f t="array" ref="M502">_xlfn.IFS(stdsurvey[[#This Row],[gad7_score]]="","Answer Not Provided",stdsurvey[[#This Row],[gad7_score]]&lt;=4,"Minimal",stdsurvey[[#This Row],[gad7_score]]&lt;=9,"Mild",stdsurvey[[#This Row],[gad7_score]]&lt;=14,"Moderate",stdsurvey[[#This Row],[gad7_score]]&lt;=21,"Severe")</f>
        <v>Minimal</v>
      </c>
      <c r="N502">
        <v>30.9</v>
      </c>
      <c r="O502" s="4" t="str" cm="1">
        <f t="array" ref="O502">_xlfn.IFS(stdsurvey[[#This Row],[perceived_stress_scale]]="","Answer Not Provided",stdsurvey[[#This Row],[perceived_stress_scale]]&lt;=13,"Low Stress",stdsurvey[[#This Row],[perceived_stress_scale]]&lt;=26,"Moderate Stress",stdsurvey[[#This Row],[perceived_stress_scale]]&lt;=40,"High Stress")</f>
        <v>Low Stress</v>
      </c>
      <c r="P502">
        <v>57.1</v>
      </c>
      <c r="Q502">
        <v>4</v>
      </c>
      <c r="R502" s="4" t="str" cm="1">
        <f t="array" ref="R502">_xlfn.IFS(stdsurvey[[#This Row],[class_attendance_percent]]&lt;60,"Less than 0%",stdsurvey[[#This Row],[class_attendance_percent]]&lt;70,"60-70 %",stdsurvey[[#This Row],[class_attendance_percent]]&lt;80, "70-80%",stdsurvey[[#This Row],[class_attendance_percent]]&lt;90,"80-90%",TRUE,"More than 90%")</f>
        <v>Less than 0%</v>
      </c>
      <c r="S502" t="s">
        <v>22</v>
      </c>
      <c r="T502">
        <v>3</v>
      </c>
      <c r="U502" t="s">
        <v>26</v>
      </c>
      <c r="V502">
        <v>3.14</v>
      </c>
      <c r="W502" s="4" t="str" cm="1">
        <f t="array" ref="W502">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8-12 hrs</v>
      </c>
      <c r="X502" s="4" t="str" cm="1">
        <f t="array" ref="X502">_xlfn.IFS(stdsurvey[[#This Row],[daily_sleep_hours]]&lt;4,"&lt; 4 hrs",stdsurvey[[#This Row],[daily_sleep_hours]]&lt;=6,"4-6 hrs",stdsurvey[[#This Row],[daily_sleep_hours]]&lt;=8,"6-8 hrs",TRUE,"&gt; 8 hrs")</f>
        <v>4-6 hrs</v>
      </c>
      <c r="Y502" t="s">
        <v>20</v>
      </c>
    </row>
    <row r="503" spans="1:25" x14ac:dyDescent="0.3">
      <c r="A503" t="s">
        <v>537</v>
      </c>
      <c r="B503">
        <v>17</v>
      </c>
      <c r="C503" t="s">
        <v>27</v>
      </c>
      <c r="D503">
        <v>4</v>
      </c>
      <c r="E503" t="s">
        <v>30</v>
      </c>
      <c r="F503">
        <v>5.5</v>
      </c>
      <c r="G503">
        <v>6.8</v>
      </c>
      <c r="H503">
        <v>2</v>
      </c>
      <c r="I503">
        <v>3</v>
      </c>
      <c r="J503">
        <v>6</v>
      </c>
      <c r="K503" s="4" t="str" cm="1">
        <f t="array" ref="K503">_xlfn.IFS(stdsurvey[[#This Row],[phq9_score]]="","Answer Not Provided",stdsurvey[[#This Row],[phq9_score]]&lt;=4,"Minimal",stdsurvey[[#This Row],[phq9_score]]&lt;=9,"Mild",stdsurvey[[#This Row],[phq9_score]]&lt;=14,"Moderate",stdsurvey[[#This Row],[phq9_score]]&lt;=19,"Moderately Severe",stdsurvey[[#This Row],[phq9_score]]&lt;=27,"Severe")</f>
        <v>Minimal</v>
      </c>
      <c r="L503">
        <v>13</v>
      </c>
      <c r="M503" s="4" t="str" cm="1">
        <f t="array" ref="M503">_xlfn.IFS(stdsurvey[[#This Row],[gad7_score]]="","Answer Not Provided",stdsurvey[[#This Row],[gad7_score]]&lt;=4,"Minimal",stdsurvey[[#This Row],[gad7_score]]&lt;=9,"Mild",stdsurvey[[#This Row],[gad7_score]]&lt;=14,"Moderate",stdsurvey[[#This Row],[gad7_score]]&lt;=21,"Severe")</f>
        <v>Mild</v>
      </c>
      <c r="N503">
        <v>19.5</v>
      </c>
      <c r="O503" s="4" t="str" cm="1">
        <f t="array" ref="O503">_xlfn.IFS(stdsurvey[[#This Row],[perceived_stress_scale]]="","Answer Not Provided",stdsurvey[[#This Row],[perceived_stress_scale]]&lt;=13,"Low Stress",stdsurvey[[#This Row],[perceived_stress_scale]]&lt;=26,"Moderate Stress",stdsurvey[[#This Row],[perceived_stress_scale]]&lt;=40,"High Stress")</f>
        <v>Low Stress</v>
      </c>
      <c r="P503">
        <v>54.1</v>
      </c>
      <c r="Q503">
        <v>4</v>
      </c>
      <c r="R503" s="4" t="str" cm="1">
        <f t="array" ref="R503">_xlfn.IFS(stdsurvey[[#This Row],[class_attendance_percent]]&lt;60,"Less than 0%",stdsurvey[[#This Row],[class_attendance_percent]]&lt;70,"60-70 %",stdsurvey[[#This Row],[class_attendance_percent]]&lt;80, "70-80%",stdsurvey[[#This Row],[class_attendance_percent]]&lt;90,"80-90%",TRUE,"More than 90%")</f>
        <v>Less than 0%</v>
      </c>
      <c r="S503" t="s">
        <v>22</v>
      </c>
      <c r="T503">
        <v>5</v>
      </c>
      <c r="U503" t="s">
        <v>51</v>
      </c>
      <c r="V503">
        <v>2.75</v>
      </c>
      <c r="W503" s="4" t="str" cm="1">
        <f t="array" ref="W503">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03" s="4" t="str" cm="1">
        <f t="array" ref="X503">_xlfn.IFS(stdsurvey[[#This Row],[daily_sleep_hours]]&lt;4,"&lt; 4 hrs",stdsurvey[[#This Row],[daily_sleep_hours]]&lt;=6,"4-6 hrs",stdsurvey[[#This Row],[daily_sleep_hours]]&lt;=8,"6-8 hrs",TRUE,"&gt; 8 hrs")</f>
        <v>4-6 hrs</v>
      </c>
      <c r="Y503" t="s">
        <v>27</v>
      </c>
    </row>
    <row r="504" spans="1:25" x14ac:dyDescent="0.3">
      <c r="A504" t="s">
        <v>538</v>
      </c>
      <c r="B504">
        <v>18</v>
      </c>
      <c r="C504" t="s">
        <v>27</v>
      </c>
      <c r="D504">
        <v>5</v>
      </c>
      <c r="E504" t="s">
        <v>21</v>
      </c>
      <c r="F504">
        <v>3.8</v>
      </c>
      <c r="G504">
        <v>5.9</v>
      </c>
      <c r="H504">
        <v>4</v>
      </c>
      <c r="I504">
        <v>25</v>
      </c>
      <c r="J504">
        <v>16</v>
      </c>
      <c r="K504" s="4" t="str" cm="1">
        <f t="array" ref="K504">_xlfn.IFS(stdsurvey[[#This Row],[phq9_score]]="","Answer Not Provided",stdsurvey[[#This Row],[phq9_score]]&lt;=4,"Minimal",stdsurvey[[#This Row],[phq9_score]]&lt;=9,"Mild",stdsurvey[[#This Row],[phq9_score]]&lt;=14,"Moderate",stdsurvey[[#This Row],[phq9_score]]&lt;=19,"Moderately Severe",stdsurvey[[#This Row],[phq9_score]]&lt;=27,"Severe")</f>
        <v>Severe</v>
      </c>
      <c r="L504">
        <v>31</v>
      </c>
      <c r="M504" s="4" t="str" cm="1">
        <f t="array" ref="M504">_xlfn.IFS(stdsurvey[[#This Row],[gad7_score]]="","Answer Not Provided",stdsurvey[[#This Row],[gad7_score]]&lt;=4,"Minimal",stdsurvey[[#This Row],[gad7_score]]&lt;=9,"Mild",stdsurvey[[#This Row],[gad7_score]]&lt;=14,"Moderate",stdsurvey[[#This Row],[gad7_score]]&lt;=21,"Severe")</f>
        <v>Severe</v>
      </c>
      <c r="N504">
        <v>22.4</v>
      </c>
      <c r="O504" s="4" t="str" cm="1">
        <f t="array" ref="O504">_xlfn.IFS(stdsurvey[[#This Row],[perceived_stress_scale]]="","Answer Not Provided",stdsurvey[[#This Row],[perceived_stress_scale]]&lt;=13,"Low Stress",stdsurvey[[#This Row],[perceived_stress_scale]]&lt;=26,"Moderate Stress",stdsurvey[[#This Row],[perceived_stress_scale]]&lt;=40,"High Stress")</f>
        <v>High Stress</v>
      </c>
      <c r="P504">
        <v>51.9</v>
      </c>
      <c r="R504" s="4" t="str" cm="1">
        <f t="array" ref="R504">_xlfn.IFS(stdsurvey[[#This Row],[class_attendance_percent]]&lt;60,"Less than 0%",stdsurvey[[#This Row],[class_attendance_percent]]&lt;70,"60-70 %",stdsurvey[[#This Row],[class_attendance_percent]]&lt;80, "70-80%",stdsurvey[[#This Row],[class_attendance_percent]]&lt;90,"80-90%",TRUE,"More than 90%")</f>
        <v>Less than 0%</v>
      </c>
      <c r="S504" t="s">
        <v>33</v>
      </c>
      <c r="T504">
        <v>2</v>
      </c>
      <c r="U504" t="s">
        <v>26</v>
      </c>
      <c r="V504">
        <v>2.29</v>
      </c>
      <c r="W504" s="4" t="str" cm="1">
        <f t="array" ref="W504">_xlfn.IFS(
    stdsurvey[[#This Row],[daily_screen_time_hours]]&lt;1,"&lt;1 hr",
    stdsurvey[[#This Row],[daily_screen_time_hours]]&lt;4,"1-4 hrs",
    stdsurvey[[#This Row],[daily_screen_time_hours]]&lt;8,"4-8 hrs",
    stdsurvey[[#This Row],[daily_screen_time_hours]]&lt;12,"8-12 hrs",
    stdsurvey[[#This Row],[daily_screen_time_hours]]&lt;=16,"12-16 hrs",
    TRUE,"&gt;16 hrs"
)</f>
        <v>4-8 hrs</v>
      </c>
      <c r="X504" s="4" t="str" cm="1">
        <f t="array" ref="X504">_xlfn.IFS(stdsurvey[[#This Row],[daily_sleep_hours]]&lt;4,"&lt; 4 hrs",stdsurvey[[#This Row],[daily_sleep_hours]]&lt;=6,"4-6 hrs",stdsurvey[[#This Row],[daily_sleep_hours]]&lt;=8,"6-8 hrs",TRUE,"&gt; 8 hrs")</f>
        <v>&lt; 4 hrs</v>
      </c>
      <c r="Y504"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DFA8-167F-4D31-B57B-E9C9574DD9B5}">
  <sheetPr>
    <pageSetUpPr fitToPage="1"/>
  </sheetPr>
  <dimension ref="B1:AH501"/>
  <sheetViews>
    <sheetView zoomScale="67" zoomScaleNormal="90" workbookViewId="0"/>
  </sheetViews>
  <sheetFormatPr defaultRowHeight="14.4" x14ac:dyDescent="0.3"/>
  <cols>
    <col min="1" max="1" width="4.33203125" customWidth="1"/>
    <col min="2" max="2" width="17.6640625" bestFit="1" customWidth="1"/>
    <col min="3" max="3" width="18.33203125" bestFit="1" customWidth="1"/>
    <col min="4" max="4" width="18.5546875" bestFit="1" customWidth="1"/>
    <col min="5" max="5" width="13.33203125" bestFit="1" customWidth="1"/>
    <col min="6" max="6" width="18.33203125" bestFit="1" customWidth="1"/>
    <col min="7" max="7" width="30.77734375" bestFit="1" customWidth="1"/>
    <col min="8" max="8" width="13.33203125" bestFit="1" customWidth="1"/>
    <col min="9" max="9" width="18.33203125" bestFit="1" customWidth="1"/>
    <col min="10" max="10" width="33.77734375" bestFit="1" customWidth="1"/>
    <col min="11" max="11" width="12.33203125" bestFit="1" customWidth="1"/>
    <col min="12" max="12" width="10.6640625" bestFit="1" customWidth="1"/>
    <col min="13" max="13" width="13.33203125" bestFit="1" customWidth="1"/>
    <col min="14" max="14" width="11.44140625" bestFit="1" customWidth="1"/>
    <col min="15" max="15" width="17.44140625" bestFit="1" customWidth="1"/>
    <col min="16" max="16" width="17.21875" bestFit="1" customWidth="1"/>
    <col min="17" max="19" width="27" bestFit="1" customWidth="1"/>
    <col min="21" max="21" width="0" hidden="1" customWidth="1"/>
    <col min="22" max="22" width="3.88671875" hidden="1" customWidth="1"/>
    <col min="23" max="23" width="6.5546875" hidden="1" customWidth="1"/>
    <col min="24" max="24" width="15.6640625" hidden="1" customWidth="1"/>
    <col min="25" max="25" width="21.6640625" hidden="1" customWidth="1"/>
    <col min="26" max="26" width="28.44140625" hidden="1" customWidth="1"/>
    <col min="27" max="27" width="10.44140625" hidden="1" customWidth="1"/>
    <col min="28" max="28" width="10.33203125" hidden="1" customWidth="1"/>
    <col min="29" max="29" width="19.88671875" hidden="1" customWidth="1"/>
    <col min="30" max="30" width="17.77734375" hidden="1" customWidth="1"/>
    <col min="31" max="31" width="22.6640625" hidden="1" customWidth="1"/>
    <col min="32" max="32" width="24.21875" hidden="1" customWidth="1"/>
    <col min="33" max="33" width="13.6640625" hidden="1" customWidth="1"/>
    <col min="34" max="34" width="5" hidden="1" customWidth="1"/>
  </cols>
  <sheetData>
    <row r="1" spans="2:34" ht="18" x14ac:dyDescent="0.35">
      <c r="B1" s="25" t="s">
        <v>572</v>
      </c>
      <c r="C1" s="29"/>
      <c r="D1" s="25"/>
      <c r="E1" s="25"/>
      <c r="V1" t="s">
        <v>1</v>
      </c>
      <c r="W1" t="s">
        <v>2</v>
      </c>
      <c r="X1" t="s">
        <v>5</v>
      </c>
      <c r="Y1" t="s">
        <v>6</v>
      </c>
      <c r="Z1" t="s">
        <v>7</v>
      </c>
      <c r="AA1" t="s">
        <v>8</v>
      </c>
      <c r="AB1" t="s">
        <v>9</v>
      </c>
      <c r="AC1" t="s">
        <v>10</v>
      </c>
      <c r="AD1" t="s">
        <v>11</v>
      </c>
      <c r="AE1" t="s">
        <v>12</v>
      </c>
      <c r="AF1" t="s">
        <v>13</v>
      </c>
      <c r="AG1" t="s">
        <v>15</v>
      </c>
      <c r="AH1" t="s">
        <v>17</v>
      </c>
    </row>
    <row r="2" spans="2:34" x14ac:dyDescent="0.3">
      <c r="V2" cm="1">
        <f t="array" ref="V2:AH501">INDEX(stdsurvey[], _xlfn.SEQUENCE(ROWS(stdsurvey[])), {2,5,7,8,9,10,12,14,16,17,19,21,25})</f>
        <v>22</v>
      </c>
      <c r="W2" t="str">
        <v>Business</v>
      </c>
      <c r="X2">
        <v>4.0999999999999996</v>
      </c>
      <c r="Y2">
        <v>1</v>
      </c>
      <c r="Z2">
        <v>17</v>
      </c>
      <c r="AA2">
        <v>16</v>
      </c>
      <c r="AB2">
        <v>26</v>
      </c>
      <c r="AC2">
        <v>6.3</v>
      </c>
      <c r="AD2">
        <v>63.9</v>
      </c>
      <c r="AE2">
        <v>5</v>
      </c>
      <c r="AF2" t="str">
        <v>No</v>
      </c>
      <c r="AG2" t="str">
        <v>Spring</v>
      </c>
      <c r="AH2" t="str">
        <v>Female</v>
      </c>
    </row>
    <row r="3" spans="2:34" x14ac:dyDescent="0.3">
      <c r="B3" s="27" t="s">
        <v>573</v>
      </c>
      <c r="L3" s="27" t="s">
        <v>574</v>
      </c>
      <c r="V3">
        <v>19</v>
      </c>
      <c r="W3" t="str">
        <v>Business</v>
      </c>
      <c r="X3">
        <v>2.2999999999999998</v>
      </c>
      <c r="Y3">
        <v>3</v>
      </c>
      <c r="Z3">
        <v>9</v>
      </c>
      <c r="AA3">
        <v>7</v>
      </c>
      <c r="AB3">
        <v>19</v>
      </c>
      <c r="AC3">
        <v>20.7</v>
      </c>
      <c r="AD3">
        <v>78.5</v>
      </c>
      <c r="AE3">
        <v>3</v>
      </c>
      <c r="AF3" t="str">
        <v>No</v>
      </c>
      <c r="AG3" t="str">
        <v>Fall</v>
      </c>
      <c r="AH3" t="str">
        <v>Male</v>
      </c>
    </row>
    <row r="4" spans="2:34" x14ac:dyDescent="0.3">
      <c r="B4" s="13" t="s">
        <v>569</v>
      </c>
      <c r="C4" s="14" t="s">
        <v>583</v>
      </c>
      <c r="D4" s="14" t="s">
        <v>575</v>
      </c>
      <c r="E4" s="14" t="s">
        <v>576</v>
      </c>
      <c r="F4" s="14" t="s">
        <v>577</v>
      </c>
      <c r="G4" s="14" t="s">
        <v>578</v>
      </c>
      <c r="H4" s="14" t="s">
        <v>579</v>
      </c>
      <c r="I4" s="14" t="s">
        <v>580</v>
      </c>
      <c r="J4" s="15" t="s">
        <v>581</v>
      </c>
      <c r="L4" s="13" t="s">
        <v>569</v>
      </c>
      <c r="M4" s="14" t="s">
        <v>571</v>
      </c>
      <c r="N4" s="15" t="s">
        <v>570</v>
      </c>
      <c r="V4">
        <v>23</v>
      </c>
      <c r="W4" t="str">
        <v>STEM</v>
      </c>
      <c r="X4">
        <v>9.1999999999999993</v>
      </c>
      <c r="Y4">
        <v>1</v>
      </c>
      <c r="Z4">
        <v>1</v>
      </c>
      <c r="AA4">
        <v>2</v>
      </c>
      <c r="AB4">
        <v>10</v>
      </c>
      <c r="AC4">
        <v>17.100000000000001</v>
      </c>
      <c r="AD4">
        <v>92.5</v>
      </c>
      <c r="AE4">
        <v>5</v>
      </c>
      <c r="AF4" t="str">
        <v>No</v>
      </c>
      <c r="AG4" t="str">
        <v>Spring</v>
      </c>
      <c r="AH4" t="str">
        <v>Prefer not to say</v>
      </c>
    </row>
    <row r="5" spans="2:34" x14ac:dyDescent="0.3">
      <c r="B5" s="9" t="s">
        <v>1</v>
      </c>
      <c r="C5">
        <f ca="1">COUNTA(INDIRECT(_xlfn.CONCAT("stdsurvey[",B5,"]")))+COUNTBLANK(INDIRECT(_xlfn.CONCAT("stdsurvey[",B5,"]")))</f>
        <v>500</v>
      </c>
      <c r="D5">
        <f t="shared" ref="D5:D17" ca="1" si="0">ROUND(AVERAGE(INDIRECT(_xlfn.CONCAT("stdsurvey[",B5,"]"))),2)</f>
        <v>21.47</v>
      </c>
      <c r="E5">
        <f t="shared" ref="E5:E17" ca="1" si="1">ROUND(MEDIAN(INDIRECT(_xlfn.CONCAT("stdsurvey[",B5,"]"))),2)</f>
        <v>22</v>
      </c>
      <c r="F5">
        <f t="shared" ref="F5:F17" ca="1" si="2">ROUND(_xlfn.STDEV.S(INDIRECT(_xlfn.CONCAT("stdsurvey[",B5,"]"))),2)</f>
        <v>2.0299999999999998</v>
      </c>
      <c r="G5">
        <f t="shared" ref="G5:G17" ca="1" si="3">MIN(INDIRECT(_xlfn.CONCAT("stdsurvey[",B5,"]")))</f>
        <v>17</v>
      </c>
      <c r="H5">
        <f t="shared" ref="H5:H17" ca="1" si="4">ROUND(_xlfn.QUARTILE.INC(INDIRECT(_xlfn.CONCAT("stdsurvey[",B5,"]")), 1),2)</f>
        <v>20</v>
      </c>
      <c r="I5">
        <f t="shared" ref="I5:I17" ca="1" si="5">ROUND(_xlfn.QUARTILE.INC(INDIRECT(_xlfn.CONCAT("stdsurvey[",B5,"]")), 3),2)</f>
        <v>23</v>
      </c>
      <c r="J5" s="10">
        <f t="shared" ref="J5:J17" ca="1" si="6">MAX(INDIRECT(_xlfn.CONCAT("stdsurvey[",B5,"]")))</f>
        <v>28</v>
      </c>
      <c r="L5" s="9" t="str" cm="1">
        <f t="array" ref="L5:L29">TRANSPOSE(stdsurvey[#Headers])</f>
        <v>student_id</v>
      </c>
      <c r="M5">
        <f ca="1">COUNTBLANK(INDIRECT(_xlfn.CONCAT("stdsurvey[",L5,"]")))</f>
        <v>0</v>
      </c>
      <c r="N5" s="10">
        <f ca="1">ROUND((COUNTBLANK(INDIRECT(_xlfn.CONCAT("stdsurvey[",L5,"]")))/(COUNTA(INDIRECT(_xlfn.CONCAT("stdsurvey[",L5,"]")))+COUNTBLANK(INDIRECT(_xlfn.CONCAT("stdsurvey[",L5,"]")))))*100,2)</f>
        <v>0</v>
      </c>
      <c r="V5">
        <v>23</v>
      </c>
      <c r="W5" t="str">
        <v>Humanities</v>
      </c>
      <c r="X5">
        <v>2</v>
      </c>
      <c r="Y5">
        <v>6</v>
      </c>
      <c r="Z5">
        <v>4</v>
      </c>
      <c r="AA5">
        <v>6</v>
      </c>
      <c r="AB5">
        <v>9</v>
      </c>
      <c r="AC5">
        <v>25.2</v>
      </c>
      <c r="AD5">
        <v>86.5</v>
      </c>
      <c r="AE5">
        <v>3</v>
      </c>
      <c r="AF5" t="str">
        <v>Yes</v>
      </c>
      <c r="AG5" t="str">
        <v>Spring</v>
      </c>
      <c r="AH5" t="str">
        <v>Male</v>
      </c>
    </row>
    <row r="6" spans="2:34" x14ac:dyDescent="0.3">
      <c r="B6" s="9" t="s">
        <v>3</v>
      </c>
      <c r="C6">
        <f t="shared" ref="C6:C17" ca="1" si="7">COUNTA(INDIRECT(_xlfn.CONCAT("stdsurvey[",B6,"]")))+COUNTBLANK(INDIRECT(_xlfn.CONCAT("stdsurvey[",B6,"]")))</f>
        <v>500</v>
      </c>
      <c r="D6">
        <f t="shared" ca="1" si="0"/>
        <v>2.66</v>
      </c>
      <c r="E6">
        <f t="shared" ca="1" si="1"/>
        <v>3</v>
      </c>
      <c r="F6">
        <f t="shared" ca="1" si="2"/>
        <v>1.28</v>
      </c>
      <c r="G6">
        <f t="shared" ca="1" si="3"/>
        <v>1</v>
      </c>
      <c r="H6">
        <f t="shared" ca="1" si="4"/>
        <v>2</v>
      </c>
      <c r="I6">
        <f t="shared" ca="1" si="5"/>
        <v>4</v>
      </c>
      <c r="J6" s="10">
        <f t="shared" ca="1" si="6"/>
        <v>5</v>
      </c>
      <c r="L6" s="9" t="str">
        <v>age</v>
      </c>
      <c r="M6">
        <f ca="1">COUNTBLANK(INDIRECT(_xlfn.CONCAT("stdsurvey[",L6,"]")))</f>
        <v>0</v>
      </c>
      <c r="N6" s="10">
        <f t="shared" ref="N6:N29" ca="1" si="8">ROUND((COUNTBLANK(INDIRECT(_xlfn.CONCAT("stdsurvey[",L6,"]")))/(COUNTA(INDIRECT(_xlfn.CONCAT("stdsurvey[",L6,"]")))+COUNTBLANK(INDIRECT(_xlfn.CONCAT("stdsurvey[",L6,"]")))))*100,2)</f>
        <v>0</v>
      </c>
      <c r="V6">
        <v>17</v>
      </c>
      <c r="W6" t="str">
        <v>Arts</v>
      </c>
      <c r="X6">
        <v>4.0999999999999996</v>
      </c>
      <c r="Y6">
        <v>0</v>
      </c>
      <c r="Z6">
        <v>10</v>
      </c>
      <c r="AA6">
        <v>6</v>
      </c>
      <c r="AB6">
        <v>15</v>
      </c>
      <c r="AC6">
        <v>4.5999999999999996</v>
      </c>
      <c r="AD6">
        <v>83.9</v>
      </c>
      <c r="AE6">
        <v>5</v>
      </c>
      <c r="AF6" t="str">
        <v>Yes</v>
      </c>
      <c r="AG6" t="str">
        <v>Spring</v>
      </c>
      <c r="AH6" t="str">
        <v>Female</v>
      </c>
    </row>
    <row r="7" spans="2:34" x14ac:dyDescent="0.3">
      <c r="B7" s="9" t="s">
        <v>5</v>
      </c>
      <c r="C7">
        <f t="shared" ca="1" si="7"/>
        <v>500</v>
      </c>
      <c r="D7">
        <f t="shared" ca="1" si="0"/>
        <v>6.2</v>
      </c>
      <c r="E7">
        <f t="shared" ca="1" si="1"/>
        <v>6.3</v>
      </c>
      <c r="F7">
        <f t="shared" ca="1" si="2"/>
        <v>1.31</v>
      </c>
      <c r="G7">
        <f t="shared" ca="1" si="3"/>
        <v>3</v>
      </c>
      <c r="H7">
        <f t="shared" ca="1" si="4"/>
        <v>5.3</v>
      </c>
      <c r="I7">
        <f t="shared" ca="1" si="5"/>
        <v>7.1</v>
      </c>
      <c r="J7" s="10">
        <f t="shared" ca="1" si="6"/>
        <v>10</v>
      </c>
      <c r="L7" s="9" t="str">
        <v>gender</v>
      </c>
      <c r="M7">
        <f t="shared" ref="M7:M29" ca="1" si="9">COUNTBLANK(INDIRECT(_xlfn.CONCAT("stdsurvey[",L7,"]")))</f>
        <v>0</v>
      </c>
      <c r="N7" s="10">
        <f t="shared" ca="1" si="8"/>
        <v>0</v>
      </c>
      <c r="V7">
        <v>19</v>
      </c>
      <c r="W7" t="str">
        <v>Business</v>
      </c>
      <c r="X7">
        <v>5.8</v>
      </c>
      <c r="Y7">
        <v>4</v>
      </c>
      <c r="Z7">
        <v>5</v>
      </c>
      <c r="AA7">
        <v>5</v>
      </c>
      <c r="AB7">
        <v>8</v>
      </c>
      <c r="AC7">
        <v>12.5</v>
      </c>
      <c r="AD7">
        <v>78.400000000000006</v>
      </c>
      <c r="AE7">
        <v>2</v>
      </c>
      <c r="AF7" t="str">
        <v>No</v>
      </c>
      <c r="AG7" t="str">
        <v>Spring</v>
      </c>
      <c r="AH7" t="str">
        <v>Female</v>
      </c>
    </row>
    <row r="8" spans="2:34" x14ac:dyDescent="0.3">
      <c r="B8" s="9" t="s">
        <v>6</v>
      </c>
      <c r="C8">
        <f t="shared" ca="1" si="7"/>
        <v>500</v>
      </c>
      <c r="D8">
        <f t="shared" ca="1" si="0"/>
        <v>5.04</v>
      </c>
      <c r="E8">
        <f t="shared" ca="1" si="1"/>
        <v>4.5</v>
      </c>
      <c r="F8">
        <f t="shared" ca="1" si="2"/>
        <v>3.06</v>
      </c>
      <c r="G8">
        <f t="shared" ca="1" si="3"/>
        <v>1</v>
      </c>
      <c r="H8">
        <f t="shared" ca="1" si="4"/>
        <v>2.7</v>
      </c>
      <c r="I8">
        <f t="shared" ca="1" si="5"/>
        <v>6.8</v>
      </c>
      <c r="J8" s="10">
        <f t="shared" ca="1" si="6"/>
        <v>16</v>
      </c>
      <c r="L8" s="9" t="str">
        <v>year_of_study</v>
      </c>
      <c r="M8">
        <f t="shared" ca="1" si="9"/>
        <v>0</v>
      </c>
      <c r="N8" s="10">
        <f t="shared" ca="1" si="8"/>
        <v>0</v>
      </c>
      <c r="V8">
        <v>22</v>
      </c>
      <c r="W8" t="str">
        <v>Humanities</v>
      </c>
      <c r="X8">
        <v>4.5999999999999996</v>
      </c>
      <c r="Y8">
        <v>4</v>
      </c>
      <c r="Z8">
        <v>3</v>
      </c>
      <c r="AA8">
        <v>3</v>
      </c>
      <c r="AB8">
        <v>5</v>
      </c>
      <c r="AC8">
        <v>20.8</v>
      </c>
      <c r="AD8">
        <v>75.5</v>
      </c>
      <c r="AE8">
        <v>4</v>
      </c>
      <c r="AF8" t="str">
        <v>No</v>
      </c>
      <c r="AG8" t="str">
        <v>Fall</v>
      </c>
      <c r="AH8" t="str">
        <v>Male</v>
      </c>
    </row>
    <row r="9" spans="2:34" x14ac:dyDescent="0.3">
      <c r="B9" s="9" t="s">
        <v>7</v>
      </c>
      <c r="C9">
        <f t="shared" ca="1" si="7"/>
        <v>500</v>
      </c>
      <c r="D9">
        <f t="shared" ca="1" si="0"/>
        <v>2.64</v>
      </c>
      <c r="E9">
        <f t="shared" ca="1" si="1"/>
        <v>3</v>
      </c>
      <c r="F9">
        <f t="shared" ca="1" si="2"/>
        <v>1.72</v>
      </c>
      <c r="G9">
        <f t="shared" ca="1" si="3"/>
        <v>0</v>
      </c>
      <c r="H9">
        <f t="shared" ca="1" si="4"/>
        <v>1</v>
      </c>
      <c r="I9">
        <f t="shared" ca="1" si="5"/>
        <v>4</v>
      </c>
      <c r="J9" s="10">
        <f t="shared" ca="1" si="6"/>
        <v>7</v>
      </c>
      <c r="L9" s="9" t="str">
        <v>major_category</v>
      </c>
      <c r="M9">
        <f t="shared" ca="1" si="9"/>
        <v>0</v>
      </c>
      <c r="N9" s="10">
        <f t="shared" ca="1" si="8"/>
        <v>0</v>
      </c>
      <c r="V9">
        <v>21</v>
      </c>
      <c r="W9" t="str">
        <v>STEM</v>
      </c>
      <c r="X9">
        <v>5.3</v>
      </c>
      <c r="Y9">
        <v>0</v>
      </c>
      <c r="Z9">
        <v>27</v>
      </c>
      <c r="AA9">
        <v>19</v>
      </c>
      <c r="AB9">
        <v>28</v>
      </c>
      <c r="AC9">
        <v>24.6</v>
      </c>
      <c r="AD9">
        <v>71.2</v>
      </c>
      <c r="AE9">
        <v>2</v>
      </c>
      <c r="AF9" t="str">
        <v>No</v>
      </c>
      <c r="AG9" t="str">
        <v>Fall</v>
      </c>
      <c r="AH9" t="str">
        <v>Male</v>
      </c>
    </row>
    <row r="10" spans="2:34" x14ac:dyDescent="0.3">
      <c r="B10" s="9" t="s">
        <v>8</v>
      </c>
      <c r="C10">
        <f t="shared" ca="1" si="7"/>
        <v>500</v>
      </c>
      <c r="D10">
        <f t="shared" ca="1" si="0"/>
        <v>6.45</v>
      </c>
      <c r="E10">
        <f t="shared" ca="1" si="1"/>
        <v>5</v>
      </c>
      <c r="F10">
        <f t="shared" ca="1" si="2"/>
        <v>5.1100000000000003</v>
      </c>
      <c r="G10">
        <f t="shared" ca="1" si="3"/>
        <v>0</v>
      </c>
      <c r="H10">
        <f t="shared" ca="1" si="4"/>
        <v>3</v>
      </c>
      <c r="I10">
        <f t="shared" ca="1" si="5"/>
        <v>8</v>
      </c>
      <c r="J10" s="10">
        <f t="shared" ca="1" si="6"/>
        <v>27</v>
      </c>
      <c r="L10" s="9" t="str">
        <v>daily_sleep_hours</v>
      </c>
      <c r="M10">
        <f t="shared" ca="1" si="9"/>
        <v>0</v>
      </c>
      <c r="N10" s="10">
        <f t="shared" ca="1" si="8"/>
        <v>0</v>
      </c>
      <c r="V10">
        <v>21</v>
      </c>
      <c r="W10" t="str">
        <v>STEM</v>
      </c>
      <c r="X10">
        <v>2.2999999999999998</v>
      </c>
      <c r="Y10">
        <v>1</v>
      </c>
      <c r="Z10">
        <v>7</v>
      </c>
      <c r="AA10">
        <v>8</v>
      </c>
      <c r="AB10">
        <v>12</v>
      </c>
      <c r="AC10">
        <v>32.700000000000003</v>
      </c>
      <c r="AD10">
        <v>96</v>
      </c>
      <c r="AE10">
        <v>5</v>
      </c>
      <c r="AF10" t="str">
        <v>No</v>
      </c>
      <c r="AG10" t="str">
        <v>Spring</v>
      </c>
      <c r="AH10" t="str">
        <v>Female</v>
      </c>
    </row>
    <row r="11" spans="2:34" x14ac:dyDescent="0.3">
      <c r="B11" s="9" t="s">
        <v>9</v>
      </c>
      <c r="C11">
        <f t="shared" ca="1" si="7"/>
        <v>500</v>
      </c>
      <c r="D11">
        <f t="shared" ca="1" si="0"/>
        <v>6.28</v>
      </c>
      <c r="E11">
        <f t="shared" ca="1" si="1"/>
        <v>6</v>
      </c>
      <c r="F11">
        <f t="shared" ca="1" si="2"/>
        <v>4.01</v>
      </c>
      <c r="G11">
        <f t="shared" ca="1" si="3"/>
        <v>0</v>
      </c>
      <c r="H11">
        <f t="shared" ca="1" si="4"/>
        <v>3</v>
      </c>
      <c r="I11">
        <f t="shared" ca="1" si="5"/>
        <v>8</v>
      </c>
      <c r="J11" s="10">
        <f t="shared" ca="1" si="6"/>
        <v>21</v>
      </c>
      <c r="L11" s="9" t="str">
        <v>daily_screen_time_hours</v>
      </c>
      <c r="M11">
        <f t="shared" ca="1" si="9"/>
        <v>0</v>
      </c>
      <c r="N11" s="10">
        <f t="shared" ca="1" si="8"/>
        <v>0</v>
      </c>
      <c r="V11">
        <v>20</v>
      </c>
      <c r="W11" t="str">
        <v>STEM</v>
      </c>
      <c r="X11">
        <v>5.9</v>
      </c>
      <c r="Y11">
        <v>2</v>
      </c>
      <c r="Z11">
        <v>6</v>
      </c>
      <c r="AA11">
        <v>7</v>
      </c>
      <c r="AB11">
        <v>13</v>
      </c>
      <c r="AC11">
        <v>20.8</v>
      </c>
      <c r="AD11">
        <v>97.1</v>
      </c>
      <c r="AE11">
        <v>5</v>
      </c>
      <c r="AF11" t="str">
        <v>No</v>
      </c>
      <c r="AG11" t="str">
        <v>Fall</v>
      </c>
      <c r="AH11" t="str">
        <v>Female</v>
      </c>
    </row>
    <row r="12" spans="2:34" x14ac:dyDescent="0.3">
      <c r="B12" s="9" t="s">
        <v>10</v>
      </c>
      <c r="C12">
        <f t="shared" ca="1" si="7"/>
        <v>500</v>
      </c>
      <c r="D12">
        <f t="shared" ca="1" si="0"/>
        <v>12.12</v>
      </c>
      <c r="E12">
        <f t="shared" ca="1" si="1"/>
        <v>11</v>
      </c>
      <c r="F12">
        <f t="shared" ca="1" si="2"/>
        <v>5.84</v>
      </c>
      <c r="G12">
        <f t="shared" ca="1" si="3"/>
        <v>1</v>
      </c>
      <c r="H12">
        <f t="shared" ca="1" si="4"/>
        <v>8</v>
      </c>
      <c r="I12">
        <f t="shared" ca="1" si="5"/>
        <v>15</v>
      </c>
      <c r="J12" s="10">
        <f t="shared" ca="1" si="6"/>
        <v>38</v>
      </c>
      <c r="L12" s="9" t="str">
        <v>physical_activity_days_per_week</v>
      </c>
      <c r="M12">
        <f t="shared" ca="1" si="9"/>
        <v>0</v>
      </c>
      <c r="N12" s="10">
        <f t="shared" ca="1" si="8"/>
        <v>0</v>
      </c>
      <c r="V12">
        <v>23</v>
      </c>
      <c r="W12" t="str">
        <v>STEM</v>
      </c>
      <c r="X12">
        <v>1.1000000000000001</v>
      </c>
      <c r="Y12">
        <v>5</v>
      </c>
      <c r="Z12">
        <v>8</v>
      </c>
      <c r="AA12">
        <v>6</v>
      </c>
      <c r="AB12">
        <v>7</v>
      </c>
      <c r="AC12">
        <v>31.6</v>
      </c>
      <c r="AD12">
        <v>65.599999999999994</v>
      </c>
      <c r="AE12">
        <v>3</v>
      </c>
      <c r="AF12" t="str">
        <v>No</v>
      </c>
      <c r="AG12" t="str">
        <v>Spring</v>
      </c>
      <c r="AH12" t="str">
        <v>Male</v>
      </c>
    </row>
    <row r="13" spans="2:34" x14ac:dyDescent="0.3">
      <c r="B13" s="9" t="s">
        <v>11</v>
      </c>
      <c r="C13">
        <f t="shared" ca="1" si="7"/>
        <v>500</v>
      </c>
      <c r="D13">
        <f t="shared" ca="1" si="0"/>
        <v>18.329999999999998</v>
      </c>
      <c r="E13">
        <f t="shared" ca="1" si="1"/>
        <v>18</v>
      </c>
      <c r="F13">
        <f t="shared" ca="1" si="2"/>
        <v>9.33</v>
      </c>
      <c r="G13">
        <f t="shared" ca="1" si="3"/>
        <v>1</v>
      </c>
      <c r="H13">
        <f t="shared" ca="1" si="4"/>
        <v>13.18</v>
      </c>
      <c r="I13">
        <f t="shared" ca="1" si="5"/>
        <v>23.2</v>
      </c>
      <c r="J13" s="10">
        <f t="shared" ca="1" si="6"/>
        <v>85.3</v>
      </c>
      <c r="L13" s="9" t="str">
        <v>phq9_score</v>
      </c>
      <c r="M13">
        <f t="shared" ca="1" si="9"/>
        <v>14</v>
      </c>
      <c r="N13" s="10">
        <f t="shared" ca="1" si="8"/>
        <v>2.8</v>
      </c>
      <c r="V13">
        <v>23</v>
      </c>
      <c r="W13" t="str">
        <v>Arts</v>
      </c>
      <c r="X13">
        <v>9.1</v>
      </c>
      <c r="Y13">
        <v>3</v>
      </c>
      <c r="Z13">
        <v>4</v>
      </c>
      <c r="AA13">
        <v>5</v>
      </c>
      <c r="AB13">
        <v>10</v>
      </c>
      <c r="AC13">
        <v>11.5</v>
      </c>
      <c r="AD13">
        <v>89</v>
      </c>
      <c r="AE13">
        <v>3</v>
      </c>
      <c r="AF13" t="str">
        <v>Yes</v>
      </c>
      <c r="AG13" t="str">
        <v>Spring</v>
      </c>
      <c r="AH13" t="str">
        <v>Male</v>
      </c>
    </row>
    <row r="14" spans="2:34" x14ac:dyDescent="0.3">
      <c r="B14" s="9" t="s">
        <v>12</v>
      </c>
      <c r="C14">
        <f t="shared" ca="1" si="7"/>
        <v>500</v>
      </c>
      <c r="D14">
        <f t="shared" ca="1" si="0"/>
        <v>79.400000000000006</v>
      </c>
      <c r="E14">
        <f t="shared" ca="1" si="1"/>
        <v>80</v>
      </c>
      <c r="F14">
        <f t="shared" ca="1" si="2"/>
        <v>13.3</v>
      </c>
      <c r="G14">
        <f t="shared" ca="1" si="3"/>
        <v>31.8</v>
      </c>
      <c r="H14">
        <f t="shared" ca="1" si="4"/>
        <v>70.98</v>
      </c>
      <c r="I14">
        <f t="shared" ca="1" si="5"/>
        <v>89.33</v>
      </c>
      <c r="J14" s="10">
        <f t="shared" ca="1" si="6"/>
        <v>100</v>
      </c>
      <c r="L14" s="9" t="str">
        <v>gad7_score</v>
      </c>
      <c r="M14">
        <f t="shared" ca="1" si="9"/>
        <v>14</v>
      </c>
      <c r="N14" s="10">
        <f t="shared" ca="1" si="8"/>
        <v>2.8</v>
      </c>
      <c r="V14">
        <v>22</v>
      </c>
      <c r="W14" t="str">
        <v>Business</v>
      </c>
      <c r="X14">
        <v>1</v>
      </c>
      <c r="Y14">
        <v>3</v>
      </c>
      <c r="Z14">
        <v>0</v>
      </c>
      <c r="AA14">
        <v>0</v>
      </c>
      <c r="AB14">
        <v>21</v>
      </c>
      <c r="AC14">
        <v>24.5</v>
      </c>
      <c r="AD14">
        <v>71.8</v>
      </c>
      <c r="AE14">
        <v>4</v>
      </c>
      <c r="AF14" t="str">
        <v>No</v>
      </c>
      <c r="AG14" t="str">
        <v>Spring</v>
      </c>
      <c r="AH14" t="str">
        <v>Female</v>
      </c>
    </row>
    <row r="15" spans="2:34" x14ac:dyDescent="0.3">
      <c r="B15" s="9" t="s">
        <v>13</v>
      </c>
      <c r="C15">
        <f t="shared" ca="1" si="7"/>
        <v>500</v>
      </c>
      <c r="D15">
        <f t="shared" ca="1" si="0"/>
        <v>3.18</v>
      </c>
      <c r="E15">
        <f t="shared" ca="1" si="1"/>
        <v>3</v>
      </c>
      <c r="F15">
        <f t="shared" ca="1" si="2"/>
        <v>1.19</v>
      </c>
      <c r="G15">
        <f t="shared" ca="1" si="3"/>
        <v>1</v>
      </c>
      <c r="H15">
        <f t="shared" ca="1" si="4"/>
        <v>2</v>
      </c>
      <c r="I15">
        <f t="shared" ca="1" si="5"/>
        <v>4</v>
      </c>
      <c r="J15" s="10">
        <f t="shared" ca="1" si="6"/>
        <v>5</v>
      </c>
      <c r="L15" s="9" t="str">
        <v>phq9_score_category</v>
      </c>
      <c r="M15">
        <f t="shared" ca="1" si="9"/>
        <v>0</v>
      </c>
      <c r="N15" s="10">
        <f t="shared" ca="1" si="8"/>
        <v>0</v>
      </c>
      <c r="V15">
        <v>24</v>
      </c>
      <c r="W15" t="str">
        <v>Health Sciences</v>
      </c>
      <c r="X15">
        <v>2.9</v>
      </c>
      <c r="Y15">
        <v>4</v>
      </c>
      <c r="Z15">
        <v>7</v>
      </c>
      <c r="AA15">
        <v>5</v>
      </c>
      <c r="AB15">
        <v>15</v>
      </c>
      <c r="AC15">
        <v>11.4</v>
      </c>
      <c r="AD15">
        <v>86.2</v>
      </c>
      <c r="AE15">
        <v>3</v>
      </c>
      <c r="AF15" t="str">
        <v>No</v>
      </c>
      <c r="AG15" t="str">
        <v>Spring</v>
      </c>
      <c r="AH15" t="str">
        <v>Male</v>
      </c>
    </row>
    <row r="16" spans="2:34" x14ac:dyDescent="0.3">
      <c r="B16" s="9" t="s">
        <v>15</v>
      </c>
      <c r="C16">
        <f t="shared" ca="1" si="7"/>
        <v>500</v>
      </c>
      <c r="D16">
        <f t="shared" ca="1" si="0"/>
        <v>3.09</v>
      </c>
      <c r="E16">
        <f t="shared" ca="1" si="1"/>
        <v>3</v>
      </c>
      <c r="F16">
        <f t="shared" ca="1" si="2"/>
        <v>1.24</v>
      </c>
      <c r="G16">
        <f t="shared" ca="1" si="3"/>
        <v>1</v>
      </c>
      <c r="H16">
        <f t="shared" ca="1" si="4"/>
        <v>2</v>
      </c>
      <c r="I16">
        <f t="shared" ca="1" si="5"/>
        <v>4</v>
      </c>
      <c r="J16" s="10">
        <f t="shared" ca="1" si="6"/>
        <v>5</v>
      </c>
      <c r="L16" s="9" t="str">
        <v>perceived_stress_scale</v>
      </c>
      <c r="M16">
        <f t="shared" ca="1" si="9"/>
        <v>0</v>
      </c>
      <c r="N16" s="10">
        <f t="shared" ca="1" si="8"/>
        <v>0</v>
      </c>
      <c r="V16">
        <v>22</v>
      </c>
      <c r="W16" t="str">
        <v>Social Sciences</v>
      </c>
      <c r="X16">
        <v>4.0999999999999996</v>
      </c>
      <c r="Y16">
        <v>4</v>
      </c>
      <c r="Z16">
        <v>6</v>
      </c>
      <c r="AA16">
        <v>6</v>
      </c>
      <c r="AB16">
        <v>10</v>
      </c>
      <c r="AC16">
        <v>18.899999999999999</v>
      </c>
      <c r="AD16">
        <v>75.7</v>
      </c>
      <c r="AE16">
        <v>4</v>
      </c>
      <c r="AF16" t="str">
        <v>No</v>
      </c>
      <c r="AG16" t="str">
        <v>Spring</v>
      </c>
      <c r="AH16" t="str">
        <v>Male</v>
      </c>
    </row>
    <row r="17" spans="2:34" x14ac:dyDescent="0.3">
      <c r="B17" s="11" t="s">
        <v>17</v>
      </c>
      <c r="C17" s="7">
        <f t="shared" ca="1" si="7"/>
        <v>500</v>
      </c>
      <c r="D17" s="7">
        <f t="shared" ca="1" si="0"/>
        <v>2.96</v>
      </c>
      <c r="E17" s="7">
        <f t="shared" ca="1" si="1"/>
        <v>2.96</v>
      </c>
      <c r="F17" s="7">
        <f t="shared" ca="1" si="2"/>
        <v>0.39</v>
      </c>
      <c r="G17" s="7">
        <f t="shared" ca="1" si="3"/>
        <v>1.83</v>
      </c>
      <c r="H17" s="7">
        <f t="shared" ca="1" si="4"/>
        <v>2.73</v>
      </c>
      <c r="I17" s="7">
        <f t="shared" ca="1" si="5"/>
        <v>3.23</v>
      </c>
      <c r="J17" s="12">
        <f t="shared" ca="1" si="6"/>
        <v>4.3</v>
      </c>
      <c r="L17" s="9" t="str">
        <v>gad7_score_interpretation</v>
      </c>
      <c r="M17">
        <f t="shared" ca="1" si="9"/>
        <v>0</v>
      </c>
      <c r="N17" s="10">
        <f t="shared" ca="1" si="8"/>
        <v>0</v>
      </c>
      <c r="V17">
        <v>20</v>
      </c>
      <c r="W17" t="str">
        <v>STEM</v>
      </c>
      <c r="X17">
        <v>8.8000000000000007</v>
      </c>
      <c r="Y17">
        <v>3</v>
      </c>
      <c r="Z17">
        <v>27</v>
      </c>
      <c r="AA17">
        <v>19</v>
      </c>
      <c r="AB17">
        <v>27</v>
      </c>
      <c r="AC17">
        <v>1.5</v>
      </c>
      <c r="AD17">
        <v>97.8</v>
      </c>
      <c r="AE17">
        <v>0</v>
      </c>
      <c r="AF17" t="str">
        <v>No</v>
      </c>
      <c r="AG17" t="str">
        <v>Summer</v>
      </c>
      <c r="AH17" t="str">
        <v>Male</v>
      </c>
    </row>
    <row r="18" spans="2:34" x14ac:dyDescent="0.3">
      <c r="L18" s="9" t="str">
        <v>weekly_study_hours</v>
      </c>
      <c r="M18">
        <f t="shared" ca="1" si="9"/>
        <v>0</v>
      </c>
      <c r="N18" s="10">
        <f t="shared" ca="1" si="8"/>
        <v>0</v>
      </c>
      <c r="V18">
        <v>22</v>
      </c>
      <c r="W18" t="str">
        <v>STEM</v>
      </c>
      <c r="X18">
        <v>2</v>
      </c>
      <c r="Y18">
        <v>3</v>
      </c>
      <c r="Z18">
        <v>4</v>
      </c>
      <c r="AA18">
        <v>4</v>
      </c>
      <c r="AB18">
        <v>11</v>
      </c>
      <c r="AC18">
        <v>15.4</v>
      </c>
      <c r="AD18">
        <v>75.3</v>
      </c>
      <c r="AE18">
        <v>3</v>
      </c>
      <c r="AF18" t="str">
        <v>Yes</v>
      </c>
      <c r="AG18" t="str">
        <v>Fall</v>
      </c>
      <c r="AH18" t="str">
        <v>Female</v>
      </c>
    </row>
    <row r="19" spans="2:34" x14ac:dyDescent="0.3">
      <c r="L19" s="9" t="str">
        <v>pss_category</v>
      </c>
      <c r="M19">
        <f t="shared" ca="1" si="9"/>
        <v>0</v>
      </c>
      <c r="N19" s="10">
        <f t="shared" ca="1" si="8"/>
        <v>0</v>
      </c>
      <c r="V19">
        <v>19</v>
      </c>
      <c r="W19" t="str">
        <v>Health Sciences</v>
      </c>
      <c r="X19">
        <v>7.3</v>
      </c>
      <c r="Y19">
        <v>4</v>
      </c>
      <c r="Z19">
        <v>3</v>
      </c>
      <c r="AA19">
        <v>1</v>
      </c>
      <c r="AB19">
        <v>1</v>
      </c>
      <c r="AC19">
        <v>23.7</v>
      </c>
      <c r="AD19">
        <v>85.9</v>
      </c>
      <c r="AE19">
        <v>2</v>
      </c>
      <c r="AF19" t="str">
        <v>Yes</v>
      </c>
      <c r="AG19" t="str">
        <v>Spring</v>
      </c>
      <c r="AH19" t="str">
        <v>Female</v>
      </c>
    </row>
    <row r="20" spans="2:34" x14ac:dyDescent="0.3">
      <c r="L20" s="9" t="str">
        <v>class_attendance_percent</v>
      </c>
      <c r="M20">
        <f t="shared" ca="1" si="9"/>
        <v>0</v>
      </c>
      <c r="N20" s="10">
        <f t="shared" ca="1" si="8"/>
        <v>0</v>
      </c>
      <c r="V20">
        <v>23</v>
      </c>
      <c r="W20" t="str">
        <v>STEM</v>
      </c>
      <c r="X20">
        <v>1</v>
      </c>
      <c r="Y20">
        <v>2</v>
      </c>
      <c r="Z20">
        <v>7</v>
      </c>
      <c r="AA20">
        <v>9</v>
      </c>
      <c r="AB20">
        <v>17</v>
      </c>
      <c r="AC20">
        <v>11.9</v>
      </c>
      <c r="AD20">
        <v>92</v>
      </c>
      <c r="AE20">
        <v>5</v>
      </c>
      <c r="AF20" t="str">
        <v>No</v>
      </c>
      <c r="AG20" t="str">
        <v>Fall</v>
      </c>
      <c r="AH20" t="str">
        <v>Female</v>
      </c>
    </row>
    <row r="21" spans="2:34" x14ac:dyDescent="0.3">
      <c r="L21" s="9" t="str">
        <v>online_learning_satisfaction</v>
      </c>
      <c r="M21">
        <f t="shared" ca="1" si="9"/>
        <v>24</v>
      </c>
      <c r="N21" s="10">
        <f t="shared" ca="1" si="8"/>
        <v>4.8</v>
      </c>
      <c r="V21">
        <v>21</v>
      </c>
      <c r="W21" t="str">
        <v>Arts</v>
      </c>
      <c r="X21">
        <v>2.8</v>
      </c>
      <c r="Y21">
        <v>5</v>
      </c>
      <c r="Z21">
        <v>4</v>
      </c>
      <c r="AA21">
        <v>3</v>
      </c>
      <c r="AB21">
        <v>8</v>
      </c>
      <c r="AC21">
        <v>17.5</v>
      </c>
      <c r="AD21">
        <v>66.7</v>
      </c>
      <c r="AE21">
        <v>2</v>
      </c>
      <c r="AF21" t="str">
        <v>No</v>
      </c>
      <c r="AG21" t="str">
        <v>Spring</v>
      </c>
      <c r="AH21" t="str">
        <v>Male</v>
      </c>
    </row>
    <row r="22" spans="2:34" x14ac:dyDescent="0.3">
      <c r="L22" s="9" t="str">
        <v>attendance_band</v>
      </c>
      <c r="M22">
        <f t="shared" ca="1" si="9"/>
        <v>0</v>
      </c>
      <c r="N22" s="10">
        <f t="shared" ca="1" si="8"/>
        <v>0</v>
      </c>
      <c r="V22">
        <v>21</v>
      </c>
      <c r="W22" t="str">
        <v>STEM</v>
      </c>
      <c r="X22">
        <v>1</v>
      </c>
      <c r="Y22">
        <v>0</v>
      </c>
      <c r="Z22">
        <v>7</v>
      </c>
      <c r="AA22">
        <v>9</v>
      </c>
      <c r="AB22">
        <v>19</v>
      </c>
      <c r="AC22">
        <v>26.8</v>
      </c>
      <c r="AD22">
        <v>80</v>
      </c>
      <c r="AE22">
        <v>4</v>
      </c>
      <c r="AF22" t="str">
        <v>Yes</v>
      </c>
      <c r="AG22" t="str">
        <v>Spring</v>
      </c>
      <c r="AH22" t="str">
        <v>Male</v>
      </c>
    </row>
    <row r="23" spans="2:34" x14ac:dyDescent="0.3">
      <c r="L23" s="9" t="str">
        <v>has_part_time_job</v>
      </c>
      <c r="M23">
        <f t="shared" ca="1" si="9"/>
        <v>0</v>
      </c>
      <c r="N23" s="10">
        <f t="shared" ca="1" si="8"/>
        <v>0</v>
      </c>
      <c r="V23">
        <v>20</v>
      </c>
      <c r="W23" t="str">
        <v>Social Sciences</v>
      </c>
      <c r="X23">
        <v>4.3</v>
      </c>
      <c r="Y23">
        <v>1</v>
      </c>
      <c r="Z23">
        <v>2</v>
      </c>
      <c r="AA23">
        <v>2</v>
      </c>
      <c r="AB23">
        <v>2</v>
      </c>
      <c r="AC23">
        <v>14.1</v>
      </c>
      <c r="AD23">
        <v>72.7</v>
      </c>
      <c r="AE23">
        <v>2</v>
      </c>
      <c r="AF23" t="str">
        <v>No</v>
      </c>
      <c r="AG23" t="str">
        <v>Spring</v>
      </c>
      <c r="AH23" t="str">
        <v>Male</v>
      </c>
    </row>
    <row r="24" spans="2:34" x14ac:dyDescent="0.3">
      <c r="L24" s="9" t="str">
        <v>financial_stress</v>
      </c>
      <c r="M24">
        <f t="shared" ca="1" si="9"/>
        <v>0</v>
      </c>
      <c r="N24" s="10">
        <f t="shared" ca="1" si="8"/>
        <v>0</v>
      </c>
      <c r="V24">
        <v>24</v>
      </c>
      <c r="W24" t="str">
        <v>Health Sciences</v>
      </c>
      <c r="X24">
        <v>2.4</v>
      </c>
      <c r="Y24">
        <v>4</v>
      </c>
      <c r="Z24">
        <v>13</v>
      </c>
      <c r="AA24">
        <v>9</v>
      </c>
      <c r="AB24">
        <v>20</v>
      </c>
      <c r="AC24">
        <v>14.7</v>
      </c>
      <c r="AD24">
        <v>69.3</v>
      </c>
      <c r="AE24">
        <v>2</v>
      </c>
      <c r="AF24" t="str">
        <v>Yes</v>
      </c>
      <c r="AG24" t="str">
        <v>Spring</v>
      </c>
      <c r="AH24" t="str">
        <v>Female</v>
      </c>
    </row>
    <row r="25" spans="2:34" x14ac:dyDescent="0.3">
      <c r="L25" s="9" t="str">
        <v>semester_type</v>
      </c>
      <c r="M25">
        <f t="shared" ca="1" si="9"/>
        <v>0</v>
      </c>
      <c r="N25" s="10">
        <f t="shared" ca="1" si="8"/>
        <v>0</v>
      </c>
      <c r="V25">
        <v>21</v>
      </c>
      <c r="W25" t="str">
        <v>STEM</v>
      </c>
      <c r="X25">
        <v>2.6</v>
      </c>
      <c r="Y25">
        <v>2</v>
      </c>
      <c r="Z25">
        <v>25</v>
      </c>
      <c r="AA25">
        <v>21</v>
      </c>
      <c r="AB25">
        <v>31</v>
      </c>
      <c r="AC25">
        <v>12.8</v>
      </c>
      <c r="AD25">
        <v>62.4</v>
      </c>
      <c r="AE25">
        <v>1</v>
      </c>
      <c r="AF25" t="str">
        <v>No</v>
      </c>
      <c r="AG25" t="str">
        <v>Spring</v>
      </c>
      <c r="AH25" t="str">
        <v>Female</v>
      </c>
    </row>
    <row r="26" spans="2:34" x14ac:dyDescent="0.3">
      <c r="L26" s="9" t="str">
        <v>cgpa</v>
      </c>
      <c r="M26">
        <f t="shared" ca="1" si="9"/>
        <v>12</v>
      </c>
      <c r="N26" s="10">
        <f t="shared" ca="1" si="8"/>
        <v>2.4</v>
      </c>
      <c r="V26">
        <v>21</v>
      </c>
      <c r="W26" t="str">
        <v>STEM</v>
      </c>
      <c r="X26">
        <v>10.6</v>
      </c>
      <c r="Y26">
        <v>1</v>
      </c>
      <c r="Z26">
        <v>4</v>
      </c>
      <c r="AA26">
        <v>7</v>
      </c>
      <c r="AB26">
        <v>10</v>
      </c>
      <c r="AC26">
        <v>13.2</v>
      </c>
      <c r="AD26">
        <v>97.3</v>
      </c>
      <c r="AE26">
        <v>3</v>
      </c>
      <c r="AF26" t="str">
        <v>No</v>
      </c>
      <c r="AG26" t="str">
        <v>Fall</v>
      </c>
      <c r="AH26" t="str">
        <v>Non-binary</v>
      </c>
    </row>
    <row r="27" spans="2:34" x14ac:dyDescent="0.3">
      <c r="L27" s="9" t="str">
        <v>screen_time_band</v>
      </c>
      <c r="M27">
        <f t="shared" ca="1" si="9"/>
        <v>0</v>
      </c>
      <c r="N27" s="10">
        <f t="shared" ca="1" si="8"/>
        <v>0</v>
      </c>
      <c r="V27">
        <v>21</v>
      </c>
      <c r="W27" t="str">
        <v>Law</v>
      </c>
      <c r="X27">
        <v>2.9</v>
      </c>
      <c r="Y27">
        <v>1</v>
      </c>
      <c r="Z27">
        <v>3</v>
      </c>
      <c r="AA27">
        <v>4</v>
      </c>
      <c r="AB27">
        <v>5</v>
      </c>
      <c r="AC27">
        <v>19</v>
      </c>
      <c r="AD27">
        <v>73.8</v>
      </c>
      <c r="AE27">
        <v>4</v>
      </c>
      <c r="AF27" t="str">
        <v>Yes</v>
      </c>
      <c r="AG27" t="str">
        <v>Spring</v>
      </c>
      <c r="AH27" t="str">
        <v>Male</v>
      </c>
    </row>
    <row r="28" spans="2:34" x14ac:dyDescent="0.3">
      <c r="L28" s="9" t="str">
        <v>sleep_hour_band</v>
      </c>
      <c r="M28">
        <f t="shared" ca="1" si="9"/>
        <v>0</v>
      </c>
      <c r="N28" s="10">
        <f t="shared" ca="1" si="8"/>
        <v>0</v>
      </c>
      <c r="V28">
        <v>23</v>
      </c>
      <c r="W28" t="str">
        <v>STEM</v>
      </c>
      <c r="X28">
        <v>9.6999999999999993</v>
      </c>
      <c r="Y28">
        <v>3</v>
      </c>
      <c r="Z28">
        <v>0</v>
      </c>
      <c r="AA28">
        <v>0</v>
      </c>
      <c r="AB28">
        <v>11</v>
      </c>
      <c r="AC28">
        <v>21.1</v>
      </c>
      <c r="AD28">
        <v>88.4</v>
      </c>
      <c r="AE28">
        <v>3</v>
      </c>
      <c r="AF28" t="str">
        <v>No</v>
      </c>
      <c r="AG28" t="str">
        <v>Fall</v>
      </c>
      <c r="AH28" t="str">
        <v>Male</v>
      </c>
    </row>
    <row r="29" spans="2:34" x14ac:dyDescent="0.3">
      <c r="L29" s="11" t="str">
        <v>gender_cleaned</v>
      </c>
      <c r="M29" s="7">
        <f t="shared" ca="1" si="9"/>
        <v>0</v>
      </c>
      <c r="N29" s="12">
        <f t="shared" ca="1" si="8"/>
        <v>0</v>
      </c>
      <c r="V29">
        <v>22</v>
      </c>
      <c r="W29" t="str">
        <v>Business</v>
      </c>
      <c r="X29">
        <v>2.2999999999999998</v>
      </c>
      <c r="Y29">
        <v>4</v>
      </c>
      <c r="Z29">
        <v>3</v>
      </c>
      <c r="AA29">
        <v>3</v>
      </c>
      <c r="AB29">
        <v>10</v>
      </c>
      <c r="AC29">
        <v>13.2</v>
      </c>
      <c r="AD29">
        <v>83.8</v>
      </c>
      <c r="AE29">
        <v>4</v>
      </c>
      <c r="AF29" t="str">
        <v>No</v>
      </c>
      <c r="AG29" t="str">
        <v>Summer</v>
      </c>
      <c r="AH29" t="str">
        <v>Female</v>
      </c>
    </row>
    <row r="30" spans="2:34" x14ac:dyDescent="0.3">
      <c r="V30">
        <v>22</v>
      </c>
      <c r="W30" t="str">
        <v>Business</v>
      </c>
      <c r="X30">
        <v>4.5999999999999996</v>
      </c>
      <c r="Y30">
        <v>0</v>
      </c>
      <c r="Z30">
        <v>3</v>
      </c>
      <c r="AA30">
        <v>4</v>
      </c>
      <c r="AB30">
        <v>14</v>
      </c>
      <c r="AC30">
        <v>34.4</v>
      </c>
      <c r="AD30">
        <v>66.7</v>
      </c>
      <c r="AE30">
        <v>4</v>
      </c>
      <c r="AF30" t="str">
        <v>No</v>
      </c>
      <c r="AG30" t="str">
        <v>Spring</v>
      </c>
      <c r="AH30" t="str">
        <v>Female</v>
      </c>
    </row>
    <row r="31" spans="2:34" x14ac:dyDescent="0.3">
      <c r="B31" s="18"/>
      <c r="C31" s="18"/>
      <c r="D31" s="18"/>
      <c r="E31" s="18"/>
      <c r="F31" s="18"/>
      <c r="G31" s="18"/>
      <c r="H31" s="18"/>
      <c r="I31" s="18"/>
      <c r="J31" s="18"/>
      <c r="K31" s="18"/>
      <c r="L31" s="18"/>
      <c r="M31" s="18"/>
      <c r="N31" s="18"/>
      <c r="O31" s="18"/>
      <c r="P31" s="18"/>
      <c r="V31">
        <v>22</v>
      </c>
      <c r="W31" t="str">
        <v>STEM</v>
      </c>
      <c r="X31">
        <v>4.2</v>
      </c>
      <c r="Y31">
        <v>0</v>
      </c>
      <c r="Z31">
        <v>14</v>
      </c>
      <c r="AA31">
        <v>10</v>
      </c>
      <c r="AB31">
        <v>22</v>
      </c>
      <c r="AC31">
        <v>11.7</v>
      </c>
      <c r="AD31">
        <v>80</v>
      </c>
      <c r="AE31">
        <v>2</v>
      </c>
      <c r="AF31" t="str">
        <v>Yes</v>
      </c>
      <c r="AG31" t="str">
        <v>Spring</v>
      </c>
      <c r="AH31" t="str">
        <v>Female</v>
      </c>
    </row>
    <row r="32" spans="2:34" x14ac:dyDescent="0.3">
      <c r="B32" s="27" t="s">
        <v>617</v>
      </c>
      <c r="V32">
        <v>26</v>
      </c>
      <c r="W32" t="str">
        <v>Social Sciences</v>
      </c>
      <c r="X32">
        <v>8.6</v>
      </c>
      <c r="Y32">
        <v>3</v>
      </c>
      <c r="Z32">
        <v>3</v>
      </c>
      <c r="AA32">
        <v>6</v>
      </c>
      <c r="AB32">
        <v>8</v>
      </c>
      <c r="AC32">
        <v>27.2</v>
      </c>
      <c r="AD32">
        <v>63.4</v>
      </c>
      <c r="AE32">
        <v>1</v>
      </c>
      <c r="AF32" t="str">
        <v>Yes</v>
      </c>
      <c r="AG32" t="str">
        <v>Summer</v>
      </c>
      <c r="AH32" t="str">
        <v>Male</v>
      </c>
    </row>
    <row r="33" spans="2:34" x14ac:dyDescent="0.3">
      <c r="B33" s="27" t="s">
        <v>584</v>
      </c>
      <c r="F33" s="27" t="s">
        <v>586</v>
      </c>
      <c r="J33" s="27" t="s">
        <v>587</v>
      </c>
      <c r="V33">
        <v>21</v>
      </c>
      <c r="W33" t="str">
        <v>Social Sciences</v>
      </c>
      <c r="X33">
        <v>6.7</v>
      </c>
      <c r="Y33">
        <v>6</v>
      </c>
      <c r="Z33">
        <v>2</v>
      </c>
      <c r="AA33">
        <v>2</v>
      </c>
      <c r="AB33">
        <v>4</v>
      </c>
      <c r="AC33">
        <v>11.1</v>
      </c>
      <c r="AD33">
        <v>90.5</v>
      </c>
      <c r="AE33">
        <v>4</v>
      </c>
      <c r="AF33" t="str">
        <v>No</v>
      </c>
      <c r="AG33" t="str">
        <v>Spring</v>
      </c>
      <c r="AH33" t="str">
        <v>Female</v>
      </c>
    </row>
    <row r="34" spans="2:34" x14ac:dyDescent="0.3">
      <c r="B34" s="1" t="s">
        <v>542</v>
      </c>
      <c r="C34" t="s">
        <v>544</v>
      </c>
      <c r="D34" t="s">
        <v>585</v>
      </c>
      <c r="F34" s="1" t="s">
        <v>542</v>
      </c>
      <c r="G34" t="s">
        <v>544</v>
      </c>
      <c r="H34" t="s">
        <v>585</v>
      </c>
      <c r="J34" s="1" t="s">
        <v>542</v>
      </c>
      <c r="K34" t="s">
        <v>544</v>
      </c>
      <c r="L34" t="s">
        <v>585</v>
      </c>
      <c r="V34">
        <v>20</v>
      </c>
      <c r="W34" t="str">
        <v>Business</v>
      </c>
      <c r="X34">
        <v>3.4</v>
      </c>
      <c r="Y34">
        <v>2</v>
      </c>
      <c r="Z34">
        <v>6</v>
      </c>
      <c r="AA34">
        <v>9</v>
      </c>
      <c r="AB34">
        <v>9</v>
      </c>
      <c r="AC34">
        <v>18.100000000000001</v>
      </c>
      <c r="AD34">
        <v>67.400000000000006</v>
      </c>
      <c r="AE34">
        <v>4</v>
      </c>
      <c r="AF34" t="str">
        <v>No</v>
      </c>
      <c r="AG34" t="str">
        <v>Spring</v>
      </c>
      <c r="AH34" t="str">
        <v>Male</v>
      </c>
    </row>
    <row r="35" spans="2:34" x14ac:dyDescent="0.3">
      <c r="B35" s="2" t="s">
        <v>556</v>
      </c>
      <c r="C35">
        <v>14</v>
      </c>
      <c r="D35" s="28">
        <v>2.8000000000000001E-2</v>
      </c>
      <c r="F35" s="2" t="s">
        <v>556</v>
      </c>
      <c r="G35">
        <v>14</v>
      </c>
      <c r="H35" s="28">
        <v>2.8000000000000001E-2</v>
      </c>
      <c r="J35" s="2" t="s">
        <v>562</v>
      </c>
      <c r="K35">
        <v>14</v>
      </c>
      <c r="L35" s="28">
        <v>2.8000000000000001E-2</v>
      </c>
      <c r="V35">
        <v>20</v>
      </c>
      <c r="W35" t="str">
        <v>Health Sciences</v>
      </c>
      <c r="X35">
        <v>6.6</v>
      </c>
      <c r="Y35">
        <v>6</v>
      </c>
      <c r="Z35">
        <v>4</v>
      </c>
      <c r="AA35">
        <v>4</v>
      </c>
      <c r="AB35">
        <v>14</v>
      </c>
      <c r="AC35">
        <v>28.3</v>
      </c>
      <c r="AD35">
        <v>84.6</v>
      </c>
      <c r="AE35">
        <v>3</v>
      </c>
      <c r="AF35" t="str">
        <v>No</v>
      </c>
      <c r="AG35" t="str">
        <v>Fall</v>
      </c>
      <c r="AH35" t="str">
        <v>Male</v>
      </c>
    </row>
    <row r="36" spans="2:34" x14ac:dyDescent="0.3">
      <c r="B36" s="2" t="s">
        <v>557</v>
      </c>
      <c r="C36">
        <v>167</v>
      </c>
      <c r="D36" s="28">
        <v>0.33400000000000002</v>
      </c>
      <c r="F36" s="2" t="s">
        <v>557</v>
      </c>
      <c r="G36">
        <v>224</v>
      </c>
      <c r="H36" s="28">
        <v>0.44800000000000001</v>
      </c>
      <c r="J36" s="2" t="s">
        <v>563</v>
      </c>
      <c r="K36">
        <v>326</v>
      </c>
      <c r="L36" s="28">
        <v>0.65200000000000002</v>
      </c>
      <c r="V36">
        <v>23</v>
      </c>
      <c r="W36" t="str">
        <v>STEM</v>
      </c>
      <c r="X36">
        <v>6.3</v>
      </c>
      <c r="Y36">
        <v>5</v>
      </c>
      <c r="Z36">
        <v>12</v>
      </c>
      <c r="AA36">
        <v>10</v>
      </c>
      <c r="AB36">
        <v>15</v>
      </c>
      <c r="AC36">
        <v>26.7</v>
      </c>
      <c r="AD36">
        <v>56.6</v>
      </c>
      <c r="AE36">
        <v>2</v>
      </c>
      <c r="AF36" t="str">
        <v>No</v>
      </c>
      <c r="AG36" t="str">
        <v>Fall</v>
      </c>
      <c r="AH36" t="str">
        <v>Female</v>
      </c>
    </row>
    <row r="37" spans="2:34" x14ac:dyDescent="0.3">
      <c r="B37" s="2" t="s">
        <v>558</v>
      </c>
      <c r="C37">
        <v>217</v>
      </c>
      <c r="D37" s="28">
        <v>0.434</v>
      </c>
      <c r="F37" s="2" t="s">
        <v>558</v>
      </c>
      <c r="G37">
        <v>178</v>
      </c>
      <c r="H37" s="28">
        <v>0.35599999999999998</v>
      </c>
      <c r="J37" s="2" t="s">
        <v>564</v>
      </c>
      <c r="K37">
        <v>160</v>
      </c>
      <c r="L37" s="28">
        <v>0.32</v>
      </c>
      <c r="V37">
        <v>24</v>
      </c>
      <c r="W37" t="str">
        <v>STEM</v>
      </c>
      <c r="X37">
        <v>2.1</v>
      </c>
      <c r="Y37">
        <v>2</v>
      </c>
      <c r="Z37">
        <v>6</v>
      </c>
      <c r="AA37">
        <v>7</v>
      </c>
      <c r="AB37">
        <v>16</v>
      </c>
      <c r="AC37">
        <v>16.7</v>
      </c>
      <c r="AD37">
        <v>80.900000000000006</v>
      </c>
      <c r="AE37">
        <v>4</v>
      </c>
      <c r="AF37" t="str">
        <v>No</v>
      </c>
      <c r="AG37" t="str">
        <v>Summer</v>
      </c>
      <c r="AH37" t="str">
        <v>Female</v>
      </c>
    </row>
    <row r="38" spans="2:34" x14ac:dyDescent="0.3">
      <c r="B38" s="2" t="s">
        <v>559</v>
      </c>
      <c r="C38">
        <v>60</v>
      </c>
      <c r="D38" s="28">
        <v>0.12</v>
      </c>
      <c r="F38" s="2" t="s">
        <v>559</v>
      </c>
      <c r="G38">
        <v>64</v>
      </c>
      <c r="H38" s="28">
        <v>0.128</v>
      </c>
      <c r="J38" s="2" t="s">
        <v>543</v>
      </c>
      <c r="K38">
        <v>500</v>
      </c>
      <c r="L38" s="28">
        <v>1</v>
      </c>
      <c r="V38">
        <v>21</v>
      </c>
      <c r="W38" t="str">
        <v>Humanities</v>
      </c>
      <c r="X38">
        <v>10.1</v>
      </c>
      <c r="Y38">
        <v>4</v>
      </c>
      <c r="Z38">
        <v>6</v>
      </c>
      <c r="AA38">
        <v>6</v>
      </c>
      <c r="AB38">
        <v>13</v>
      </c>
      <c r="AC38">
        <v>18.8</v>
      </c>
      <c r="AD38">
        <v>89.4</v>
      </c>
      <c r="AE38">
        <v>1</v>
      </c>
      <c r="AF38" t="str">
        <v>Yes</v>
      </c>
      <c r="AG38" t="str">
        <v>Summer</v>
      </c>
      <c r="AH38" t="str">
        <v>Female</v>
      </c>
    </row>
    <row r="39" spans="2:34" x14ac:dyDescent="0.3">
      <c r="B39" s="2" t="s">
        <v>560</v>
      </c>
      <c r="C39">
        <v>28</v>
      </c>
      <c r="D39" s="28">
        <v>5.6000000000000001E-2</v>
      </c>
      <c r="F39" s="2" t="s">
        <v>561</v>
      </c>
      <c r="G39">
        <v>20</v>
      </c>
      <c r="H39" s="28">
        <v>0.04</v>
      </c>
      <c r="V39">
        <v>20</v>
      </c>
      <c r="W39" t="str">
        <v>Law</v>
      </c>
      <c r="X39">
        <v>11.2</v>
      </c>
      <c r="Y39">
        <v>4</v>
      </c>
      <c r="Z39">
        <v>6</v>
      </c>
      <c r="AA39">
        <v>5</v>
      </c>
      <c r="AB39">
        <v>12</v>
      </c>
      <c r="AC39">
        <v>24.3</v>
      </c>
      <c r="AD39">
        <v>74.099999999999994</v>
      </c>
      <c r="AE39">
        <v>4</v>
      </c>
      <c r="AF39" t="str">
        <v>No</v>
      </c>
      <c r="AG39" t="str">
        <v>Spring</v>
      </c>
      <c r="AH39" t="str">
        <v>Male</v>
      </c>
    </row>
    <row r="40" spans="2:34" x14ac:dyDescent="0.3">
      <c r="B40" s="2" t="s">
        <v>561</v>
      </c>
      <c r="C40">
        <v>14</v>
      </c>
      <c r="D40" s="28">
        <v>2.8000000000000001E-2</v>
      </c>
      <c r="F40" s="2" t="s">
        <v>543</v>
      </c>
      <c r="G40">
        <v>500</v>
      </c>
      <c r="H40" s="28">
        <v>1</v>
      </c>
      <c r="V40">
        <v>20</v>
      </c>
      <c r="W40" t="str">
        <v>STEM</v>
      </c>
      <c r="X40">
        <v>5.2</v>
      </c>
      <c r="Y40">
        <v>3</v>
      </c>
      <c r="Z40">
        <v>8</v>
      </c>
      <c r="AA40">
        <v>7</v>
      </c>
      <c r="AB40">
        <v>12</v>
      </c>
      <c r="AC40">
        <v>15.6</v>
      </c>
      <c r="AD40">
        <v>66.7</v>
      </c>
      <c r="AE40">
        <v>2</v>
      </c>
      <c r="AF40" t="str">
        <v>No</v>
      </c>
      <c r="AG40" t="str">
        <v>Fall</v>
      </c>
      <c r="AH40" t="str">
        <v>Female</v>
      </c>
    </row>
    <row r="41" spans="2:34" x14ac:dyDescent="0.3">
      <c r="B41" s="2" t="s">
        <v>543</v>
      </c>
      <c r="C41">
        <v>500</v>
      </c>
      <c r="D41" s="28">
        <v>1</v>
      </c>
      <c r="V41">
        <v>23</v>
      </c>
      <c r="W41" t="str">
        <v>STEM</v>
      </c>
      <c r="X41">
        <v>1.9</v>
      </c>
      <c r="Y41">
        <v>2</v>
      </c>
      <c r="Z41">
        <v>4</v>
      </c>
      <c r="AA41">
        <v>6</v>
      </c>
      <c r="AB41">
        <v>12</v>
      </c>
      <c r="AC41">
        <v>25.9</v>
      </c>
      <c r="AD41">
        <v>83.4</v>
      </c>
      <c r="AE41">
        <v>0</v>
      </c>
      <c r="AF41" t="str">
        <v>Yes</v>
      </c>
      <c r="AG41" t="str">
        <v>Fall</v>
      </c>
      <c r="AH41" t="str">
        <v>Female</v>
      </c>
    </row>
    <row r="42" spans="2:34" x14ac:dyDescent="0.3">
      <c r="B42" s="2"/>
      <c r="D42" s="28"/>
      <c r="V42">
        <v>23</v>
      </c>
      <c r="W42" t="str">
        <v>Humanities</v>
      </c>
      <c r="X42">
        <v>4.8</v>
      </c>
      <c r="Y42">
        <v>4</v>
      </c>
      <c r="Z42">
        <v>9</v>
      </c>
      <c r="AA42">
        <v>7</v>
      </c>
      <c r="AB42">
        <v>14</v>
      </c>
      <c r="AC42">
        <v>29</v>
      </c>
      <c r="AD42">
        <v>88.2</v>
      </c>
      <c r="AE42">
        <v>3</v>
      </c>
      <c r="AF42" t="str">
        <v>Yes</v>
      </c>
      <c r="AG42" t="str">
        <v>Summer</v>
      </c>
      <c r="AH42" t="str">
        <v>Female</v>
      </c>
    </row>
    <row r="43" spans="2:34" x14ac:dyDescent="0.3">
      <c r="B43" s="2"/>
      <c r="D43" s="28"/>
      <c r="V43">
        <v>23</v>
      </c>
      <c r="W43" t="str">
        <v>Health Sciences</v>
      </c>
      <c r="X43">
        <v>2.2999999999999998</v>
      </c>
      <c r="Y43">
        <v>4</v>
      </c>
      <c r="Z43">
        <v>5</v>
      </c>
      <c r="AA43">
        <v>5</v>
      </c>
      <c r="AB43">
        <v>9</v>
      </c>
      <c r="AC43">
        <v>22.8</v>
      </c>
      <c r="AD43">
        <v>45.7</v>
      </c>
      <c r="AE43">
        <v>4</v>
      </c>
      <c r="AF43" t="str">
        <v>No</v>
      </c>
      <c r="AG43" t="str">
        <v>Fall</v>
      </c>
      <c r="AH43" t="str">
        <v>Male</v>
      </c>
    </row>
    <row r="44" spans="2:34" x14ac:dyDescent="0.3">
      <c r="B44" s="2"/>
      <c r="D44" s="28"/>
      <c r="V44">
        <v>20</v>
      </c>
      <c r="W44" t="str">
        <v>STEM</v>
      </c>
      <c r="X44">
        <v>2.8</v>
      </c>
      <c r="Y44">
        <v>4</v>
      </c>
      <c r="Z44">
        <v>3</v>
      </c>
      <c r="AA44">
        <v>4</v>
      </c>
      <c r="AB44">
        <v>11</v>
      </c>
      <c r="AC44">
        <v>23.6</v>
      </c>
      <c r="AD44">
        <v>100</v>
      </c>
      <c r="AE44">
        <v>1</v>
      </c>
      <c r="AF44" t="str">
        <v>No</v>
      </c>
      <c r="AG44" t="str">
        <v>Spring</v>
      </c>
      <c r="AH44" t="str">
        <v>Female</v>
      </c>
    </row>
    <row r="45" spans="2:34" x14ac:dyDescent="0.3">
      <c r="B45" s="27" t="s">
        <v>839</v>
      </c>
      <c r="C45" s="18"/>
      <c r="D45" s="18"/>
      <c r="E45" s="18"/>
      <c r="F45" s="18"/>
      <c r="G45" s="18"/>
      <c r="H45" s="18"/>
      <c r="I45" s="18"/>
      <c r="J45" s="18"/>
      <c r="K45" s="18"/>
      <c r="L45" s="18"/>
      <c r="M45" s="18"/>
      <c r="N45" s="18"/>
      <c r="O45" s="18"/>
      <c r="P45" s="18"/>
      <c r="V45">
        <v>22</v>
      </c>
      <c r="W45" t="str">
        <v>Business</v>
      </c>
      <c r="X45">
        <v>2.1</v>
      </c>
      <c r="Y45">
        <v>7</v>
      </c>
      <c r="Z45">
        <v>0</v>
      </c>
      <c r="AA45">
        <v>4</v>
      </c>
      <c r="AB45">
        <v>6</v>
      </c>
      <c r="AC45">
        <v>19.600000000000001</v>
      </c>
      <c r="AD45">
        <v>90.9</v>
      </c>
      <c r="AE45">
        <v>3</v>
      </c>
      <c r="AF45" t="str">
        <v>No</v>
      </c>
      <c r="AG45" t="str">
        <v>Fall</v>
      </c>
      <c r="AH45" t="str">
        <v>Female</v>
      </c>
    </row>
    <row r="46" spans="2:34" x14ac:dyDescent="0.3">
      <c r="B46" s="27" t="s">
        <v>588</v>
      </c>
      <c r="F46" s="27" t="s">
        <v>589</v>
      </c>
      <c r="J46" s="27" t="s">
        <v>590</v>
      </c>
      <c r="N46" s="27" t="s">
        <v>642</v>
      </c>
      <c r="V46">
        <v>22</v>
      </c>
      <c r="W46" t="str">
        <v>Social Sciences</v>
      </c>
      <c r="X46">
        <v>5.8</v>
      </c>
      <c r="Y46">
        <v>3</v>
      </c>
      <c r="Z46">
        <v>4</v>
      </c>
      <c r="AA46">
        <v>4</v>
      </c>
      <c r="AB46">
        <v>7</v>
      </c>
      <c r="AC46">
        <v>6.9</v>
      </c>
      <c r="AD46">
        <v>82</v>
      </c>
      <c r="AE46">
        <v>2</v>
      </c>
      <c r="AF46" t="str">
        <v>Yes</v>
      </c>
      <c r="AG46" t="str">
        <v>Fall</v>
      </c>
      <c r="AH46" t="str">
        <v>Female</v>
      </c>
    </row>
    <row r="47" spans="2:34" x14ac:dyDescent="0.3">
      <c r="B47" s="1" t="s">
        <v>542</v>
      </c>
      <c r="C47" t="s">
        <v>544</v>
      </c>
      <c r="D47" t="s">
        <v>585</v>
      </c>
      <c r="F47" s="1" t="s">
        <v>542</v>
      </c>
      <c r="G47" t="s">
        <v>544</v>
      </c>
      <c r="H47" t="s">
        <v>585</v>
      </c>
      <c r="J47" s="1" t="s">
        <v>542</v>
      </c>
      <c r="K47" t="s">
        <v>544</v>
      </c>
      <c r="L47" t="s">
        <v>585</v>
      </c>
      <c r="N47" s="1" t="s">
        <v>542</v>
      </c>
      <c r="O47" t="s">
        <v>593</v>
      </c>
      <c r="V47">
        <v>22</v>
      </c>
      <c r="W47" t="str">
        <v>Business</v>
      </c>
      <c r="X47">
        <v>2.6</v>
      </c>
      <c r="Y47">
        <v>4</v>
      </c>
      <c r="Z47">
        <v>4</v>
      </c>
      <c r="AA47">
        <v>8</v>
      </c>
      <c r="AB47">
        <v>13</v>
      </c>
      <c r="AC47">
        <v>19.8</v>
      </c>
      <c r="AD47">
        <v>75.599999999999994</v>
      </c>
      <c r="AE47">
        <v>4</v>
      </c>
      <c r="AF47" t="str">
        <v>No</v>
      </c>
      <c r="AG47" t="str">
        <v>Spring</v>
      </c>
      <c r="AH47" t="str">
        <v>Male</v>
      </c>
    </row>
    <row r="48" spans="2:34" x14ac:dyDescent="0.3">
      <c r="B48" s="2" t="s">
        <v>20</v>
      </c>
      <c r="C48">
        <v>231</v>
      </c>
      <c r="D48" s="28">
        <v>0.46200000000000002</v>
      </c>
      <c r="F48" s="2" t="s">
        <v>35</v>
      </c>
      <c r="G48">
        <v>36</v>
      </c>
      <c r="H48" s="28">
        <v>7.1999999999999995E-2</v>
      </c>
      <c r="J48" s="2">
        <v>1</v>
      </c>
      <c r="K48">
        <v>118</v>
      </c>
      <c r="L48" s="28">
        <v>0.23599999999999999</v>
      </c>
      <c r="N48" s="2" t="s">
        <v>35</v>
      </c>
      <c r="O48" s="3">
        <v>3.2222222222222223</v>
      </c>
      <c r="V48">
        <v>23</v>
      </c>
      <c r="W48" t="str">
        <v>STEM</v>
      </c>
      <c r="X48">
        <v>1.3</v>
      </c>
      <c r="Y48">
        <v>5</v>
      </c>
      <c r="Z48">
        <v>1</v>
      </c>
      <c r="AA48">
        <v>2</v>
      </c>
      <c r="AB48">
        <v>6</v>
      </c>
      <c r="AC48">
        <v>16.100000000000001</v>
      </c>
      <c r="AD48">
        <v>53.2</v>
      </c>
      <c r="AE48">
        <v>2</v>
      </c>
      <c r="AF48" t="str">
        <v>Yes</v>
      </c>
      <c r="AG48" t="str">
        <v>Summer</v>
      </c>
      <c r="AH48" t="str">
        <v>Female</v>
      </c>
    </row>
    <row r="49" spans="2:34" x14ac:dyDescent="0.3">
      <c r="B49" s="2" t="s">
        <v>27</v>
      </c>
      <c r="C49">
        <v>237</v>
      </c>
      <c r="D49" s="28">
        <v>0.47399999999999998</v>
      </c>
      <c r="F49" s="2" t="s">
        <v>21</v>
      </c>
      <c r="G49">
        <v>102</v>
      </c>
      <c r="H49" s="28">
        <v>0.20399999999999999</v>
      </c>
      <c r="J49" s="2">
        <v>2</v>
      </c>
      <c r="K49">
        <v>124</v>
      </c>
      <c r="L49" s="28">
        <v>0.248</v>
      </c>
      <c r="N49" s="2" t="s">
        <v>21</v>
      </c>
      <c r="O49" s="3">
        <v>3.0520833333333335</v>
      </c>
      <c r="V49">
        <v>22</v>
      </c>
      <c r="W49" t="str">
        <v>STEM</v>
      </c>
      <c r="X49">
        <v>4.7</v>
      </c>
      <c r="Y49">
        <v>1</v>
      </c>
      <c r="Z49">
        <v>3</v>
      </c>
      <c r="AA49">
        <v>3</v>
      </c>
      <c r="AB49">
        <v>10</v>
      </c>
      <c r="AC49">
        <v>14</v>
      </c>
      <c r="AD49">
        <v>91.8</v>
      </c>
      <c r="AE49">
        <v>1</v>
      </c>
      <c r="AF49" t="str">
        <v>Yes</v>
      </c>
      <c r="AG49" t="str">
        <v>Spring</v>
      </c>
      <c r="AH49" t="str">
        <v>Male</v>
      </c>
    </row>
    <row r="50" spans="2:34" x14ac:dyDescent="0.3">
      <c r="B50" s="2" t="s">
        <v>61</v>
      </c>
      <c r="C50">
        <v>16</v>
      </c>
      <c r="D50" s="28">
        <v>3.2000000000000001E-2</v>
      </c>
      <c r="F50" s="2" t="s">
        <v>47</v>
      </c>
      <c r="G50">
        <v>55</v>
      </c>
      <c r="H50" s="28">
        <v>0.11</v>
      </c>
      <c r="J50" s="2">
        <v>3</v>
      </c>
      <c r="K50">
        <v>111</v>
      </c>
      <c r="L50" s="28">
        <v>0.222</v>
      </c>
      <c r="N50" s="2" t="s">
        <v>47</v>
      </c>
      <c r="O50" s="3">
        <v>3.1111111111111112</v>
      </c>
      <c r="V50">
        <v>23</v>
      </c>
      <c r="W50" t="str">
        <v>Business</v>
      </c>
      <c r="X50">
        <v>3.6</v>
      </c>
      <c r="Y50">
        <v>0</v>
      </c>
      <c r="Z50">
        <v>3</v>
      </c>
      <c r="AA50">
        <v>4</v>
      </c>
      <c r="AB50">
        <v>7</v>
      </c>
      <c r="AC50">
        <v>31.5</v>
      </c>
      <c r="AD50">
        <v>79.400000000000006</v>
      </c>
      <c r="AE50">
        <v>4</v>
      </c>
      <c r="AF50" t="str">
        <v>No</v>
      </c>
      <c r="AG50" t="str">
        <v>Spring</v>
      </c>
      <c r="AH50" t="str">
        <v>Male</v>
      </c>
    </row>
    <row r="51" spans="2:34" x14ac:dyDescent="0.3">
      <c r="B51" s="2" t="s">
        <v>29</v>
      </c>
      <c r="C51">
        <v>16</v>
      </c>
      <c r="D51" s="28">
        <v>3.2000000000000001E-2</v>
      </c>
      <c r="F51" s="2" t="s">
        <v>32</v>
      </c>
      <c r="G51">
        <v>53</v>
      </c>
      <c r="H51" s="28">
        <v>0.106</v>
      </c>
      <c r="J51" s="2">
        <v>4</v>
      </c>
      <c r="K51">
        <v>103</v>
      </c>
      <c r="L51" s="28">
        <v>0.20599999999999999</v>
      </c>
      <c r="N51" s="2" t="s">
        <v>32</v>
      </c>
      <c r="O51" s="3">
        <v>3.375</v>
      </c>
      <c r="V51">
        <v>22</v>
      </c>
      <c r="W51" t="str">
        <v>Business</v>
      </c>
      <c r="X51">
        <v>2.7</v>
      </c>
      <c r="Y51">
        <v>2</v>
      </c>
      <c r="Z51">
        <v>6</v>
      </c>
      <c r="AA51">
        <v>3</v>
      </c>
      <c r="AB51">
        <v>7</v>
      </c>
      <c r="AC51">
        <v>13.5</v>
      </c>
      <c r="AD51">
        <v>89.8</v>
      </c>
      <c r="AE51">
        <v>1</v>
      </c>
      <c r="AF51" t="str">
        <v>No</v>
      </c>
      <c r="AG51" t="str">
        <v>Spring</v>
      </c>
      <c r="AH51" t="str">
        <v>Female</v>
      </c>
    </row>
    <row r="52" spans="2:34" x14ac:dyDescent="0.3">
      <c r="B52" s="2" t="s">
        <v>543</v>
      </c>
      <c r="C52">
        <v>500</v>
      </c>
      <c r="D52" s="28">
        <v>1</v>
      </c>
      <c r="F52" s="2" t="s">
        <v>63</v>
      </c>
      <c r="G52">
        <v>24</v>
      </c>
      <c r="H52" s="28">
        <v>4.8000000000000001E-2</v>
      </c>
      <c r="J52" s="2">
        <v>5</v>
      </c>
      <c r="K52">
        <v>44</v>
      </c>
      <c r="L52" s="28">
        <v>8.7999999999999995E-2</v>
      </c>
      <c r="N52" s="2" t="s">
        <v>63</v>
      </c>
      <c r="O52" s="3">
        <v>3.3913043478260869</v>
      </c>
      <c r="V52">
        <v>22</v>
      </c>
      <c r="W52" t="str">
        <v>Health Sciences</v>
      </c>
      <c r="X52">
        <v>10.1</v>
      </c>
      <c r="Y52">
        <v>5</v>
      </c>
      <c r="Z52">
        <v>4</v>
      </c>
      <c r="AA52">
        <v>3</v>
      </c>
      <c r="AB52">
        <v>14</v>
      </c>
      <c r="AC52">
        <v>18.100000000000001</v>
      </c>
      <c r="AD52">
        <v>76.900000000000006</v>
      </c>
      <c r="AE52">
        <v>2</v>
      </c>
      <c r="AF52" t="str">
        <v>No</v>
      </c>
      <c r="AG52" t="str">
        <v>Summer</v>
      </c>
      <c r="AH52" t="str">
        <v>Female</v>
      </c>
    </row>
    <row r="53" spans="2:34" x14ac:dyDescent="0.3">
      <c r="F53" s="2" t="s">
        <v>49</v>
      </c>
      <c r="G53">
        <v>70</v>
      </c>
      <c r="H53" s="28">
        <v>0.14000000000000001</v>
      </c>
      <c r="J53" s="2" t="s">
        <v>543</v>
      </c>
      <c r="K53">
        <v>500</v>
      </c>
      <c r="L53" s="28">
        <v>1</v>
      </c>
      <c r="N53" s="2" t="s">
        <v>49</v>
      </c>
      <c r="O53" s="3">
        <v>3.2205882352941178</v>
      </c>
      <c r="V53">
        <v>23</v>
      </c>
      <c r="W53" t="str">
        <v>Social Sciences</v>
      </c>
      <c r="X53">
        <v>5.9</v>
      </c>
      <c r="Y53">
        <v>2</v>
      </c>
      <c r="Z53">
        <v>4</v>
      </c>
      <c r="AA53">
        <v>4</v>
      </c>
      <c r="AB53">
        <v>14</v>
      </c>
      <c r="AC53">
        <v>23.7</v>
      </c>
      <c r="AD53">
        <v>77.599999999999994</v>
      </c>
      <c r="AE53">
        <v>0</v>
      </c>
      <c r="AF53" t="str">
        <v>No</v>
      </c>
      <c r="AG53" t="str">
        <v>Spring</v>
      </c>
      <c r="AH53" t="str">
        <v>Male</v>
      </c>
    </row>
    <row r="54" spans="2:34" x14ac:dyDescent="0.3">
      <c r="F54" s="2" t="s">
        <v>30</v>
      </c>
      <c r="G54">
        <v>160</v>
      </c>
      <c r="H54" s="28">
        <v>0.32</v>
      </c>
      <c r="N54" s="2" t="s">
        <v>30</v>
      </c>
      <c r="O54" s="3">
        <v>3.1788079470198674</v>
      </c>
      <c r="V54">
        <v>18</v>
      </c>
      <c r="W54" t="str">
        <v>Social Sciences</v>
      </c>
      <c r="X54">
        <v>5.5</v>
      </c>
      <c r="Y54">
        <v>4</v>
      </c>
      <c r="Z54">
        <v>4</v>
      </c>
      <c r="AA54">
        <v>7</v>
      </c>
      <c r="AB54">
        <v>13</v>
      </c>
      <c r="AC54">
        <v>11.9</v>
      </c>
      <c r="AD54">
        <v>69.5</v>
      </c>
      <c r="AE54">
        <v>4</v>
      </c>
      <c r="AF54" t="str">
        <v>No</v>
      </c>
      <c r="AG54" t="str">
        <v>Spring</v>
      </c>
      <c r="AH54" t="str">
        <v>Female</v>
      </c>
    </row>
    <row r="55" spans="2:34" x14ac:dyDescent="0.3">
      <c r="F55" s="2" t="s">
        <v>543</v>
      </c>
      <c r="G55">
        <v>500</v>
      </c>
      <c r="H55" s="28">
        <v>1</v>
      </c>
      <c r="N55" s="2" t="s">
        <v>543</v>
      </c>
      <c r="O55" s="3">
        <v>3.1848739495798317</v>
      </c>
      <c r="V55">
        <v>21</v>
      </c>
      <c r="W55" t="str">
        <v>Law</v>
      </c>
      <c r="X55">
        <v>6</v>
      </c>
      <c r="Y55">
        <v>0</v>
      </c>
      <c r="Z55">
        <v>3</v>
      </c>
      <c r="AA55">
        <v>4</v>
      </c>
      <c r="AB55">
        <v>8</v>
      </c>
      <c r="AC55">
        <v>16.399999999999999</v>
      </c>
      <c r="AD55">
        <v>96.9</v>
      </c>
      <c r="AE55">
        <v>5</v>
      </c>
      <c r="AF55" t="str">
        <v>Yes</v>
      </c>
      <c r="AG55" t="str">
        <v>Spring</v>
      </c>
      <c r="AH55" t="str">
        <v>Male</v>
      </c>
    </row>
    <row r="56" spans="2:34" x14ac:dyDescent="0.3">
      <c r="V56">
        <v>21</v>
      </c>
      <c r="W56" t="str">
        <v>Business</v>
      </c>
      <c r="X56">
        <v>5.8</v>
      </c>
      <c r="Y56">
        <v>2</v>
      </c>
      <c r="Z56">
        <v>6</v>
      </c>
      <c r="AA56">
        <v>5</v>
      </c>
      <c r="AB56">
        <v>10</v>
      </c>
      <c r="AC56">
        <v>25.6</v>
      </c>
      <c r="AD56">
        <v>68.400000000000006</v>
      </c>
      <c r="AE56">
        <v>3</v>
      </c>
      <c r="AF56" t="str">
        <v>Yes</v>
      </c>
      <c r="AG56" t="str">
        <v>Fall</v>
      </c>
      <c r="AH56" t="str">
        <v>Male</v>
      </c>
    </row>
    <row r="57" spans="2:34" x14ac:dyDescent="0.3">
      <c r="V57">
        <v>20</v>
      </c>
      <c r="W57" t="str">
        <v>Business</v>
      </c>
      <c r="X57">
        <v>3.7</v>
      </c>
      <c r="Y57">
        <v>3</v>
      </c>
      <c r="Z57">
        <v>12</v>
      </c>
      <c r="AA57">
        <v>12</v>
      </c>
      <c r="AB57">
        <v>22</v>
      </c>
      <c r="AC57">
        <v>13.7</v>
      </c>
      <c r="AD57">
        <v>100</v>
      </c>
      <c r="AE57">
        <v>3</v>
      </c>
      <c r="AF57" t="str">
        <v>No</v>
      </c>
      <c r="AG57" t="str">
        <v>Fall</v>
      </c>
      <c r="AH57" t="str">
        <v>Non-binary</v>
      </c>
    </row>
    <row r="58" spans="2:34" x14ac:dyDescent="0.3">
      <c r="B58" s="27" t="s">
        <v>591</v>
      </c>
      <c r="F58" s="27" t="s">
        <v>592</v>
      </c>
      <c r="J58" s="1" t="s">
        <v>542</v>
      </c>
      <c r="K58" t="s">
        <v>694</v>
      </c>
      <c r="L58" t="s">
        <v>544</v>
      </c>
      <c r="V58">
        <v>21</v>
      </c>
      <c r="W58" t="str">
        <v>Arts</v>
      </c>
      <c r="X58">
        <v>2.6</v>
      </c>
      <c r="Y58">
        <v>1</v>
      </c>
      <c r="Z58">
        <v>20</v>
      </c>
      <c r="AA58">
        <v>18</v>
      </c>
      <c r="AB58">
        <v>25</v>
      </c>
      <c r="AC58">
        <v>1.3</v>
      </c>
      <c r="AD58">
        <v>100</v>
      </c>
      <c r="AE58">
        <v>4</v>
      </c>
      <c r="AF58" t="str">
        <v>No</v>
      </c>
      <c r="AG58" t="str">
        <v>Summer</v>
      </c>
      <c r="AH58" t="str">
        <v>Female</v>
      </c>
    </row>
    <row r="59" spans="2:34" x14ac:dyDescent="0.3">
      <c r="B59" s="1" t="s">
        <v>542</v>
      </c>
      <c r="C59" t="s">
        <v>544</v>
      </c>
      <c r="D59" t="s">
        <v>585</v>
      </c>
      <c r="F59" s="1" t="s">
        <v>542</v>
      </c>
      <c r="G59" t="s">
        <v>544</v>
      </c>
      <c r="H59" t="s">
        <v>585</v>
      </c>
      <c r="J59" s="2" t="s">
        <v>607</v>
      </c>
      <c r="K59">
        <v>1</v>
      </c>
      <c r="L59">
        <v>12</v>
      </c>
      <c r="V59">
        <v>25</v>
      </c>
      <c r="W59" t="str">
        <v>STEM</v>
      </c>
      <c r="X59">
        <v>4.8</v>
      </c>
      <c r="Y59">
        <v>5</v>
      </c>
      <c r="Z59">
        <v>10</v>
      </c>
      <c r="AA59">
        <v>11</v>
      </c>
      <c r="AB59">
        <v>15</v>
      </c>
      <c r="AC59">
        <v>25</v>
      </c>
      <c r="AD59">
        <v>100</v>
      </c>
      <c r="AE59">
        <v>2</v>
      </c>
      <c r="AF59" t="str">
        <v>Yes</v>
      </c>
      <c r="AG59" t="str">
        <v>Spring</v>
      </c>
      <c r="AH59" t="str">
        <v>Prefer not to say</v>
      </c>
    </row>
    <row r="60" spans="2:34" x14ac:dyDescent="0.3">
      <c r="B60" s="2" t="s">
        <v>22</v>
      </c>
      <c r="C60">
        <v>308</v>
      </c>
      <c r="D60" s="28">
        <v>0.61599999999999999</v>
      </c>
      <c r="F60" s="2" t="s">
        <v>26</v>
      </c>
      <c r="G60">
        <v>182</v>
      </c>
      <c r="H60" s="28">
        <v>0.36399999999999999</v>
      </c>
      <c r="J60" s="2" t="s">
        <v>543</v>
      </c>
      <c r="K60">
        <v>1</v>
      </c>
      <c r="L60">
        <v>12</v>
      </c>
      <c r="V60">
        <v>20</v>
      </c>
      <c r="W60" t="str">
        <v>Social Sciences</v>
      </c>
      <c r="X60">
        <v>3.7</v>
      </c>
      <c r="Y60">
        <v>1</v>
      </c>
      <c r="Z60">
        <v>2</v>
      </c>
      <c r="AA60">
        <v>2</v>
      </c>
      <c r="AB60">
        <v>13</v>
      </c>
      <c r="AC60">
        <v>12.4</v>
      </c>
      <c r="AD60">
        <v>100</v>
      </c>
      <c r="AE60">
        <v>4</v>
      </c>
      <c r="AF60" t="str">
        <v>Yes</v>
      </c>
      <c r="AG60" t="str">
        <v>Fall</v>
      </c>
      <c r="AH60" t="str">
        <v>Female</v>
      </c>
    </row>
    <row r="61" spans="2:34" x14ac:dyDescent="0.3">
      <c r="B61" s="2" t="s">
        <v>33</v>
      </c>
      <c r="C61">
        <v>192</v>
      </c>
      <c r="D61" s="28">
        <v>0.38400000000000001</v>
      </c>
      <c r="F61" s="2" t="s">
        <v>23</v>
      </c>
      <c r="G61">
        <v>224</v>
      </c>
      <c r="H61" s="28">
        <v>0.44800000000000001</v>
      </c>
      <c r="J61" t="s">
        <v>838</v>
      </c>
      <c r="V61">
        <v>24</v>
      </c>
      <c r="W61" t="str">
        <v>Social Sciences</v>
      </c>
      <c r="X61">
        <v>1</v>
      </c>
      <c r="Y61">
        <v>5</v>
      </c>
      <c r="Z61">
        <v>8</v>
      </c>
      <c r="AA61">
        <v>6</v>
      </c>
      <c r="AB61">
        <v>13</v>
      </c>
      <c r="AC61">
        <v>28.4</v>
      </c>
      <c r="AD61">
        <v>75.8</v>
      </c>
      <c r="AE61">
        <v>2</v>
      </c>
      <c r="AF61" t="str">
        <v>Yes</v>
      </c>
      <c r="AG61" t="str">
        <v>Fall</v>
      </c>
      <c r="AH61" t="str">
        <v>Female</v>
      </c>
    </row>
    <row r="62" spans="2:34" x14ac:dyDescent="0.3">
      <c r="B62" s="2" t="s">
        <v>543</v>
      </c>
      <c r="C62">
        <v>500</v>
      </c>
      <c r="D62" s="28">
        <v>1</v>
      </c>
      <c r="F62" s="2" t="s">
        <v>51</v>
      </c>
      <c r="G62">
        <v>94</v>
      </c>
      <c r="H62" s="28">
        <v>0.188</v>
      </c>
      <c r="V62">
        <v>18</v>
      </c>
      <c r="W62" t="str">
        <v>STEM</v>
      </c>
      <c r="X62">
        <v>1.9</v>
      </c>
      <c r="Y62">
        <v>1</v>
      </c>
      <c r="Z62">
        <v>27</v>
      </c>
      <c r="AA62">
        <v>21</v>
      </c>
      <c r="AB62">
        <v>38</v>
      </c>
      <c r="AC62">
        <v>12.9</v>
      </c>
      <c r="AD62">
        <v>85.4</v>
      </c>
      <c r="AE62">
        <v>5</v>
      </c>
      <c r="AF62" t="str">
        <v>Yes</v>
      </c>
      <c r="AG62" t="str">
        <v>Summer</v>
      </c>
      <c r="AH62" t="str">
        <v>Male</v>
      </c>
    </row>
    <row r="63" spans="2:34" x14ac:dyDescent="0.3">
      <c r="F63" s="2" t="s">
        <v>543</v>
      </c>
      <c r="G63">
        <v>500</v>
      </c>
      <c r="H63" s="28">
        <v>1</v>
      </c>
      <c r="V63">
        <v>21</v>
      </c>
      <c r="W63" t="str">
        <v>Business</v>
      </c>
      <c r="X63">
        <v>3.3</v>
      </c>
      <c r="Y63">
        <v>7</v>
      </c>
      <c r="Z63">
        <v>2</v>
      </c>
      <c r="AA63">
        <v>4</v>
      </c>
      <c r="AB63">
        <v>4</v>
      </c>
      <c r="AC63">
        <v>25.8</v>
      </c>
      <c r="AD63">
        <v>84</v>
      </c>
      <c r="AE63">
        <v>4</v>
      </c>
      <c r="AF63" t="str">
        <v>No</v>
      </c>
      <c r="AG63" t="str">
        <v>Spring</v>
      </c>
      <c r="AH63" t="str">
        <v>Female</v>
      </c>
    </row>
    <row r="64" spans="2:34" x14ac:dyDescent="0.3">
      <c r="F64" s="2"/>
      <c r="H64" s="28"/>
      <c r="V64">
        <v>22</v>
      </c>
      <c r="W64" t="str">
        <v>STEM</v>
      </c>
      <c r="X64">
        <v>7.8</v>
      </c>
      <c r="Y64">
        <v>3</v>
      </c>
      <c r="Z64">
        <v>17</v>
      </c>
      <c r="AA64">
        <v>13</v>
      </c>
      <c r="AB64">
        <v>24</v>
      </c>
      <c r="AC64">
        <v>31.8</v>
      </c>
      <c r="AD64">
        <v>56.2</v>
      </c>
      <c r="AE64">
        <v>3</v>
      </c>
      <c r="AF64" t="str">
        <v>Yes</v>
      </c>
      <c r="AG64" t="str">
        <v>Spring</v>
      </c>
      <c r="AH64" t="str">
        <v>Male</v>
      </c>
    </row>
    <row r="65" spans="2:34" x14ac:dyDescent="0.3">
      <c r="V65">
        <v>23</v>
      </c>
      <c r="W65" t="str">
        <v>STEM</v>
      </c>
      <c r="X65">
        <v>4.8</v>
      </c>
      <c r="Y65">
        <v>0</v>
      </c>
      <c r="Z65">
        <v>4</v>
      </c>
      <c r="AA65">
        <v>6</v>
      </c>
      <c r="AB65">
        <v>16</v>
      </c>
      <c r="AC65">
        <v>12.6</v>
      </c>
      <c r="AD65">
        <v>96.8</v>
      </c>
      <c r="AE65">
        <v>3</v>
      </c>
      <c r="AF65" t="str">
        <v>No</v>
      </c>
      <c r="AG65" t="str">
        <v>Fall</v>
      </c>
      <c r="AH65" t="str">
        <v>Female</v>
      </c>
    </row>
    <row r="66" spans="2:34" x14ac:dyDescent="0.3">
      <c r="B66" s="18"/>
      <c r="C66" s="18"/>
      <c r="D66" s="18"/>
      <c r="E66" s="18"/>
      <c r="F66" s="18"/>
      <c r="G66" s="18"/>
      <c r="H66" s="18"/>
      <c r="I66" s="18"/>
      <c r="J66" s="18"/>
      <c r="K66" s="18"/>
      <c r="L66" s="18"/>
      <c r="M66" s="18"/>
      <c r="N66" s="18"/>
      <c r="O66" s="18"/>
      <c r="P66" s="18"/>
      <c r="V66">
        <v>23</v>
      </c>
      <c r="W66" t="str">
        <v>Business</v>
      </c>
      <c r="X66">
        <v>2.2999999999999998</v>
      </c>
      <c r="Y66">
        <v>0</v>
      </c>
      <c r="Z66">
        <v>2</v>
      </c>
      <c r="AA66">
        <v>5</v>
      </c>
      <c r="AB66">
        <v>8</v>
      </c>
      <c r="AC66">
        <v>14.4</v>
      </c>
      <c r="AD66">
        <v>100</v>
      </c>
      <c r="AE66">
        <v>2</v>
      </c>
      <c r="AF66" t="str">
        <v>No</v>
      </c>
      <c r="AG66" t="str">
        <v>Summer</v>
      </c>
      <c r="AH66" t="str">
        <v>Male</v>
      </c>
    </row>
    <row r="67" spans="2:34" x14ac:dyDescent="0.3">
      <c r="B67" s="27" t="s">
        <v>595</v>
      </c>
      <c r="C67" s="27"/>
      <c r="M67" s="27" t="s">
        <v>591</v>
      </c>
      <c r="V67">
        <v>23</v>
      </c>
      <c r="W67" t="str">
        <v>STEM</v>
      </c>
      <c r="X67">
        <v>1.8</v>
      </c>
      <c r="Y67">
        <v>0</v>
      </c>
      <c r="Z67">
        <v>2</v>
      </c>
      <c r="AA67">
        <v>2</v>
      </c>
      <c r="AB67">
        <v>6</v>
      </c>
      <c r="AC67">
        <v>24.9</v>
      </c>
      <c r="AD67">
        <v>83.3</v>
      </c>
      <c r="AE67">
        <v>3</v>
      </c>
      <c r="AF67" t="str">
        <v>No</v>
      </c>
      <c r="AG67" t="str">
        <v>Summer</v>
      </c>
      <c r="AH67" t="str">
        <v>Female</v>
      </c>
    </row>
    <row r="68" spans="2:34" x14ac:dyDescent="0.3">
      <c r="B68" s="1" t="s">
        <v>542</v>
      </c>
      <c r="C68" t="s">
        <v>596</v>
      </c>
      <c r="D68" t="s">
        <v>597</v>
      </c>
      <c r="E68" t="s">
        <v>598</v>
      </c>
      <c r="F68" t="s">
        <v>599</v>
      </c>
      <c r="G68" t="s">
        <v>600</v>
      </c>
      <c r="H68" t="s">
        <v>601</v>
      </c>
      <c r="I68" t="s">
        <v>602</v>
      </c>
      <c r="J68" t="s">
        <v>603</v>
      </c>
      <c r="K68" t="s">
        <v>604</v>
      </c>
      <c r="M68" s="1" t="s">
        <v>542</v>
      </c>
      <c r="N68" t="s">
        <v>594</v>
      </c>
      <c r="V68">
        <v>21</v>
      </c>
      <c r="W68" t="str">
        <v>Health Sciences</v>
      </c>
      <c r="X68">
        <v>8.8000000000000007</v>
      </c>
      <c r="Y68">
        <v>3</v>
      </c>
      <c r="Z68">
        <v>2</v>
      </c>
      <c r="AA68">
        <v>4</v>
      </c>
      <c r="AB68">
        <v>4</v>
      </c>
      <c r="AC68">
        <v>13.4</v>
      </c>
      <c r="AD68">
        <v>61.8</v>
      </c>
      <c r="AE68">
        <v>4</v>
      </c>
      <c r="AF68" t="str">
        <v>No</v>
      </c>
      <c r="AG68" t="str">
        <v>Spring</v>
      </c>
      <c r="AH68" t="str">
        <v>Male</v>
      </c>
    </row>
    <row r="69" spans="2:34" x14ac:dyDescent="0.3">
      <c r="B69" s="2" t="s">
        <v>35</v>
      </c>
      <c r="C69">
        <v>36</v>
      </c>
      <c r="D69" s="3">
        <v>6.25</v>
      </c>
      <c r="E69" s="3">
        <v>5.8055555555555554</v>
      </c>
      <c r="F69" s="3">
        <v>5.7666666666666666</v>
      </c>
      <c r="G69" s="3">
        <v>4.9083333333333332</v>
      </c>
      <c r="H69" s="3">
        <v>12.111111111111111</v>
      </c>
      <c r="I69" s="3">
        <v>13.980555555555554</v>
      </c>
      <c r="J69" s="3">
        <v>3.2222222222222223</v>
      </c>
      <c r="K69" s="3">
        <v>2.8142857142857141</v>
      </c>
      <c r="M69" s="2" t="s">
        <v>22</v>
      </c>
      <c r="N69" s="3">
        <v>3.0056333333333352</v>
      </c>
      <c r="V69">
        <v>21</v>
      </c>
      <c r="W69" t="str">
        <v>Arts</v>
      </c>
      <c r="X69">
        <v>3.8</v>
      </c>
      <c r="Y69">
        <v>4</v>
      </c>
      <c r="Z69">
        <v>6</v>
      </c>
      <c r="AA69">
        <v>8</v>
      </c>
      <c r="AB69">
        <v>16</v>
      </c>
      <c r="AC69">
        <v>13.5</v>
      </c>
      <c r="AD69">
        <v>67.3</v>
      </c>
      <c r="AE69">
        <v>3</v>
      </c>
      <c r="AF69" t="str">
        <v>Yes</v>
      </c>
      <c r="AG69" t="str">
        <v>Fall</v>
      </c>
      <c r="AH69" t="str">
        <v>Male</v>
      </c>
    </row>
    <row r="70" spans="2:34" x14ac:dyDescent="0.3">
      <c r="B70" s="2" t="s">
        <v>21</v>
      </c>
      <c r="C70">
        <v>102</v>
      </c>
      <c r="D70" s="3">
        <v>6.0510204081632653</v>
      </c>
      <c r="E70" s="3">
        <v>5.8979591836734695</v>
      </c>
      <c r="F70" s="3">
        <v>6.3666666666666663</v>
      </c>
      <c r="G70" s="3">
        <v>4.5960784313725478</v>
      </c>
      <c r="H70" s="3">
        <v>11.823529411764707</v>
      </c>
      <c r="I70" s="3">
        <v>18.920588235294126</v>
      </c>
      <c r="J70" s="3">
        <v>3.0520833333333335</v>
      </c>
      <c r="K70" s="3">
        <v>2.9475490196078411</v>
      </c>
      <c r="M70" s="2" t="s">
        <v>33</v>
      </c>
      <c r="N70" s="3">
        <v>2.8990425531914892</v>
      </c>
      <c r="V70">
        <v>23</v>
      </c>
      <c r="W70" t="str">
        <v>Health Sciences</v>
      </c>
      <c r="X70">
        <v>1</v>
      </c>
      <c r="Y70">
        <v>2</v>
      </c>
      <c r="Z70">
        <v>9</v>
      </c>
      <c r="AA70">
        <v>6</v>
      </c>
      <c r="AB70">
        <v>11</v>
      </c>
      <c r="AC70">
        <v>19.399999999999999</v>
      </c>
      <c r="AD70">
        <v>59.8</v>
      </c>
      <c r="AE70">
        <v>3</v>
      </c>
      <c r="AF70" t="str">
        <v>Yes</v>
      </c>
      <c r="AG70" t="str">
        <v>Spring</v>
      </c>
      <c r="AH70" t="str">
        <v>Female</v>
      </c>
    </row>
    <row r="71" spans="2:34" x14ac:dyDescent="0.3">
      <c r="B71" s="2" t="s">
        <v>47</v>
      </c>
      <c r="C71">
        <v>55</v>
      </c>
      <c r="D71" s="3">
        <v>5.9629629629629628</v>
      </c>
      <c r="E71" s="3">
        <v>5.5370370370370372</v>
      </c>
      <c r="F71" s="3">
        <v>6.2872727272727262</v>
      </c>
      <c r="G71" s="3">
        <v>5.5345454545454542</v>
      </c>
      <c r="H71" s="3">
        <v>10.909090909090908</v>
      </c>
      <c r="I71" s="3">
        <v>18.969090909090905</v>
      </c>
      <c r="J71" s="3">
        <v>3.1111111111111112</v>
      </c>
      <c r="K71" s="3">
        <v>3.0263636363636355</v>
      </c>
      <c r="M71" s="2" t="s">
        <v>543</v>
      </c>
      <c r="N71" s="3">
        <v>2.9645696721311485</v>
      </c>
      <c r="V71">
        <v>21</v>
      </c>
      <c r="W71" t="str">
        <v>STEM</v>
      </c>
      <c r="X71">
        <v>4</v>
      </c>
      <c r="Y71">
        <v>2</v>
      </c>
      <c r="Z71">
        <v>9</v>
      </c>
      <c r="AA71">
        <v>8</v>
      </c>
      <c r="AB71">
        <v>14</v>
      </c>
      <c r="AC71">
        <v>15.9</v>
      </c>
      <c r="AD71">
        <v>91.6</v>
      </c>
      <c r="AE71">
        <v>2</v>
      </c>
      <c r="AF71" t="str">
        <v>Yes</v>
      </c>
      <c r="AG71" t="str">
        <v>Summer</v>
      </c>
      <c r="AH71" t="str">
        <v>Female</v>
      </c>
    </row>
    <row r="72" spans="2:34" x14ac:dyDescent="0.3">
      <c r="B72" s="2" t="s">
        <v>32</v>
      </c>
      <c r="C72">
        <v>53</v>
      </c>
      <c r="D72" s="3">
        <v>6.5283018867924527</v>
      </c>
      <c r="E72" s="3">
        <v>6.4905660377358494</v>
      </c>
      <c r="F72" s="3">
        <v>6.3528301886792446</v>
      </c>
      <c r="G72" s="3">
        <v>5.2981132075471704</v>
      </c>
      <c r="H72" s="3">
        <v>12.79245283018868</v>
      </c>
      <c r="I72" s="3">
        <v>16.549056603773582</v>
      </c>
      <c r="J72" s="3">
        <v>3.375</v>
      </c>
      <c r="K72" s="3">
        <v>2.915576923076924</v>
      </c>
      <c r="V72">
        <v>19</v>
      </c>
      <c r="W72" t="str">
        <v>STEM</v>
      </c>
      <c r="X72">
        <v>6.8</v>
      </c>
      <c r="Y72">
        <v>3</v>
      </c>
      <c r="Z72">
        <v>3</v>
      </c>
      <c r="AA72">
        <v>2</v>
      </c>
      <c r="AB72">
        <v>4</v>
      </c>
      <c r="AC72">
        <v>21.8</v>
      </c>
      <c r="AD72">
        <v>63.2</v>
      </c>
      <c r="AE72">
        <v>4</v>
      </c>
      <c r="AF72" t="str">
        <v>Yes</v>
      </c>
      <c r="AG72" t="str">
        <v>Spring</v>
      </c>
      <c r="AH72" t="str">
        <v>Female</v>
      </c>
    </row>
    <row r="73" spans="2:34" x14ac:dyDescent="0.3">
      <c r="B73" s="2" t="s">
        <v>63</v>
      </c>
      <c r="C73">
        <v>24</v>
      </c>
      <c r="D73" s="3">
        <v>6.833333333333333</v>
      </c>
      <c r="E73" s="3">
        <v>6.958333333333333</v>
      </c>
      <c r="F73" s="3">
        <v>6.1124999999999998</v>
      </c>
      <c r="G73" s="3">
        <v>4.4208333333333334</v>
      </c>
      <c r="H73" s="3">
        <v>12.25</v>
      </c>
      <c r="I73" s="3">
        <v>15.087499999999999</v>
      </c>
      <c r="J73" s="3">
        <v>3.3913043478260869</v>
      </c>
      <c r="K73" s="3">
        <v>2.9579166666666672</v>
      </c>
      <c r="V73">
        <v>19</v>
      </c>
      <c r="W73" t="str">
        <v>STEM</v>
      </c>
      <c r="X73">
        <v>1.8</v>
      </c>
      <c r="Y73">
        <v>3</v>
      </c>
      <c r="Z73">
        <v>7</v>
      </c>
      <c r="AA73">
        <v>5</v>
      </c>
      <c r="AB73">
        <v>17</v>
      </c>
      <c r="AC73">
        <v>23.2</v>
      </c>
      <c r="AD73">
        <v>87.2</v>
      </c>
      <c r="AE73">
        <v>0</v>
      </c>
      <c r="AF73" t="str">
        <v>Yes</v>
      </c>
      <c r="AG73" t="str">
        <v>Summer</v>
      </c>
      <c r="AH73" t="str">
        <v>Female</v>
      </c>
    </row>
    <row r="74" spans="2:34" x14ac:dyDescent="0.3">
      <c r="B74" s="2" t="s">
        <v>49</v>
      </c>
      <c r="C74">
        <v>70</v>
      </c>
      <c r="D74" s="3">
        <v>5.7352941176470589</v>
      </c>
      <c r="E74" s="3">
        <v>5.6764705882352944</v>
      </c>
      <c r="F74" s="3">
        <v>6.1771428571428579</v>
      </c>
      <c r="G74" s="3">
        <v>4.6900000000000013</v>
      </c>
      <c r="H74" s="3">
        <v>11.328571428571429</v>
      </c>
      <c r="I74" s="3">
        <v>17.055714285714284</v>
      </c>
      <c r="J74" s="3">
        <v>3.2205882352941178</v>
      </c>
      <c r="K74" s="3">
        <v>2.9351470588235284</v>
      </c>
      <c r="V74">
        <v>20</v>
      </c>
      <c r="W74" t="str">
        <v>STEM</v>
      </c>
      <c r="X74">
        <v>4.5</v>
      </c>
      <c r="Y74">
        <v>4</v>
      </c>
      <c r="Z74">
        <v>9</v>
      </c>
      <c r="AA74">
        <v>7</v>
      </c>
      <c r="AB74">
        <v>18</v>
      </c>
      <c r="AC74">
        <v>20.8</v>
      </c>
      <c r="AD74">
        <v>66.099999999999994</v>
      </c>
      <c r="AE74">
        <v>2</v>
      </c>
      <c r="AF74" t="str">
        <v>Yes</v>
      </c>
      <c r="AG74" t="str">
        <v>Spring</v>
      </c>
      <c r="AH74" t="str">
        <v>Prefer not to say</v>
      </c>
    </row>
    <row r="75" spans="2:34" x14ac:dyDescent="0.3">
      <c r="B75" s="2" t="s">
        <v>30</v>
      </c>
      <c r="C75">
        <v>160</v>
      </c>
      <c r="D75" s="3">
        <v>7.1699346405228761</v>
      </c>
      <c r="E75" s="3">
        <v>6.9869281045751634</v>
      </c>
      <c r="F75" s="3">
        <v>6.1293750000000022</v>
      </c>
      <c r="G75" s="3">
        <v>5.346874999999998</v>
      </c>
      <c r="H75" s="3">
        <v>12.81875</v>
      </c>
      <c r="I75" s="3">
        <v>20.355000000000008</v>
      </c>
      <c r="J75" s="3">
        <v>3.1788079470198674</v>
      </c>
      <c r="K75" s="3">
        <v>3.0192105263157893</v>
      </c>
      <c r="V75">
        <v>23</v>
      </c>
      <c r="W75" t="str">
        <v>Arts</v>
      </c>
      <c r="X75">
        <v>4.8</v>
      </c>
      <c r="Y75">
        <v>3</v>
      </c>
      <c r="Z75">
        <v>7</v>
      </c>
      <c r="AA75">
        <v>8</v>
      </c>
      <c r="AB75">
        <v>13</v>
      </c>
      <c r="AC75">
        <v>14.7</v>
      </c>
      <c r="AD75">
        <v>57.3</v>
      </c>
      <c r="AE75">
        <v>5</v>
      </c>
      <c r="AF75" t="str">
        <v>Yes</v>
      </c>
      <c r="AG75" t="str">
        <v>Fall</v>
      </c>
      <c r="AH75" t="str">
        <v>Male</v>
      </c>
    </row>
    <row r="76" spans="2:34" x14ac:dyDescent="0.3">
      <c r="B76" s="2" t="s">
        <v>543</v>
      </c>
      <c r="C76">
        <v>500</v>
      </c>
      <c r="D76" s="3">
        <v>6.4547325102880659</v>
      </c>
      <c r="E76" s="3">
        <v>6.2798353909465021</v>
      </c>
      <c r="F76" s="3">
        <v>6.1986000000000008</v>
      </c>
      <c r="G76" s="3">
        <v>5.0411999999999999</v>
      </c>
      <c r="H76" s="3">
        <v>12.116</v>
      </c>
      <c r="I76" s="3">
        <v>18.332799999999995</v>
      </c>
      <c r="J76" s="3">
        <v>3.1848739495798317</v>
      </c>
      <c r="K76" s="3">
        <v>2.9645696721311476</v>
      </c>
      <c r="V76">
        <v>22</v>
      </c>
      <c r="W76" t="str">
        <v>Business</v>
      </c>
      <c r="X76">
        <v>1.9</v>
      </c>
      <c r="Y76">
        <v>4</v>
      </c>
      <c r="Z76">
        <v>0</v>
      </c>
      <c r="AA76">
        <v>0</v>
      </c>
      <c r="AB76">
        <v>7</v>
      </c>
      <c r="AC76">
        <v>13.7</v>
      </c>
      <c r="AD76">
        <v>86.9</v>
      </c>
      <c r="AE76">
        <v>3</v>
      </c>
      <c r="AF76" t="str">
        <v>Yes</v>
      </c>
      <c r="AG76" t="str">
        <v>Spring</v>
      </c>
      <c r="AH76" t="str">
        <v>Male</v>
      </c>
    </row>
    <row r="77" spans="2:34" x14ac:dyDescent="0.3">
      <c r="B77" s="2"/>
      <c r="D77" s="3"/>
      <c r="E77" s="3"/>
      <c r="F77" s="3"/>
      <c r="G77" s="3"/>
      <c r="H77" s="3"/>
      <c r="I77" s="3"/>
      <c r="J77" s="3"/>
      <c r="K77" s="3"/>
      <c r="V77">
        <v>23</v>
      </c>
      <c r="W77" t="str">
        <v>STEM</v>
      </c>
      <c r="X77">
        <v>9.3000000000000007</v>
      </c>
      <c r="Y77">
        <v>7</v>
      </c>
      <c r="Z77">
        <v>4</v>
      </c>
      <c r="AA77">
        <v>3</v>
      </c>
      <c r="AB77">
        <v>14</v>
      </c>
      <c r="AC77">
        <v>22.7</v>
      </c>
      <c r="AD77">
        <v>81.099999999999994</v>
      </c>
      <c r="AE77">
        <v>3</v>
      </c>
      <c r="AF77" t="str">
        <v>No</v>
      </c>
      <c r="AG77" t="str">
        <v>Spring</v>
      </c>
      <c r="AH77" t="str">
        <v>Male</v>
      </c>
    </row>
    <row r="78" spans="2:34" x14ac:dyDescent="0.3">
      <c r="V78">
        <v>21</v>
      </c>
      <c r="W78" t="str">
        <v>Health Sciences</v>
      </c>
      <c r="X78">
        <v>4.9000000000000004</v>
      </c>
      <c r="Y78">
        <v>2</v>
      </c>
      <c r="Z78">
        <v>4</v>
      </c>
      <c r="AA78">
        <v>5</v>
      </c>
      <c r="AB78">
        <v>9</v>
      </c>
      <c r="AC78">
        <v>18</v>
      </c>
      <c r="AD78">
        <v>86.5</v>
      </c>
      <c r="AE78">
        <v>5</v>
      </c>
      <c r="AF78" t="str">
        <v>Yes</v>
      </c>
      <c r="AG78" t="str">
        <v>Fall</v>
      </c>
      <c r="AH78" t="str">
        <v>Female</v>
      </c>
    </row>
    <row r="79" spans="2:34" x14ac:dyDescent="0.3">
      <c r="B79" s="18"/>
      <c r="C79" s="18"/>
      <c r="D79" s="18"/>
      <c r="E79" s="18"/>
      <c r="F79" s="18"/>
      <c r="G79" s="18"/>
      <c r="H79" s="18"/>
      <c r="I79" s="18"/>
      <c r="J79" s="18"/>
      <c r="K79" s="18"/>
      <c r="L79" s="18"/>
      <c r="M79" s="18"/>
      <c r="N79" s="18"/>
      <c r="O79" s="18"/>
      <c r="P79" s="18"/>
      <c r="V79">
        <v>22</v>
      </c>
      <c r="W79" t="str">
        <v>Business</v>
      </c>
      <c r="X79">
        <v>3.3</v>
      </c>
      <c r="Y79">
        <v>0</v>
      </c>
      <c r="Z79">
        <v>10</v>
      </c>
      <c r="AA79">
        <v>6</v>
      </c>
      <c r="AB79">
        <v>11</v>
      </c>
      <c r="AC79">
        <v>13.4</v>
      </c>
      <c r="AD79">
        <v>61.6</v>
      </c>
      <c r="AE79">
        <v>3</v>
      </c>
      <c r="AF79" t="str">
        <v>No</v>
      </c>
      <c r="AG79" t="str">
        <v>Fall</v>
      </c>
      <c r="AH79" t="str">
        <v>Male</v>
      </c>
    </row>
    <row r="80" spans="2:34" x14ac:dyDescent="0.3">
      <c r="B80" s="27" t="s">
        <v>608</v>
      </c>
      <c r="J80" s="27"/>
      <c r="V80">
        <v>23</v>
      </c>
      <c r="W80" t="str">
        <v>STEM</v>
      </c>
      <c r="X80">
        <v>3.9</v>
      </c>
      <c r="Y80">
        <v>1</v>
      </c>
      <c r="Z80">
        <v>5</v>
      </c>
      <c r="AA80">
        <v>6</v>
      </c>
      <c r="AB80">
        <v>6</v>
      </c>
      <c r="AC80">
        <v>23.9</v>
      </c>
      <c r="AD80">
        <v>70.3</v>
      </c>
      <c r="AE80">
        <v>5</v>
      </c>
      <c r="AF80" t="str">
        <v>No</v>
      </c>
      <c r="AG80" t="str">
        <v>Spring</v>
      </c>
      <c r="AH80" t="str">
        <v>Male</v>
      </c>
    </row>
    <row r="81" spans="2:34" x14ac:dyDescent="0.3">
      <c r="B81" s="27" t="s">
        <v>609</v>
      </c>
      <c r="E81" s="27" t="s">
        <v>610</v>
      </c>
      <c r="H81" s="27" t="s">
        <v>611</v>
      </c>
      <c r="V81">
        <v>21</v>
      </c>
      <c r="W81" t="str">
        <v>STEM</v>
      </c>
      <c r="X81">
        <v>1.6</v>
      </c>
      <c r="Y81">
        <v>3</v>
      </c>
      <c r="Z81">
        <v>2</v>
      </c>
      <c r="AA81">
        <v>6</v>
      </c>
      <c r="AB81">
        <v>7</v>
      </c>
      <c r="AC81">
        <v>7.6</v>
      </c>
      <c r="AD81">
        <v>42.4</v>
      </c>
      <c r="AE81">
        <v>4</v>
      </c>
      <c r="AF81" t="str">
        <v>Yes</v>
      </c>
      <c r="AG81" t="str">
        <v>Spring</v>
      </c>
      <c r="AH81" t="str">
        <v>Male</v>
      </c>
    </row>
    <row r="82" spans="2:34" x14ac:dyDescent="0.3">
      <c r="B82" s="1" t="s">
        <v>542</v>
      </c>
      <c r="C82" t="s">
        <v>544</v>
      </c>
      <c r="E82" s="1" t="s">
        <v>542</v>
      </c>
      <c r="F82" t="s">
        <v>544</v>
      </c>
      <c r="H82" s="1" t="s">
        <v>542</v>
      </c>
      <c r="I82" t="s">
        <v>544</v>
      </c>
      <c r="V82">
        <v>22</v>
      </c>
      <c r="W82" t="str">
        <v>Social Sciences</v>
      </c>
      <c r="X82">
        <v>1.5</v>
      </c>
      <c r="Y82">
        <v>2</v>
      </c>
      <c r="Z82">
        <v>3</v>
      </c>
      <c r="AA82">
        <v>4</v>
      </c>
      <c r="AB82">
        <v>4</v>
      </c>
      <c r="AC82">
        <v>14.7</v>
      </c>
      <c r="AD82">
        <v>50.2</v>
      </c>
      <c r="AE82">
        <v>4</v>
      </c>
      <c r="AF82" t="str">
        <v>No</v>
      </c>
      <c r="AG82" t="str">
        <v>Spring</v>
      </c>
      <c r="AH82" t="str">
        <v>Female</v>
      </c>
    </row>
    <row r="83" spans="2:34" x14ac:dyDescent="0.3">
      <c r="B83" s="2" t="s">
        <v>560</v>
      </c>
      <c r="C83">
        <v>28</v>
      </c>
      <c r="E83" s="2" t="s">
        <v>561</v>
      </c>
      <c r="F83">
        <v>20</v>
      </c>
      <c r="H83" s="2" t="s">
        <v>562</v>
      </c>
      <c r="I83">
        <v>14</v>
      </c>
      <c r="V83">
        <v>20</v>
      </c>
      <c r="W83" t="str">
        <v>Health Sciences</v>
      </c>
      <c r="X83">
        <v>3.1</v>
      </c>
      <c r="Y83">
        <v>5</v>
      </c>
      <c r="Z83">
        <v>10</v>
      </c>
      <c r="AA83">
        <v>8</v>
      </c>
      <c r="AB83">
        <v>13</v>
      </c>
      <c r="AC83">
        <v>16.7</v>
      </c>
      <c r="AD83">
        <v>99.5</v>
      </c>
      <c r="AE83">
        <v>0</v>
      </c>
      <c r="AF83" t="str">
        <v>No</v>
      </c>
      <c r="AG83" t="str">
        <v>Fall</v>
      </c>
      <c r="AH83" t="str">
        <v>Prefer not to say</v>
      </c>
    </row>
    <row r="84" spans="2:34" x14ac:dyDescent="0.3">
      <c r="B84" s="2" t="s">
        <v>561</v>
      </c>
      <c r="C84">
        <v>14</v>
      </c>
      <c r="E84" s="2" t="s">
        <v>543</v>
      </c>
      <c r="F84">
        <v>20</v>
      </c>
      <c r="H84" s="2" t="s">
        <v>543</v>
      </c>
      <c r="I84">
        <v>14</v>
      </c>
      <c r="V84">
        <v>21</v>
      </c>
      <c r="W84" t="str">
        <v>STEM</v>
      </c>
      <c r="X84">
        <v>3.3</v>
      </c>
      <c r="Y84">
        <v>3</v>
      </c>
      <c r="Z84">
        <v>15</v>
      </c>
      <c r="AA84">
        <v>12</v>
      </c>
      <c r="AB84">
        <v>23</v>
      </c>
      <c r="AC84">
        <v>16.899999999999999</v>
      </c>
      <c r="AD84">
        <v>100</v>
      </c>
      <c r="AE84">
        <v>1</v>
      </c>
      <c r="AF84" t="str">
        <v>No</v>
      </c>
      <c r="AG84" t="str">
        <v>Fall</v>
      </c>
      <c r="AH84" t="str">
        <v>Female</v>
      </c>
    </row>
    <row r="85" spans="2:34" x14ac:dyDescent="0.3">
      <c r="B85" s="2" t="s">
        <v>543</v>
      </c>
      <c r="C85">
        <v>42</v>
      </c>
      <c r="V85">
        <v>21</v>
      </c>
      <c r="W85" t="str">
        <v>Arts</v>
      </c>
      <c r="X85">
        <v>3.7</v>
      </c>
      <c r="Y85">
        <v>3</v>
      </c>
      <c r="Z85">
        <v>4</v>
      </c>
      <c r="AA85">
        <v>1</v>
      </c>
      <c r="AB85">
        <v>7</v>
      </c>
      <c r="AC85">
        <v>33</v>
      </c>
      <c r="AD85">
        <v>82.3</v>
      </c>
      <c r="AE85">
        <v>3</v>
      </c>
      <c r="AF85" t="str">
        <v>Yes</v>
      </c>
      <c r="AG85" t="str">
        <v>Fall</v>
      </c>
      <c r="AH85" t="str">
        <v>Female</v>
      </c>
    </row>
    <row r="86" spans="2:34" x14ac:dyDescent="0.3">
      <c r="V86">
        <v>19</v>
      </c>
      <c r="W86" t="str">
        <v>Health Sciences</v>
      </c>
      <c r="X86">
        <v>9.9</v>
      </c>
      <c r="Y86">
        <v>4</v>
      </c>
      <c r="Z86">
        <v>5</v>
      </c>
      <c r="AA86">
        <v>6</v>
      </c>
      <c r="AB86">
        <v>12</v>
      </c>
      <c r="AC86">
        <v>20.9</v>
      </c>
      <c r="AD86">
        <v>67.599999999999994</v>
      </c>
      <c r="AE86">
        <v>1</v>
      </c>
      <c r="AF86" t="str">
        <v>No</v>
      </c>
      <c r="AG86" t="str">
        <v>Spring</v>
      </c>
      <c r="AH86" t="str">
        <v>Female</v>
      </c>
    </row>
    <row r="87" spans="2:34" x14ac:dyDescent="0.3">
      <c r="V87">
        <v>23</v>
      </c>
      <c r="W87" t="str">
        <v>Health Sciences</v>
      </c>
      <c r="X87">
        <v>6.5</v>
      </c>
      <c r="Y87">
        <v>1</v>
      </c>
      <c r="Z87">
        <v>2</v>
      </c>
      <c r="AA87">
        <v>10</v>
      </c>
      <c r="AB87">
        <v>8</v>
      </c>
      <c r="AC87">
        <v>23</v>
      </c>
      <c r="AD87">
        <v>77.599999999999994</v>
      </c>
      <c r="AE87">
        <v>1</v>
      </c>
      <c r="AF87" t="str">
        <v>No</v>
      </c>
      <c r="AG87" t="str">
        <v>Spring</v>
      </c>
      <c r="AH87" t="str">
        <v>Male</v>
      </c>
    </row>
    <row r="88" spans="2:34" x14ac:dyDescent="0.3">
      <c r="B88" s="27" t="s">
        <v>637</v>
      </c>
      <c r="H88" s="27" t="s">
        <v>638</v>
      </c>
      <c r="V88">
        <v>21</v>
      </c>
      <c r="W88" t="str">
        <v>STEM</v>
      </c>
      <c r="X88">
        <v>1</v>
      </c>
      <c r="Y88">
        <v>4</v>
      </c>
      <c r="Z88">
        <v>2</v>
      </c>
      <c r="AA88">
        <v>3</v>
      </c>
      <c r="AB88">
        <v>8</v>
      </c>
      <c r="AC88">
        <v>19.7</v>
      </c>
      <c r="AD88">
        <v>90.5</v>
      </c>
      <c r="AE88">
        <v>4</v>
      </c>
      <c r="AF88" t="str">
        <v>Yes</v>
      </c>
      <c r="AG88" t="str">
        <v>Spring</v>
      </c>
      <c r="AH88" t="str">
        <v>Male</v>
      </c>
    </row>
    <row r="89" spans="2:34" x14ac:dyDescent="0.3">
      <c r="B89" s="1" t="s">
        <v>542</v>
      </c>
      <c r="C89" t="s">
        <v>550</v>
      </c>
      <c r="D89" t="s">
        <v>615</v>
      </c>
      <c r="H89" s="1" t="s">
        <v>542</v>
      </c>
      <c r="I89" t="s">
        <v>549</v>
      </c>
      <c r="J89" t="s">
        <v>548</v>
      </c>
      <c r="V89">
        <v>22</v>
      </c>
      <c r="W89" t="str">
        <v>STEM</v>
      </c>
      <c r="X89">
        <v>8.6999999999999993</v>
      </c>
      <c r="Y89">
        <v>0</v>
      </c>
      <c r="Z89">
        <v>7</v>
      </c>
      <c r="AA89">
        <v>6</v>
      </c>
      <c r="AB89">
        <v>18</v>
      </c>
      <c r="AC89">
        <v>17.5</v>
      </c>
      <c r="AD89">
        <v>76.900000000000006</v>
      </c>
      <c r="AE89">
        <v>4</v>
      </c>
      <c r="AF89" t="str">
        <v>Yes</v>
      </c>
      <c r="AG89" t="str">
        <v>Spring</v>
      </c>
      <c r="AH89" t="str">
        <v>Female</v>
      </c>
    </row>
    <row r="90" spans="2:34" x14ac:dyDescent="0.3">
      <c r="B90" s="2" t="s">
        <v>35</v>
      </c>
      <c r="C90" s="3">
        <v>13.980555555555554</v>
      </c>
      <c r="D90" s="3">
        <v>2.6111111111111112</v>
      </c>
      <c r="H90" s="2" t="s">
        <v>35</v>
      </c>
      <c r="I90" s="3">
        <v>5.7666666666666666</v>
      </c>
      <c r="J90" s="3">
        <v>4.9083333333333332</v>
      </c>
      <c r="V90">
        <v>23</v>
      </c>
      <c r="W90" t="str">
        <v>Health Sciences</v>
      </c>
      <c r="X90">
        <v>3.1</v>
      </c>
      <c r="Y90">
        <v>3</v>
      </c>
      <c r="Z90">
        <v>22</v>
      </c>
      <c r="AA90">
        <v>18</v>
      </c>
      <c r="AB90">
        <v>27</v>
      </c>
      <c r="AC90">
        <v>6.6</v>
      </c>
      <c r="AD90">
        <v>77.5</v>
      </c>
      <c r="AE90">
        <v>2</v>
      </c>
      <c r="AF90" t="str">
        <v>Yes</v>
      </c>
      <c r="AG90" t="str">
        <v>Fall</v>
      </c>
      <c r="AH90" t="str">
        <v>Male</v>
      </c>
    </row>
    <row r="91" spans="2:34" x14ac:dyDescent="0.3">
      <c r="B91" s="2" t="s">
        <v>21</v>
      </c>
      <c r="C91" s="3">
        <v>18.920588235294126</v>
      </c>
      <c r="D91" s="3">
        <v>2.4509803921568629</v>
      </c>
      <c r="H91" s="2" t="s">
        <v>21</v>
      </c>
      <c r="I91" s="3">
        <v>6.3666666666666663</v>
      </c>
      <c r="J91" s="3">
        <v>4.5960784313725478</v>
      </c>
      <c r="V91">
        <v>22</v>
      </c>
      <c r="W91" t="str">
        <v>STEM</v>
      </c>
      <c r="X91">
        <v>6.9</v>
      </c>
      <c r="Y91">
        <v>5</v>
      </c>
      <c r="Z91">
        <v>6</v>
      </c>
      <c r="AA91">
        <v>9</v>
      </c>
      <c r="AB91">
        <v>14</v>
      </c>
      <c r="AC91">
        <v>21.4</v>
      </c>
      <c r="AD91">
        <v>85.7</v>
      </c>
      <c r="AE91">
        <v>4</v>
      </c>
      <c r="AF91" t="str">
        <v>No</v>
      </c>
      <c r="AG91" t="str">
        <v>Spring</v>
      </c>
      <c r="AH91" t="str">
        <v>Female</v>
      </c>
    </row>
    <row r="92" spans="2:34" x14ac:dyDescent="0.3">
      <c r="B92" s="2" t="s">
        <v>47</v>
      </c>
      <c r="C92" s="3">
        <v>18.969090909090905</v>
      </c>
      <c r="D92" s="3">
        <v>2.6909090909090909</v>
      </c>
      <c r="H92" s="2" t="s">
        <v>47</v>
      </c>
      <c r="I92" s="3">
        <v>6.2872727272727262</v>
      </c>
      <c r="J92" s="3">
        <v>5.5345454545454542</v>
      </c>
      <c r="V92">
        <v>23</v>
      </c>
      <c r="W92" t="str">
        <v>Humanities</v>
      </c>
      <c r="X92">
        <v>3.3</v>
      </c>
      <c r="Y92">
        <v>4</v>
      </c>
      <c r="Z92">
        <v>6</v>
      </c>
      <c r="AA92">
        <v>8</v>
      </c>
      <c r="AB92">
        <v>8</v>
      </c>
      <c r="AC92">
        <v>11.1</v>
      </c>
      <c r="AD92">
        <v>70</v>
      </c>
      <c r="AE92">
        <v>5</v>
      </c>
      <c r="AF92" t="str">
        <v>Yes</v>
      </c>
      <c r="AG92" t="str">
        <v>Summer</v>
      </c>
      <c r="AH92" t="str">
        <v>Male</v>
      </c>
    </row>
    <row r="93" spans="2:34" x14ac:dyDescent="0.3">
      <c r="B93" s="2" t="s">
        <v>32</v>
      </c>
      <c r="C93" s="3">
        <v>16.549056603773582</v>
      </c>
      <c r="D93" s="3">
        <v>3.1320754716981134</v>
      </c>
      <c r="H93" s="2" t="s">
        <v>32</v>
      </c>
      <c r="I93" s="3">
        <v>6.3528301886792446</v>
      </c>
      <c r="J93" s="3">
        <v>5.2981132075471704</v>
      </c>
      <c r="V93">
        <v>21</v>
      </c>
      <c r="W93" t="str">
        <v>Social Sciences</v>
      </c>
      <c r="X93">
        <v>4.7</v>
      </c>
      <c r="Y93">
        <v>5</v>
      </c>
      <c r="Z93">
        <v>6</v>
      </c>
      <c r="AA93">
        <v>2</v>
      </c>
      <c r="AB93">
        <v>15</v>
      </c>
      <c r="AC93">
        <v>14.7</v>
      </c>
      <c r="AD93">
        <v>70.099999999999994</v>
      </c>
      <c r="AE93">
        <v>4</v>
      </c>
      <c r="AF93" t="str">
        <v>Yes</v>
      </c>
      <c r="AG93" t="str">
        <v>Spring</v>
      </c>
      <c r="AH93" t="str">
        <v>Male</v>
      </c>
    </row>
    <row r="94" spans="2:34" x14ac:dyDescent="0.3">
      <c r="B94" s="2" t="s">
        <v>63</v>
      </c>
      <c r="C94" s="3">
        <v>15.087499999999999</v>
      </c>
      <c r="D94" s="3">
        <v>2.625</v>
      </c>
      <c r="H94" s="2" t="s">
        <v>63</v>
      </c>
      <c r="I94" s="3">
        <v>6.1124999999999998</v>
      </c>
      <c r="J94" s="3">
        <v>4.4208333333333334</v>
      </c>
      <c r="V94">
        <v>21</v>
      </c>
      <c r="W94" t="str">
        <v>STEM</v>
      </c>
      <c r="X94">
        <v>1.7</v>
      </c>
      <c r="Y94">
        <v>2</v>
      </c>
      <c r="Z94">
        <v>6</v>
      </c>
      <c r="AA94">
        <v>7</v>
      </c>
      <c r="AB94">
        <v>11</v>
      </c>
      <c r="AC94">
        <v>2.2000000000000002</v>
      </c>
      <c r="AD94">
        <v>86</v>
      </c>
      <c r="AE94">
        <v>4</v>
      </c>
      <c r="AF94" t="str">
        <v>No</v>
      </c>
      <c r="AG94" t="str">
        <v>Fall</v>
      </c>
      <c r="AH94" t="str">
        <v>Female</v>
      </c>
    </row>
    <row r="95" spans="2:34" x14ac:dyDescent="0.3">
      <c r="B95" s="2" t="s">
        <v>49</v>
      </c>
      <c r="C95" s="3">
        <v>17.055714285714284</v>
      </c>
      <c r="D95" s="3">
        <v>2.9571428571428573</v>
      </c>
      <c r="H95" s="2" t="s">
        <v>49</v>
      </c>
      <c r="I95" s="3">
        <v>6.1771428571428579</v>
      </c>
      <c r="J95" s="3">
        <v>4.6900000000000013</v>
      </c>
      <c r="V95">
        <v>21</v>
      </c>
      <c r="W95" t="str">
        <v>Health Sciences</v>
      </c>
      <c r="X95">
        <v>5.4</v>
      </c>
      <c r="Y95">
        <v>4</v>
      </c>
      <c r="Z95">
        <v>6</v>
      </c>
      <c r="AA95">
        <v>11</v>
      </c>
      <c r="AB95">
        <v>17</v>
      </c>
      <c r="AC95">
        <v>7.4</v>
      </c>
      <c r="AD95">
        <v>62.3</v>
      </c>
      <c r="AE95">
        <v>4</v>
      </c>
      <c r="AF95" t="str">
        <v>No</v>
      </c>
      <c r="AG95" t="str">
        <v>Spring</v>
      </c>
      <c r="AH95" t="str">
        <v>Male</v>
      </c>
    </row>
    <row r="96" spans="2:34" x14ac:dyDescent="0.3">
      <c r="B96" s="2" t="s">
        <v>30</v>
      </c>
      <c r="C96" s="3">
        <v>20.355000000000008</v>
      </c>
      <c r="D96" s="3">
        <v>2.4624999999999999</v>
      </c>
      <c r="H96" s="2" t="s">
        <v>30</v>
      </c>
      <c r="I96" s="3">
        <v>6.1293750000000022</v>
      </c>
      <c r="J96" s="3">
        <v>5.346874999999998</v>
      </c>
      <c r="V96">
        <v>18</v>
      </c>
      <c r="W96" t="str">
        <v>Arts</v>
      </c>
      <c r="X96">
        <v>7.4</v>
      </c>
      <c r="Y96">
        <v>3</v>
      </c>
      <c r="Z96">
        <v>4</v>
      </c>
      <c r="AA96">
        <v>6</v>
      </c>
      <c r="AB96">
        <v>10</v>
      </c>
      <c r="AC96">
        <v>27.3</v>
      </c>
      <c r="AD96">
        <v>88</v>
      </c>
      <c r="AE96">
        <v>2</v>
      </c>
      <c r="AF96" t="str">
        <v>Yes</v>
      </c>
      <c r="AG96" t="str">
        <v>Fall</v>
      </c>
      <c r="AH96" t="str">
        <v>Male</v>
      </c>
    </row>
    <row r="97" spans="2:34" x14ac:dyDescent="0.3">
      <c r="B97" s="2" t="s">
        <v>543</v>
      </c>
      <c r="C97" s="3">
        <v>18.332799999999995</v>
      </c>
      <c r="D97" s="3">
        <v>2.6440000000000001</v>
      </c>
      <c r="H97" s="2" t="s">
        <v>543</v>
      </c>
      <c r="I97" s="3">
        <v>6.1986000000000008</v>
      </c>
      <c r="J97" s="3">
        <v>5.0411999999999999</v>
      </c>
      <c r="V97">
        <v>18</v>
      </c>
      <c r="W97" t="str">
        <v>Social Sciences</v>
      </c>
      <c r="X97">
        <v>1.1000000000000001</v>
      </c>
      <c r="Y97">
        <v>3</v>
      </c>
      <c r="Z97">
        <v>5</v>
      </c>
      <c r="AA97">
        <v>3</v>
      </c>
      <c r="AB97">
        <v>12</v>
      </c>
      <c r="AC97">
        <v>21.6</v>
      </c>
      <c r="AD97">
        <v>76.400000000000006</v>
      </c>
      <c r="AE97">
        <v>3</v>
      </c>
      <c r="AF97" t="str">
        <v>Yes</v>
      </c>
      <c r="AG97" t="str">
        <v>Fall</v>
      </c>
      <c r="AH97" t="str">
        <v>Non-binary</v>
      </c>
    </row>
    <row r="98" spans="2:34" x14ac:dyDescent="0.3">
      <c r="V98">
        <v>19</v>
      </c>
      <c r="W98" t="str">
        <v>Business</v>
      </c>
      <c r="X98">
        <v>7.5</v>
      </c>
      <c r="Y98">
        <v>0</v>
      </c>
      <c r="Z98">
        <v>2</v>
      </c>
      <c r="AA98">
        <v>4</v>
      </c>
      <c r="AB98">
        <v>10</v>
      </c>
      <c r="AC98">
        <v>28.8</v>
      </c>
      <c r="AD98">
        <v>81.2</v>
      </c>
      <c r="AE98">
        <v>5</v>
      </c>
      <c r="AF98" t="str">
        <v>No</v>
      </c>
      <c r="AG98" t="str">
        <v>Fall</v>
      </c>
      <c r="AH98" t="str">
        <v>Male</v>
      </c>
    </row>
    <row r="99" spans="2:34" x14ac:dyDescent="0.3">
      <c r="V99">
        <v>19</v>
      </c>
      <c r="W99" t="str">
        <v>Health Sciences</v>
      </c>
      <c r="X99">
        <v>2.6</v>
      </c>
      <c r="Y99">
        <v>1</v>
      </c>
      <c r="Z99">
        <v>5</v>
      </c>
      <c r="AA99">
        <v>3</v>
      </c>
      <c r="AB99">
        <v>8</v>
      </c>
      <c r="AC99">
        <v>32</v>
      </c>
      <c r="AD99">
        <v>100</v>
      </c>
      <c r="AE99">
        <v>4</v>
      </c>
      <c r="AF99" t="str">
        <v>No</v>
      </c>
      <c r="AG99" t="str">
        <v>Fall</v>
      </c>
      <c r="AH99" t="str">
        <v>Male</v>
      </c>
    </row>
    <row r="100" spans="2:34" x14ac:dyDescent="0.3">
      <c r="B100" s="27" t="s">
        <v>639</v>
      </c>
      <c r="V100">
        <v>22</v>
      </c>
      <c r="W100" t="str">
        <v>Humanities</v>
      </c>
      <c r="X100">
        <v>11.8</v>
      </c>
      <c r="Y100">
        <v>3</v>
      </c>
      <c r="Z100">
        <v>4</v>
      </c>
      <c r="AA100">
        <v>7</v>
      </c>
      <c r="AB100">
        <v>14</v>
      </c>
      <c r="AC100">
        <v>23.3</v>
      </c>
      <c r="AD100">
        <v>80.900000000000006</v>
      </c>
      <c r="AE100">
        <v>4</v>
      </c>
      <c r="AF100" t="str">
        <v>No</v>
      </c>
      <c r="AG100" t="str">
        <v>Fall</v>
      </c>
      <c r="AH100" t="str">
        <v>Female</v>
      </c>
    </row>
    <row r="101" spans="2:34" x14ac:dyDescent="0.3">
      <c r="B101" s="1" t="s">
        <v>542</v>
      </c>
      <c r="C101" t="s">
        <v>547</v>
      </c>
      <c r="D101" t="s">
        <v>546</v>
      </c>
      <c r="E101" t="s">
        <v>545</v>
      </c>
      <c r="V101">
        <v>20</v>
      </c>
      <c r="W101" t="str">
        <v>Social Sciences</v>
      </c>
      <c r="X101">
        <v>7</v>
      </c>
      <c r="Y101">
        <v>0</v>
      </c>
      <c r="Z101">
        <v>13</v>
      </c>
      <c r="AA101">
        <v>9</v>
      </c>
      <c r="AB101">
        <v>15</v>
      </c>
      <c r="AC101">
        <v>13.7</v>
      </c>
      <c r="AD101">
        <v>93.5</v>
      </c>
      <c r="AE101">
        <v>5</v>
      </c>
      <c r="AF101" t="str">
        <v>No</v>
      </c>
      <c r="AG101" t="str">
        <v>Spring</v>
      </c>
      <c r="AH101" t="str">
        <v>Male</v>
      </c>
    </row>
    <row r="102" spans="2:34" x14ac:dyDescent="0.3">
      <c r="B102" s="2" t="s">
        <v>22</v>
      </c>
      <c r="C102" s="3">
        <v>12.36038961038961</v>
      </c>
      <c r="D102" s="3">
        <v>6.2876254180602009</v>
      </c>
      <c r="E102" s="3">
        <v>6.6086956521739131</v>
      </c>
      <c r="V102">
        <v>21</v>
      </c>
      <c r="W102" t="str">
        <v>Health Sciences</v>
      </c>
      <c r="X102">
        <v>6.3</v>
      </c>
      <c r="Y102">
        <v>4</v>
      </c>
      <c r="Z102">
        <v>18</v>
      </c>
      <c r="AA102">
        <v>14</v>
      </c>
      <c r="AB102">
        <v>26</v>
      </c>
      <c r="AC102">
        <v>8</v>
      </c>
      <c r="AD102">
        <v>51.8</v>
      </c>
      <c r="AE102">
        <v>2</v>
      </c>
      <c r="AF102" t="str">
        <v>Yes</v>
      </c>
      <c r="AG102" t="str">
        <v>Fall</v>
      </c>
      <c r="AH102" t="str">
        <v>Male</v>
      </c>
    </row>
    <row r="103" spans="2:34" x14ac:dyDescent="0.3">
      <c r="B103" s="2" t="s">
        <v>33</v>
      </c>
      <c r="C103" s="3">
        <v>11.723958333333334</v>
      </c>
      <c r="D103" s="3">
        <v>6.2673796791443852</v>
      </c>
      <c r="E103" s="3">
        <v>6.2085561497326207</v>
      </c>
      <c r="V103">
        <v>24</v>
      </c>
      <c r="W103" t="str">
        <v>Social Sciences</v>
      </c>
      <c r="X103">
        <v>3.9</v>
      </c>
      <c r="Y103">
        <v>4</v>
      </c>
      <c r="Z103">
        <v>1</v>
      </c>
      <c r="AA103">
        <v>1</v>
      </c>
      <c r="AB103">
        <v>5</v>
      </c>
      <c r="AC103">
        <v>27.1</v>
      </c>
      <c r="AD103">
        <v>80.400000000000006</v>
      </c>
      <c r="AE103">
        <v>3</v>
      </c>
      <c r="AF103" t="str">
        <v>Yes</v>
      </c>
      <c r="AG103" t="str">
        <v>Spring</v>
      </c>
      <c r="AH103" t="str">
        <v>Male</v>
      </c>
    </row>
    <row r="104" spans="2:34" x14ac:dyDescent="0.3">
      <c r="B104" s="2" t="s">
        <v>543</v>
      </c>
      <c r="C104" s="3">
        <v>12.116</v>
      </c>
      <c r="D104" s="3">
        <v>6.2798353909465021</v>
      </c>
      <c r="E104" s="3">
        <v>6.4547325102880659</v>
      </c>
      <c r="V104">
        <v>21</v>
      </c>
      <c r="W104" t="str">
        <v>STEM</v>
      </c>
      <c r="X104">
        <v>16</v>
      </c>
      <c r="Y104">
        <v>5</v>
      </c>
      <c r="Z104">
        <v>0</v>
      </c>
      <c r="AA104">
        <v>0</v>
      </c>
      <c r="AB104">
        <v>9</v>
      </c>
      <c r="AC104">
        <v>22.3</v>
      </c>
      <c r="AD104">
        <v>81.599999999999994</v>
      </c>
      <c r="AE104">
        <v>4</v>
      </c>
      <c r="AF104" t="str">
        <v>Yes</v>
      </c>
      <c r="AG104" t="str">
        <v>Summer</v>
      </c>
      <c r="AH104" t="str">
        <v>Male</v>
      </c>
    </row>
    <row r="105" spans="2:34" x14ac:dyDescent="0.3">
      <c r="V105">
        <v>23</v>
      </c>
      <c r="W105" t="str">
        <v>STEM</v>
      </c>
      <c r="X105">
        <v>3.1</v>
      </c>
      <c r="Y105">
        <v>0</v>
      </c>
      <c r="Z105">
        <v>12</v>
      </c>
      <c r="AA105">
        <v>13</v>
      </c>
      <c r="AB105">
        <v>17</v>
      </c>
      <c r="AC105">
        <v>39.1</v>
      </c>
      <c r="AD105">
        <v>100</v>
      </c>
      <c r="AE105">
        <v>0</v>
      </c>
      <c r="AF105" t="str">
        <v>Yes</v>
      </c>
      <c r="AG105" t="str">
        <v>Spring</v>
      </c>
      <c r="AH105" t="str">
        <v>Female</v>
      </c>
    </row>
    <row r="106" spans="2:34" x14ac:dyDescent="0.3">
      <c r="V106">
        <v>20</v>
      </c>
      <c r="W106" t="str">
        <v>STEM</v>
      </c>
      <c r="X106">
        <v>2</v>
      </c>
      <c r="Y106">
        <v>5</v>
      </c>
      <c r="Z106">
        <v>6</v>
      </c>
      <c r="AA106">
        <v>6</v>
      </c>
      <c r="AB106">
        <v>12</v>
      </c>
      <c r="AC106">
        <v>21.8</v>
      </c>
      <c r="AD106">
        <v>59.5</v>
      </c>
      <c r="AE106">
        <v>4</v>
      </c>
      <c r="AF106" t="str">
        <v>No</v>
      </c>
      <c r="AG106" t="str">
        <v>Spring</v>
      </c>
      <c r="AH106" t="str">
        <v>Male</v>
      </c>
    </row>
    <row r="107" spans="2:34" x14ac:dyDescent="0.3">
      <c r="V107">
        <v>21</v>
      </c>
      <c r="W107" t="str">
        <v>Business</v>
      </c>
      <c r="X107">
        <v>2.7</v>
      </c>
      <c r="Y107">
        <v>0</v>
      </c>
      <c r="Z107">
        <v>10</v>
      </c>
      <c r="AA107">
        <v>7</v>
      </c>
      <c r="AB107">
        <v>12</v>
      </c>
      <c r="AC107">
        <v>26.9</v>
      </c>
      <c r="AD107">
        <v>74.5</v>
      </c>
      <c r="AE107">
        <v>0</v>
      </c>
      <c r="AF107" t="str">
        <v>No</v>
      </c>
      <c r="AG107" t="str">
        <v>Spring</v>
      </c>
      <c r="AH107" t="str">
        <v>Male</v>
      </c>
    </row>
    <row r="108" spans="2:34" x14ac:dyDescent="0.3">
      <c r="V108">
        <v>20</v>
      </c>
      <c r="W108" t="str">
        <v>Business</v>
      </c>
      <c r="X108">
        <v>8.3000000000000007</v>
      </c>
      <c r="Y108">
        <v>3</v>
      </c>
      <c r="Z108">
        <v>4</v>
      </c>
      <c r="AA108">
        <v>2</v>
      </c>
      <c r="AB108">
        <v>9</v>
      </c>
      <c r="AC108">
        <v>15.5</v>
      </c>
      <c r="AD108">
        <v>96</v>
      </c>
      <c r="AE108">
        <v>4</v>
      </c>
      <c r="AF108" t="str">
        <v>Yes</v>
      </c>
      <c r="AG108" t="str">
        <v>Fall</v>
      </c>
      <c r="AH108" t="str">
        <v>Female</v>
      </c>
    </row>
    <row r="109" spans="2:34" x14ac:dyDescent="0.3">
      <c r="V109">
        <v>21</v>
      </c>
      <c r="W109" t="str">
        <v>Humanities</v>
      </c>
      <c r="X109">
        <v>4.5999999999999996</v>
      </c>
      <c r="Y109">
        <v>4</v>
      </c>
      <c r="Z109">
        <v>3</v>
      </c>
      <c r="AA109">
        <v>0</v>
      </c>
      <c r="AB109">
        <v>7</v>
      </c>
      <c r="AC109">
        <v>25.4</v>
      </c>
      <c r="AD109">
        <v>72.900000000000006</v>
      </c>
      <c r="AE109">
        <v>3</v>
      </c>
      <c r="AF109" t="str">
        <v>No</v>
      </c>
      <c r="AG109" t="str">
        <v>Spring</v>
      </c>
      <c r="AH109" t="str">
        <v>Non-binary</v>
      </c>
    </row>
    <row r="110" spans="2:34" x14ac:dyDescent="0.3">
      <c r="V110">
        <v>23</v>
      </c>
      <c r="W110" t="str">
        <v>Business</v>
      </c>
      <c r="X110">
        <v>4.2</v>
      </c>
      <c r="Y110">
        <v>0</v>
      </c>
      <c r="Z110">
        <v>6</v>
      </c>
      <c r="AA110">
        <v>3</v>
      </c>
      <c r="AB110">
        <v>9</v>
      </c>
      <c r="AC110">
        <v>29.3</v>
      </c>
      <c r="AD110">
        <v>84</v>
      </c>
      <c r="AE110">
        <v>4</v>
      </c>
      <c r="AF110" t="str">
        <v>Yes</v>
      </c>
      <c r="AG110" t="str">
        <v>Spring</v>
      </c>
      <c r="AH110" t="str">
        <v>Male</v>
      </c>
    </row>
    <row r="111" spans="2:34" x14ac:dyDescent="0.3">
      <c r="V111">
        <v>18</v>
      </c>
      <c r="W111" t="str">
        <v>Health Sciences</v>
      </c>
      <c r="X111">
        <v>3.1</v>
      </c>
      <c r="Y111">
        <v>0</v>
      </c>
      <c r="Z111">
        <v>5</v>
      </c>
      <c r="AA111">
        <v>5</v>
      </c>
      <c r="AB111">
        <v>10</v>
      </c>
      <c r="AC111">
        <v>13.1</v>
      </c>
      <c r="AD111">
        <v>84.3</v>
      </c>
      <c r="AE111">
        <v>2</v>
      </c>
      <c r="AF111" t="str">
        <v>No</v>
      </c>
      <c r="AG111" t="str">
        <v>Summer</v>
      </c>
      <c r="AH111" t="str">
        <v>Female</v>
      </c>
    </row>
    <row r="112" spans="2:34" x14ac:dyDescent="0.3">
      <c r="B112" t="s">
        <v>542</v>
      </c>
      <c r="C112" t="s">
        <v>544</v>
      </c>
      <c r="F112" t="s">
        <v>542</v>
      </c>
      <c r="G112" t="s">
        <v>544</v>
      </c>
      <c r="J112" t="s">
        <v>542</v>
      </c>
      <c r="K112" t="s">
        <v>544</v>
      </c>
      <c r="V112">
        <v>22</v>
      </c>
      <c r="W112" t="str">
        <v>Arts</v>
      </c>
      <c r="X112">
        <v>4</v>
      </c>
      <c r="Y112">
        <v>0</v>
      </c>
      <c r="Z112">
        <v>6</v>
      </c>
      <c r="AA112">
        <v>8</v>
      </c>
      <c r="AB112">
        <v>13</v>
      </c>
      <c r="AC112">
        <v>13.2</v>
      </c>
      <c r="AD112">
        <v>84.4</v>
      </c>
      <c r="AE112">
        <v>5</v>
      </c>
      <c r="AF112" t="str">
        <v>Yes</v>
      </c>
      <c r="AG112" t="str">
        <v>Spring</v>
      </c>
      <c r="AH112" t="str">
        <v>Female</v>
      </c>
    </row>
    <row r="113" spans="2:34" x14ac:dyDescent="0.3">
      <c r="B113" t="s">
        <v>556</v>
      </c>
      <c r="C113">
        <v>14</v>
      </c>
      <c r="F113" t="s">
        <v>556</v>
      </c>
      <c r="G113">
        <v>14</v>
      </c>
      <c r="J113" t="s">
        <v>562</v>
      </c>
      <c r="K113">
        <v>14</v>
      </c>
      <c r="V113">
        <v>22</v>
      </c>
      <c r="W113" t="str">
        <v>STEM</v>
      </c>
      <c r="X113">
        <v>3</v>
      </c>
      <c r="Y113">
        <v>3</v>
      </c>
      <c r="Z113">
        <v>13</v>
      </c>
      <c r="AA113">
        <v>9</v>
      </c>
      <c r="AB113">
        <v>16</v>
      </c>
      <c r="AC113">
        <v>13.9</v>
      </c>
      <c r="AD113">
        <v>92.8</v>
      </c>
      <c r="AE113">
        <v>2</v>
      </c>
      <c r="AF113" t="str">
        <v>No</v>
      </c>
      <c r="AG113" t="str">
        <v>Summer</v>
      </c>
      <c r="AH113" t="str">
        <v>Non-binary</v>
      </c>
    </row>
    <row r="114" spans="2:34" x14ac:dyDescent="0.3">
      <c r="B114" t="s">
        <v>557</v>
      </c>
      <c r="C114">
        <v>167</v>
      </c>
      <c r="F114" t="s">
        <v>557</v>
      </c>
      <c r="G114">
        <v>224</v>
      </c>
      <c r="J114" t="s">
        <v>563</v>
      </c>
      <c r="K114">
        <v>326</v>
      </c>
      <c r="V114">
        <v>20</v>
      </c>
      <c r="W114" t="str">
        <v>Social Sciences</v>
      </c>
      <c r="X114">
        <v>6.6</v>
      </c>
      <c r="Y114">
        <v>4</v>
      </c>
      <c r="Z114">
        <v>8</v>
      </c>
      <c r="AA114">
        <v>10</v>
      </c>
      <c r="AB114">
        <v>14</v>
      </c>
      <c r="AC114">
        <v>6</v>
      </c>
      <c r="AD114">
        <v>81.599999999999994</v>
      </c>
      <c r="AE114">
        <v>5</v>
      </c>
      <c r="AF114" t="str">
        <v>Yes</v>
      </c>
      <c r="AG114" t="str">
        <v>Spring</v>
      </c>
      <c r="AH114" t="str">
        <v>Male</v>
      </c>
    </row>
    <row r="115" spans="2:34" x14ac:dyDescent="0.3">
      <c r="B115" t="s">
        <v>558</v>
      </c>
      <c r="C115">
        <v>217</v>
      </c>
      <c r="F115" t="s">
        <v>558</v>
      </c>
      <c r="G115">
        <v>178</v>
      </c>
      <c r="J115" t="s">
        <v>564</v>
      </c>
      <c r="K115">
        <v>160</v>
      </c>
      <c r="V115">
        <v>18</v>
      </c>
      <c r="W115" t="str">
        <v>Social Sciences</v>
      </c>
      <c r="X115">
        <v>3.6</v>
      </c>
      <c r="Y115">
        <v>1</v>
      </c>
      <c r="Z115">
        <v>3</v>
      </c>
      <c r="AA115">
        <v>3</v>
      </c>
      <c r="AB115">
        <v>5</v>
      </c>
      <c r="AC115">
        <v>20.100000000000001</v>
      </c>
      <c r="AD115">
        <v>94.1</v>
      </c>
      <c r="AE115">
        <v>3</v>
      </c>
      <c r="AF115" t="str">
        <v>No</v>
      </c>
      <c r="AG115" t="str">
        <v>Spring</v>
      </c>
      <c r="AH115" t="str">
        <v>Male</v>
      </c>
    </row>
    <row r="116" spans="2:34" x14ac:dyDescent="0.3">
      <c r="B116" t="s">
        <v>559</v>
      </c>
      <c r="C116">
        <v>60</v>
      </c>
      <c r="F116" t="s">
        <v>559</v>
      </c>
      <c r="G116">
        <v>64</v>
      </c>
      <c r="V116">
        <v>22</v>
      </c>
      <c r="W116" t="str">
        <v>Humanities</v>
      </c>
      <c r="X116">
        <v>2.7</v>
      </c>
      <c r="Y116">
        <v>1</v>
      </c>
      <c r="Z116">
        <v>12</v>
      </c>
      <c r="AA116">
        <v>9</v>
      </c>
      <c r="AB116">
        <v>24</v>
      </c>
      <c r="AC116">
        <v>12.8</v>
      </c>
      <c r="AD116">
        <v>74.3</v>
      </c>
      <c r="AE116">
        <v>0</v>
      </c>
      <c r="AF116" t="str">
        <v>No</v>
      </c>
      <c r="AG116" t="str">
        <v>Spring</v>
      </c>
      <c r="AH116" t="str">
        <v>Female</v>
      </c>
    </row>
    <row r="117" spans="2:34" x14ac:dyDescent="0.3">
      <c r="B117" t="s">
        <v>560</v>
      </c>
      <c r="C117">
        <v>28</v>
      </c>
      <c r="F117" t="s">
        <v>561</v>
      </c>
      <c r="G117">
        <v>20</v>
      </c>
      <c r="V117">
        <v>20</v>
      </c>
      <c r="W117" t="str">
        <v>STEM</v>
      </c>
      <c r="X117">
        <v>7.9</v>
      </c>
      <c r="Y117">
        <v>3</v>
      </c>
      <c r="Z117">
        <v>4</v>
      </c>
      <c r="AA117">
        <v>2</v>
      </c>
      <c r="AB117">
        <v>12</v>
      </c>
      <c r="AC117">
        <v>20</v>
      </c>
      <c r="AD117">
        <v>65.8</v>
      </c>
      <c r="AE117">
        <v>3</v>
      </c>
      <c r="AF117" t="str">
        <v>No</v>
      </c>
      <c r="AG117" t="str">
        <v>Summer</v>
      </c>
      <c r="AH117" t="str">
        <v>Male</v>
      </c>
    </row>
    <row r="118" spans="2:34" x14ac:dyDescent="0.3">
      <c r="B118" t="s">
        <v>561</v>
      </c>
      <c r="C118">
        <v>14</v>
      </c>
      <c r="V118">
        <v>22</v>
      </c>
      <c r="W118" t="str">
        <v>Health Sciences</v>
      </c>
      <c r="X118">
        <v>2</v>
      </c>
      <c r="Y118">
        <v>1</v>
      </c>
      <c r="Z118">
        <v>8</v>
      </c>
      <c r="AA118">
        <v>9</v>
      </c>
      <c r="AB118">
        <v>15</v>
      </c>
      <c r="AC118">
        <v>21.2</v>
      </c>
      <c r="AD118">
        <v>72.8</v>
      </c>
      <c r="AE118">
        <v>2</v>
      </c>
      <c r="AF118" t="str">
        <v>No</v>
      </c>
      <c r="AG118" t="str">
        <v>Spring</v>
      </c>
      <c r="AH118" t="str">
        <v>Male</v>
      </c>
    </row>
    <row r="119" spans="2:34" x14ac:dyDescent="0.3">
      <c r="V119">
        <v>22</v>
      </c>
      <c r="W119" t="str">
        <v>Law</v>
      </c>
      <c r="X119">
        <v>4.7</v>
      </c>
      <c r="Y119">
        <v>4</v>
      </c>
      <c r="Z119">
        <v>10</v>
      </c>
      <c r="AA119">
        <v>13</v>
      </c>
      <c r="AB119">
        <v>21</v>
      </c>
      <c r="AC119">
        <v>3.4</v>
      </c>
      <c r="AD119">
        <v>61</v>
      </c>
      <c r="AE119">
        <v>3</v>
      </c>
      <c r="AF119" t="str">
        <v>Yes</v>
      </c>
      <c r="AG119" t="str">
        <v>Summer</v>
      </c>
      <c r="AH119" t="str">
        <v>Female</v>
      </c>
    </row>
    <row r="120" spans="2:34" x14ac:dyDescent="0.3">
      <c r="V120">
        <v>25</v>
      </c>
      <c r="W120" t="str">
        <v>Social Sciences</v>
      </c>
      <c r="X120">
        <v>1</v>
      </c>
      <c r="Y120">
        <v>6</v>
      </c>
      <c r="Z120">
        <v>4</v>
      </c>
      <c r="AA120">
        <v>1</v>
      </c>
      <c r="AB120">
        <v>2</v>
      </c>
      <c r="AC120">
        <v>80.8</v>
      </c>
      <c r="AD120">
        <v>100</v>
      </c>
      <c r="AE120">
        <v>4</v>
      </c>
      <c r="AF120" t="str">
        <v>No</v>
      </c>
      <c r="AG120" t="str">
        <v>Summer</v>
      </c>
      <c r="AH120" t="str">
        <v>Female</v>
      </c>
    </row>
    <row r="121" spans="2:34" x14ac:dyDescent="0.3">
      <c r="B121" t="s">
        <v>542</v>
      </c>
      <c r="C121" t="s">
        <v>547</v>
      </c>
      <c r="D121" t="s">
        <v>546</v>
      </c>
      <c r="E121" t="s">
        <v>545</v>
      </c>
      <c r="H121" s="53" t="s">
        <v>569</v>
      </c>
      <c r="I121" t="s">
        <v>583</v>
      </c>
      <c r="V121">
        <v>21</v>
      </c>
      <c r="W121" t="str">
        <v>Arts</v>
      </c>
      <c r="X121">
        <v>1.4</v>
      </c>
      <c r="Y121">
        <v>4</v>
      </c>
      <c r="Z121">
        <v>6</v>
      </c>
      <c r="AA121">
        <v>5</v>
      </c>
      <c r="AB121">
        <v>4</v>
      </c>
      <c r="AC121">
        <v>13.1</v>
      </c>
      <c r="AD121">
        <v>72.900000000000006</v>
      </c>
      <c r="AE121">
        <v>4</v>
      </c>
      <c r="AF121" t="str">
        <v>Yes</v>
      </c>
      <c r="AG121" t="str">
        <v>Spring</v>
      </c>
      <c r="AH121" t="str">
        <v>Male</v>
      </c>
    </row>
    <row r="122" spans="2:34" x14ac:dyDescent="0.3">
      <c r="B122" t="s">
        <v>22</v>
      </c>
      <c r="C122">
        <v>12.36</v>
      </c>
      <c r="D122">
        <v>6.29</v>
      </c>
      <c r="E122">
        <v>6.61</v>
      </c>
      <c r="H122" t="s">
        <v>641</v>
      </c>
      <c r="I122">
        <f>GETPIVOTDATA("student_id",$B$82)</f>
        <v>42</v>
      </c>
      <c r="V122">
        <v>19</v>
      </c>
      <c r="W122" t="str">
        <v>Law</v>
      </c>
      <c r="X122">
        <v>3.3</v>
      </c>
      <c r="Y122">
        <v>5</v>
      </c>
      <c r="Z122">
        <v>15</v>
      </c>
      <c r="AA122">
        <v>14</v>
      </c>
      <c r="AB122">
        <v>20</v>
      </c>
      <c r="AC122">
        <v>21.2</v>
      </c>
      <c r="AD122">
        <v>70</v>
      </c>
      <c r="AE122">
        <v>2</v>
      </c>
      <c r="AF122" t="str">
        <v>No</v>
      </c>
      <c r="AG122" t="str">
        <v>Fall</v>
      </c>
      <c r="AH122" t="str">
        <v>Female</v>
      </c>
    </row>
    <row r="123" spans="2:34" x14ac:dyDescent="0.3">
      <c r="B123" t="s">
        <v>33</v>
      </c>
      <c r="C123">
        <v>11.72</v>
      </c>
      <c r="D123">
        <v>6.27</v>
      </c>
      <c r="E123">
        <v>6.21</v>
      </c>
      <c r="H123" t="s">
        <v>640</v>
      </c>
      <c r="I123">
        <f>GETPIVOTDATA("student_id",$E$82)</f>
        <v>20</v>
      </c>
      <c r="V123">
        <v>22</v>
      </c>
      <c r="W123" t="str">
        <v>Business</v>
      </c>
      <c r="X123">
        <v>2.9</v>
      </c>
      <c r="Y123">
        <v>3</v>
      </c>
      <c r="Z123">
        <v>15</v>
      </c>
      <c r="AA123">
        <v>9</v>
      </c>
      <c r="AB123">
        <v>15</v>
      </c>
      <c r="AC123">
        <v>20</v>
      </c>
      <c r="AD123">
        <v>86.1</v>
      </c>
      <c r="AE123">
        <v>4</v>
      </c>
      <c r="AF123" t="str">
        <v>Yes</v>
      </c>
      <c r="AG123" t="str">
        <v>Fall</v>
      </c>
      <c r="AH123" t="str">
        <v>Male</v>
      </c>
    </row>
    <row r="124" spans="2:34" x14ac:dyDescent="0.3">
      <c r="H124" t="s">
        <v>562</v>
      </c>
      <c r="I124">
        <f>GETPIVOTDATA("student_id",$H$82)</f>
        <v>14</v>
      </c>
      <c r="V124">
        <v>22</v>
      </c>
      <c r="W124" t="str">
        <v>Social Sciences</v>
      </c>
      <c r="X124">
        <v>2.9</v>
      </c>
      <c r="Y124">
        <v>4</v>
      </c>
      <c r="Z124">
        <v>7</v>
      </c>
      <c r="AA124">
        <v>8</v>
      </c>
      <c r="AB124">
        <v>12</v>
      </c>
      <c r="AC124">
        <v>28.7</v>
      </c>
      <c r="AD124">
        <v>65</v>
      </c>
      <c r="AE124">
        <v>5</v>
      </c>
      <c r="AF124" t="str">
        <v>Yes</v>
      </c>
      <c r="AG124" t="str">
        <v>Spring</v>
      </c>
      <c r="AH124" t="str">
        <v>Male</v>
      </c>
    </row>
    <row r="125" spans="2:34" x14ac:dyDescent="0.3">
      <c r="V125">
        <v>24</v>
      </c>
      <c r="W125" t="str">
        <v>Business</v>
      </c>
      <c r="X125">
        <v>7.1</v>
      </c>
      <c r="Y125">
        <v>1</v>
      </c>
      <c r="Z125">
        <v>2</v>
      </c>
      <c r="AA125">
        <v>6</v>
      </c>
      <c r="AB125">
        <v>9</v>
      </c>
      <c r="AC125">
        <v>16.600000000000001</v>
      </c>
      <c r="AD125">
        <v>88.2</v>
      </c>
      <c r="AE125">
        <v>4</v>
      </c>
      <c r="AF125" t="str">
        <v>No</v>
      </c>
      <c r="AG125" t="str">
        <v>Fall</v>
      </c>
      <c r="AH125" t="str">
        <v>Female</v>
      </c>
    </row>
    <row r="126" spans="2:34" x14ac:dyDescent="0.3">
      <c r="B126" t="s">
        <v>542</v>
      </c>
      <c r="C126" t="s">
        <v>544</v>
      </c>
      <c r="F126" t="s">
        <v>542</v>
      </c>
      <c r="G126" t="s">
        <v>544</v>
      </c>
      <c r="V126">
        <v>23</v>
      </c>
      <c r="W126" t="str">
        <v>Law</v>
      </c>
      <c r="X126">
        <v>7.3</v>
      </c>
      <c r="Y126">
        <v>0</v>
      </c>
      <c r="Z126">
        <v>3</v>
      </c>
      <c r="AA126">
        <v>4</v>
      </c>
      <c r="AB126">
        <v>11</v>
      </c>
      <c r="AC126">
        <v>2.6</v>
      </c>
      <c r="AD126">
        <v>72.599999999999994</v>
      </c>
      <c r="AE126">
        <v>3</v>
      </c>
      <c r="AF126" t="str">
        <v>Yes</v>
      </c>
      <c r="AG126" t="str">
        <v>Spring</v>
      </c>
      <c r="AH126" t="str">
        <v>Male</v>
      </c>
    </row>
    <row r="127" spans="2:34" x14ac:dyDescent="0.3">
      <c r="B127" t="s">
        <v>35</v>
      </c>
      <c r="C127">
        <v>36</v>
      </c>
      <c r="F127" t="s">
        <v>551</v>
      </c>
      <c r="G127">
        <v>118</v>
      </c>
      <c r="V127">
        <v>22</v>
      </c>
      <c r="W127" t="str">
        <v>STEM</v>
      </c>
      <c r="X127">
        <v>5.3</v>
      </c>
      <c r="Y127">
        <v>3</v>
      </c>
      <c r="Z127">
        <v>10</v>
      </c>
      <c r="AA127">
        <v>10</v>
      </c>
      <c r="AB127">
        <v>13</v>
      </c>
      <c r="AC127">
        <v>18.8</v>
      </c>
      <c r="AD127">
        <v>96.8</v>
      </c>
      <c r="AE127">
        <v>1</v>
      </c>
      <c r="AF127" t="str">
        <v>No</v>
      </c>
      <c r="AG127" t="str">
        <v>Spring</v>
      </c>
      <c r="AH127" t="str">
        <v>Male</v>
      </c>
    </row>
    <row r="128" spans="2:34" x14ac:dyDescent="0.3">
      <c r="B128" t="s">
        <v>21</v>
      </c>
      <c r="C128">
        <v>102</v>
      </c>
      <c r="F128" t="s">
        <v>552</v>
      </c>
      <c r="G128">
        <v>124</v>
      </c>
      <c r="V128">
        <v>25</v>
      </c>
      <c r="W128" t="str">
        <v>Business</v>
      </c>
      <c r="X128">
        <v>2</v>
      </c>
      <c r="Y128">
        <v>0</v>
      </c>
      <c r="Z128">
        <v>5</v>
      </c>
      <c r="AA128">
        <v>9</v>
      </c>
      <c r="AB128">
        <v>13</v>
      </c>
      <c r="AC128">
        <v>18.600000000000001</v>
      </c>
      <c r="AD128">
        <v>77.400000000000006</v>
      </c>
      <c r="AE128">
        <v>5</v>
      </c>
      <c r="AF128" t="str">
        <v>Yes</v>
      </c>
      <c r="AG128" t="str">
        <v>Summer</v>
      </c>
      <c r="AH128" t="str">
        <v>Prefer not to say</v>
      </c>
    </row>
    <row r="129" spans="2:34" x14ac:dyDescent="0.3">
      <c r="B129" t="s">
        <v>47</v>
      </c>
      <c r="C129">
        <v>55</v>
      </c>
      <c r="F129" t="s">
        <v>553</v>
      </c>
      <c r="G129">
        <v>111</v>
      </c>
      <c r="V129">
        <v>19</v>
      </c>
      <c r="W129" t="str">
        <v>Health Sciences</v>
      </c>
      <c r="X129">
        <v>4</v>
      </c>
      <c r="Y129">
        <v>5</v>
      </c>
      <c r="Z129">
        <v>6</v>
      </c>
      <c r="AA129">
        <v>10</v>
      </c>
      <c r="AB129">
        <v>13</v>
      </c>
      <c r="AC129">
        <v>14.3</v>
      </c>
      <c r="AD129">
        <v>88.8</v>
      </c>
      <c r="AE129">
        <v>3</v>
      </c>
      <c r="AF129" t="str">
        <v>No</v>
      </c>
      <c r="AG129" t="str">
        <v>Summer</v>
      </c>
      <c r="AH129" t="str">
        <v>Male</v>
      </c>
    </row>
    <row r="130" spans="2:34" x14ac:dyDescent="0.3">
      <c r="B130" t="s">
        <v>32</v>
      </c>
      <c r="C130">
        <v>53</v>
      </c>
      <c r="F130" t="s">
        <v>554</v>
      </c>
      <c r="G130">
        <v>103</v>
      </c>
      <c r="V130">
        <v>20</v>
      </c>
      <c r="W130" t="str">
        <v>STEM</v>
      </c>
      <c r="X130">
        <v>12.8</v>
      </c>
      <c r="Y130">
        <v>4</v>
      </c>
      <c r="Z130">
        <v>3</v>
      </c>
      <c r="AA130">
        <v>4</v>
      </c>
      <c r="AB130">
        <v>10</v>
      </c>
      <c r="AC130">
        <v>20.8</v>
      </c>
      <c r="AD130">
        <v>80.3</v>
      </c>
      <c r="AE130">
        <v>3</v>
      </c>
      <c r="AF130" t="str">
        <v>No</v>
      </c>
      <c r="AG130" t="str">
        <v>Spring</v>
      </c>
      <c r="AH130" t="str">
        <v>Female</v>
      </c>
    </row>
    <row r="131" spans="2:34" x14ac:dyDescent="0.3">
      <c r="B131" t="s">
        <v>63</v>
      </c>
      <c r="C131">
        <v>24</v>
      </c>
      <c r="F131" t="s">
        <v>555</v>
      </c>
      <c r="G131">
        <v>44</v>
      </c>
      <c r="V131">
        <v>20</v>
      </c>
      <c r="W131" t="str">
        <v>Health Sciences</v>
      </c>
      <c r="X131">
        <v>16</v>
      </c>
      <c r="Y131">
        <v>6</v>
      </c>
      <c r="Z131">
        <v>3</v>
      </c>
      <c r="AA131">
        <v>3</v>
      </c>
      <c r="AB131">
        <v>7</v>
      </c>
      <c r="AC131">
        <v>19.100000000000001</v>
      </c>
      <c r="AD131">
        <v>93.4</v>
      </c>
      <c r="AE131">
        <v>4</v>
      </c>
      <c r="AF131" t="str">
        <v>No</v>
      </c>
      <c r="AG131" t="str">
        <v>Fall</v>
      </c>
      <c r="AH131" t="str">
        <v>Male</v>
      </c>
    </row>
    <row r="132" spans="2:34" x14ac:dyDescent="0.3">
      <c r="B132" t="s">
        <v>49</v>
      </c>
      <c r="C132">
        <v>70</v>
      </c>
      <c r="F132" t="s">
        <v>643</v>
      </c>
      <c r="G132">
        <v>500</v>
      </c>
      <c r="V132">
        <v>21</v>
      </c>
      <c r="W132" t="str">
        <v>Business</v>
      </c>
      <c r="X132">
        <v>7.9</v>
      </c>
      <c r="Y132">
        <v>2</v>
      </c>
      <c r="Z132">
        <v>7</v>
      </c>
      <c r="AA132">
        <v>5</v>
      </c>
      <c r="AB132">
        <v>16</v>
      </c>
      <c r="AC132">
        <v>5.9</v>
      </c>
      <c r="AD132">
        <v>78.599999999999994</v>
      </c>
      <c r="AE132">
        <v>3</v>
      </c>
      <c r="AF132" t="str">
        <v>Yes</v>
      </c>
      <c r="AG132" t="str">
        <v>Fall</v>
      </c>
      <c r="AH132" t="str">
        <v>Female</v>
      </c>
    </row>
    <row r="133" spans="2:34" x14ac:dyDescent="0.3">
      <c r="B133" t="s">
        <v>30</v>
      </c>
      <c r="C133">
        <v>160</v>
      </c>
      <c r="V133">
        <v>19</v>
      </c>
      <c r="W133" t="str">
        <v>Law</v>
      </c>
      <c r="X133">
        <v>2</v>
      </c>
      <c r="Y133">
        <v>3</v>
      </c>
      <c r="Z133">
        <v>2</v>
      </c>
      <c r="AA133">
        <v>5</v>
      </c>
      <c r="AB133">
        <v>8</v>
      </c>
      <c r="AC133">
        <v>23.9</v>
      </c>
      <c r="AD133">
        <v>57.4</v>
      </c>
      <c r="AE133">
        <v>4</v>
      </c>
      <c r="AF133" t="str">
        <v>Yes</v>
      </c>
      <c r="AG133" t="str">
        <v>Spring</v>
      </c>
      <c r="AH133" t="str">
        <v>Prefer not to say</v>
      </c>
    </row>
    <row r="134" spans="2:34" x14ac:dyDescent="0.3">
      <c r="V134">
        <v>23</v>
      </c>
      <c r="W134" t="str">
        <v>Health Sciences</v>
      </c>
      <c r="X134">
        <v>4</v>
      </c>
      <c r="Y134">
        <v>4</v>
      </c>
      <c r="Z134">
        <v>2</v>
      </c>
      <c r="AA134">
        <v>1</v>
      </c>
      <c r="AB134">
        <v>12</v>
      </c>
      <c r="AC134">
        <v>15.6</v>
      </c>
      <c r="AD134">
        <v>93.8</v>
      </c>
      <c r="AE134">
        <v>1</v>
      </c>
      <c r="AF134" t="str">
        <v>Yes</v>
      </c>
      <c r="AG134" t="str">
        <v>Fall</v>
      </c>
      <c r="AH134" t="str">
        <v>Non-binary</v>
      </c>
    </row>
    <row r="135" spans="2:34" x14ac:dyDescent="0.3">
      <c r="V135">
        <v>21</v>
      </c>
      <c r="W135" t="str">
        <v>STEM</v>
      </c>
      <c r="X135">
        <v>5</v>
      </c>
      <c r="Y135">
        <v>1</v>
      </c>
      <c r="Z135">
        <v>2</v>
      </c>
      <c r="AA135">
        <v>3</v>
      </c>
      <c r="AB135">
        <v>5</v>
      </c>
      <c r="AC135">
        <v>19.600000000000001</v>
      </c>
      <c r="AD135">
        <v>78</v>
      </c>
      <c r="AE135">
        <v>4</v>
      </c>
      <c r="AF135" t="str">
        <v>Yes</v>
      </c>
      <c r="AG135" t="str">
        <v>Spring</v>
      </c>
      <c r="AH135" t="str">
        <v>Female</v>
      </c>
    </row>
    <row r="136" spans="2:34" x14ac:dyDescent="0.3">
      <c r="V136">
        <v>18</v>
      </c>
      <c r="W136" t="str">
        <v>Social Sciences</v>
      </c>
      <c r="X136">
        <v>4.5999999999999996</v>
      </c>
      <c r="Y136">
        <v>3</v>
      </c>
      <c r="Z136">
        <v>8</v>
      </c>
      <c r="AA136">
        <v>7</v>
      </c>
      <c r="AB136">
        <v>16</v>
      </c>
      <c r="AC136">
        <v>13.7</v>
      </c>
      <c r="AD136">
        <v>92.1</v>
      </c>
      <c r="AE136">
        <v>5</v>
      </c>
      <c r="AF136" t="str">
        <v>No</v>
      </c>
      <c r="AG136" t="str">
        <v>Summer</v>
      </c>
      <c r="AH136" t="str">
        <v>Female</v>
      </c>
    </row>
    <row r="137" spans="2:34" x14ac:dyDescent="0.3">
      <c r="V137">
        <v>19</v>
      </c>
      <c r="W137" t="str">
        <v>Business</v>
      </c>
      <c r="X137">
        <v>8.4</v>
      </c>
      <c r="Y137">
        <v>3</v>
      </c>
      <c r="Z137">
        <v>9</v>
      </c>
      <c r="AA137">
        <v>7</v>
      </c>
      <c r="AB137">
        <v>14</v>
      </c>
      <c r="AC137">
        <v>28.3</v>
      </c>
      <c r="AD137">
        <v>86.4</v>
      </c>
      <c r="AE137">
        <v>5</v>
      </c>
      <c r="AF137" t="str">
        <v>Yes</v>
      </c>
      <c r="AG137" t="str">
        <v>Spring</v>
      </c>
      <c r="AH137" t="str">
        <v>Female</v>
      </c>
    </row>
    <row r="138" spans="2:34" x14ac:dyDescent="0.3">
      <c r="V138">
        <v>22</v>
      </c>
      <c r="W138" t="str">
        <v>Humanities</v>
      </c>
      <c r="X138">
        <v>6.9</v>
      </c>
      <c r="Y138">
        <v>6</v>
      </c>
      <c r="Z138">
        <v>5</v>
      </c>
      <c r="AA138">
        <v>6</v>
      </c>
      <c r="AB138">
        <v>10</v>
      </c>
      <c r="AC138">
        <v>14.7</v>
      </c>
      <c r="AD138">
        <v>65.599999999999994</v>
      </c>
      <c r="AE138">
        <v>5</v>
      </c>
      <c r="AF138" t="str">
        <v>Yes</v>
      </c>
      <c r="AG138" t="str">
        <v>Spring</v>
      </c>
      <c r="AH138" t="str">
        <v>Female</v>
      </c>
    </row>
    <row r="139" spans="2:34" x14ac:dyDescent="0.3">
      <c r="V139">
        <v>23</v>
      </c>
      <c r="W139" t="str">
        <v>Social Sciences</v>
      </c>
      <c r="X139">
        <v>1.9</v>
      </c>
      <c r="Y139">
        <v>4</v>
      </c>
      <c r="Z139">
        <v>5</v>
      </c>
      <c r="AA139">
        <v>10</v>
      </c>
      <c r="AB139">
        <v>14</v>
      </c>
      <c r="AC139">
        <v>14.9</v>
      </c>
      <c r="AD139">
        <v>65.7</v>
      </c>
      <c r="AE139">
        <v>5</v>
      </c>
      <c r="AF139" t="str">
        <v>Yes</v>
      </c>
      <c r="AG139" t="str">
        <v>Spring</v>
      </c>
      <c r="AH139" t="str">
        <v>Male</v>
      </c>
    </row>
    <row r="140" spans="2:34" x14ac:dyDescent="0.3">
      <c r="V140">
        <v>26</v>
      </c>
      <c r="W140" t="str">
        <v>Health Sciences</v>
      </c>
      <c r="X140">
        <v>2.8</v>
      </c>
      <c r="Y140">
        <v>0</v>
      </c>
      <c r="Z140">
        <v>11</v>
      </c>
      <c r="AA140">
        <v>9</v>
      </c>
      <c r="AB140">
        <v>15</v>
      </c>
      <c r="AC140">
        <v>15</v>
      </c>
      <c r="AD140">
        <v>91.7</v>
      </c>
      <c r="AE140">
        <v>3</v>
      </c>
      <c r="AF140" t="str">
        <v>No</v>
      </c>
      <c r="AG140" t="str">
        <v>Summer</v>
      </c>
      <c r="AH140" t="str">
        <v>Female</v>
      </c>
    </row>
    <row r="141" spans="2:34" x14ac:dyDescent="0.3">
      <c r="V141">
        <v>28</v>
      </c>
      <c r="W141" t="str">
        <v>STEM</v>
      </c>
      <c r="X141">
        <v>7.9</v>
      </c>
      <c r="Y141">
        <v>3</v>
      </c>
      <c r="Z141">
        <v>12</v>
      </c>
      <c r="AA141">
        <v>9</v>
      </c>
      <c r="AB141">
        <v>9</v>
      </c>
      <c r="AC141">
        <v>19.7</v>
      </c>
      <c r="AD141">
        <v>77.3</v>
      </c>
      <c r="AE141">
        <v>5</v>
      </c>
      <c r="AF141" t="str">
        <v>Yes</v>
      </c>
      <c r="AG141" t="str">
        <v>Spring</v>
      </c>
      <c r="AH141" t="str">
        <v>Male</v>
      </c>
    </row>
    <row r="142" spans="2:34" x14ac:dyDescent="0.3">
      <c r="V142">
        <v>22</v>
      </c>
      <c r="W142" t="str">
        <v>STEM</v>
      </c>
      <c r="X142">
        <v>10.1</v>
      </c>
      <c r="Y142">
        <v>3</v>
      </c>
      <c r="Z142">
        <v>4</v>
      </c>
      <c r="AA142">
        <v>7</v>
      </c>
      <c r="AB142">
        <v>1</v>
      </c>
      <c r="AC142">
        <v>27.1</v>
      </c>
      <c r="AD142">
        <v>90.4</v>
      </c>
      <c r="AE142">
        <v>5</v>
      </c>
      <c r="AF142" t="str">
        <v>Yes</v>
      </c>
      <c r="AG142" t="str">
        <v>Spring</v>
      </c>
      <c r="AH142" t="str">
        <v>Male</v>
      </c>
    </row>
    <row r="143" spans="2:34" x14ac:dyDescent="0.3">
      <c r="V143">
        <v>19</v>
      </c>
      <c r="W143" t="str">
        <v>Social Sciences</v>
      </c>
      <c r="X143">
        <v>5.0999999999999996</v>
      </c>
      <c r="Y143">
        <v>1</v>
      </c>
      <c r="Z143">
        <v>13</v>
      </c>
      <c r="AA143">
        <v>11</v>
      </c>
      <c r="AB143">
        <v>22</v>
      </c>
      <c r="AC143">
        <v>21.8</v>
      </c>
      <c r="AD143">
        <v>80</v>
      </c>
      <c r="AE143">
        <v>3</v>
      </c>
      <c r="AF143" t="str">
        <v>No</v>
      </c>
      <c r="AG143" t="str">
        <v>Fall</v>
      </c>
      <c r="AH143" t="str">
        <v>Male</v>
      </c>
    </row>
    <row r="144" spans="2:34" x14ac:dyDescent="0.3">
      <c r="V144">
        <v>17</v>
      </c>
      <c r="W144" t="str">
        <v>Humanities</v>
      </c>
      <c r="X144">
        <v>10.8</v>
      </c>
      <c r="Y144">
        <v>2</v>
      </c>
      <c r="Z144">
        <v>17</v>
      </c>
      <c r="AA144">
        <v>16</v>
      </c>
      <c r="AB144">
        <v>27</v>
      </c>
      <c r="AC144">
        <v>20.2</v>
      </c>
      <c r="AD144">
        <v>95.3</v>
      </c>
      <c r="AE144">
        <v>3</v>
      </c>
      <c r="AF144" t="str">
        <v>Yes</v>
      </c>
      <c r="AG144" t="str">
        <v>Spring</v>
      </c>
      <c r="AH144" t="str">
        <v>Female</v>
      </c>
    </row>
    <row r="145" spans="22:34" x14ac:dyDescent="0.3">
      <c r="V145">
        <v>22</v>
      </c>
      <c r="W145" t="str">
        <v>Business</v>
      </c>
      <c r="X145">
        <v>4.7</v>
      </c>
      <c r="Y145">
        <v>2</v>
      </c>
      <c r="Z145">
        <v>8</v>
      </c>
      <c r="AA145">
        <v>8</v>
      </c>
      <c r="AB145">
        <v>19</v>
      </c>
      <c r="AC145">
        <v>20.100000000000001</v>
      </c>
      <c r="AD145">
        <v>82</v>
      </c>
      <c r="AE145">
        <v>2</v>
      </c>
      <c r="AF145" t="str">
        <v>No</v>
      </c>
      <c r="AG145" t="str">
        <v>Fall</v>
      </c>
      <c r="AH145" t="str">
        <v>Female</v>
      </c>
    </row>
    <row r="146" spans="22:34" x14ac:dyDescent="0.3">
      <c r="V146">
        <v>20</v>
      </c>
      <c r="W146" t="str">
        <v>STEM</v>
      </c>
      <c r="X146">
        <v>2.2000000000000002</v>
      </c>
      <c r="Y146">
        <v>0</v>
      </c>
      <c r="Z146">
        <v>5</v>
      </c>
      <c r="AA146">
        <v>5</v>
      </c>
      <c r="AB146">
        <v>10</v>
      </c>
      <c r="AC146">
        <v>9.8000000000000007</v>
      </c>
      <c r="AD146">
        <v>74.900000000000006</v>
      </c>
      <c r="AE146">
        <v>4</v>
      </c>
      <c r="AF146" t="str">
        <v>Yes</v>
      </c>
      <c r="AG146" t="str">
        <v>Spring</v>
      </c>
      <c r="AH146" t="str">
        <v>Female</v>
      </c>
    </row>
    <row r="147" spans="22:34" x14ac:dyDescent="0.3">
      <c r="V147">
        <v>21</v>
      </c>
      <c r="W147" t="str">
        <v>Business</v>
      </c>
      <c r="X147">
        <v>6.5</v>
      </c>
      <c r="Y147">
        <v>3</v>
      </c>
      <c r="Z147">
        <v>6</v>
      </c>
      <c r="AA147">
        <v>2</v>
      </c>
      <c r="AB147">
        <v>6</v>
      </c>
      <c r="AC147">
        <v>9.8000000000000007</v>
      </c>
      <c r="AD147">
        <v>72.7</v>
      </c>
      <c r="AE147">
        <v>0</v>
      </c>
      <c r="AF147" t="str">
        <v>No</v>
      </c>
      <c r="AG147" t="str">
        <v>Spring</v>
      </c>
      <c r="AH147" t="str">
        <v>Female</v>
      </c>
    </row>
    <row r="148" spans="22:34" x14ac:dyDescent="0.3">
      <c r="V148">
        <v>20</v>
      </c>
      <c r="W148" t="str">
        <v>Health Sciences</v>
      </c>
      <c r="X148">
        <v>16</v>
      </c>
      <c r="Y148">
        <v>1</v>
      </c>
      <c r="Z148">
        <v>4</v>
      </c>
      <c r="AA148">
        <v>1</v>
      </c>
      <c r="AB148">
        <v>7</v>
      </c>
      <c r="AC148">
        <v>22.3</v>
      </c>
      <c r="AD148">
        <v>87.9</v>
      </c>
      <c r="AE148">
        <v>3</v>
      </c>
      <c r="AF148" t="str">
        <v>No</v>
      </c>
      <c r="AG148" t="str">
        <v>Fall</v>
      </c>
      <c r="AH148" t="str">
        <v>Female</v>
      </c>
    </row>
    <row r="149" spans="22:34" x14ac:dyDescent="0.3">
      <c r="V149">
        <v>21</v>
      </c>
      <c r="W149" t="str">
        <v>STEM</v>
      </c>
      <c r="X149">
        <v>1.6</v>
      </c>
      <c r="Y149">
        <v>3</v>
      </c>
      <c r="Z149">
        <v>11</v>
      </c>
      <c r="AA149">
        <v>5</v>
      </c>
      <c r="AB149">
        <v>15</v>
      </c>
      <c r="AC149">
        <v>12.8</v>
      </c>
      <c r="AD149">
        <v>98.7</v>
      </c>
      <c r="AE149">
        <v>3</v>
      </c>
      <c r="AF149" t="str">
        <v>No</v>
      </c>
      <c r="AG149" t="str">
        <v>Spring</v>
      </c>
      <c r="AH149" t="str">
        <v>Male</v>
      </c>
    </row>
    <row r="150" spans="22:34" x14ac:dyDescent="0.3">
      <c r="V150">
        <v>24</v>
      </c>
      <c r="W150" t="str">
        <v>Business</v>
      </c>
      <c r="X150">
        <v>10.6</v>
      </c>
      <c r="Y150">
        <v>1</v>
      </c>
      <c r="Z150">
        <v>5</v>
      </c>
      <c r="AA150">
        <v>6</v>
      </c>
      <c r="AB150">
        <v>8</v>
      </c>
      <c r="AC150">
        <v>7.2</v>
      </c>
      <c r="AD150">
        <v>74.599999999999994</v>
      </c>
      <c r="AE150">
        <v>4</v>
      </c>
      <c r="AF150" t="str">
        <v>No</v>
      </c>
      <c r="AG150" t="str">
        <v>Fall</v>
      </c>
      <c r="AH150" t="str">
        <v>Female</v>
      </c>
    </row>
    <row r="151" spans="22:34" x14ac:dyDescent="0.3">
      <c r="V151">
        <v>22</v>
      </c>
      <c r="W151" t="str">
        <v>Arts</v>
      </c>
      <c r="X151">
        <v>6.2</v>
      </c>
      <c r="Y151">
        <v>4</v>
      </c>
      <c r="Z151">
        <v>9</v>
      </c>
      <c r="AA151">
        <v>5</v>
      </c>
      <c r="AB151">
        <v>18</v>
      </c>
      <c r="AC151">
        <v>5.0999999999999996</v>
      </c>
      <c r="AD151">
        <v>89</v>
      </c>
      <c r="AE151">
        <v>1</v>
      </c>
      <c r="AF151" t="str">
        <v>No</v>
      </c>
      <c r="AG151" t="str">
        <v>Fall</v>
      </c>
      <c r="AH151" t="str">
        <v>Male</v>
      </c>
    </row>
    <row r="152" spans="22:34" x14ac:dyDescent="0.3">
      <c r="V152">
        <v>21</v>
      </c>
      <c r="W152" t="str">
        <v>STEM</v>
      </c>
      <c r="X152">
        <v>2.6</v>
      </c>
      <c r="Y152">
        <v>1</v>
      </c>
      <c r="Z152">
        <v>9</v>
      </c>
      <c r="AA152">
        <v>10</v>
      </c>
      <c r="AB152">
        <v>22</v>
      </c>
      <c r="AC152">
        <v>9.8000000000000007</v>
      </c>
      <c r="AD152">
        <v>71.2</v>
      </c>
      <c r="AE152">
        <v>5</v>
      </c>
      <c r="AF152" t="str">
        <v>No</v>
      </c>
      <c r="AG152" t="str">
        <v>Fall</v>
      </c>
      <c r="AH152" t="str">
        <v>Female</v>
      </c>
    </row>
    <row r="153" spans="22:34" x14ac:dyDescent="0.3">
      <c r="V153">
        <v>19</v>
      </c>
      <c r="W153" t="str">
        <v>Social Sciences</v>
      </c>
      <c r="X153">
        <v>1</v>
      </c>
      <c r="Y153">
        <v>5</v>
      </c>
      <c r="Z153">
        <v>2</v>
      </c>
      <c r="AA153">
        <v>3</v>
      </c>
      <c r="AB153">
        <v>9</v>
      </c>
      <c r="AC153">
        <v>20</v>
      </c>
      <c r="AD153">
        <v>82</v>
      </c>
      <c r="AE153">
        <v>3</v>
      </c>
      <c r="AF153" t="str">
        <v>No</v>
      </c>
      <c r="AG153" t="str">
        <v>Fall</v>
      </c>
      <c r="AH153" t="str">
        <v>Male</v>
      </c>
    </row>
    <row r="154" spans="22:34" x14ac:dyDescent="0.3">
      <c r="V154">
        <v>18</v>
      </c>
      <c r="W154" t="str">
        <v>STEM</v>
      </c>
      <c r="X154">
        <v>1</v>
      </c>
      <c r="Y154">
        <v>0</v>
      </c>
      <c r="Z154">
        <v>11</v>
      </c>
      <c r="AA154">
        <v>9</v>
      </c>
      <c r="AB154">
        <v>16</v>
      </c>
      <c r="AC154">
        <v>17.8</v>
      </c>
      <c r="AD154">
        <v>100</v>
      </c>
      <c r="AE154">
        <v>2</v>
      </c>
      <c r="AF154" t="str">
        <v>No</v>
      </c>
      <c r="AG154" t="str">
        <v>Summer</v>
      </c>
      <c r="AH154" t="str">
        <v>Female</v>
      </c>
    </row>
    <row r="155" spans="22:34" x14ac:dyDescent="0.3">
      <c r="V155">
        <v>20</v>
      </c>
      <c r="W155" t="str">
        <v>Health Sciences</v>
      </c>
      <c r="X155">
        <v>2.9</v>
      </c>
      <c r="Y155">
        <v>3</v>
      </c>
      <c r="Z155">
        <v>2</v>
      </c>
      <c r="AA155">
        <v>2</v>
      </c>
      <c r="AB155">
        <v>3</v>
      </c>
      <c r="AC155">
        <v>16.8</v>
      </c>
      <c r="AD155">
        <v>100</v>
      </c>
      <c r="AE155">
        <v>1</v>
      </c>
      <c r="AF155" t="str">
        <v>No</v>
      </c>
      <c r="AG155" t="str">
        <v>Summer</v>
      </c>
      <c r="AH155" t="str">
        <v>Female</v>
      </c>
    </row>
    <row r="156" spans="22:34" x14ac:dyDescent="0.3">
      <c r="V156">
        <v>21</v>
      </c>
      <c r="W156" t="str">
        <v>Social Sciences</v>
      </c>
      <c r="X156">
        <v>5.6</v>
      </c>
      <c r="Y156">
        <v>2</v>
      </c>
      <c r="Z156">
        <v>3</v>
      </c>
      <c r="AA156">
        <v>5</v>
      </c>
      <c r="AB156">
        <v>14</v>
      </c>
      <c r="AC156">
        <v>20.3</v>
      </c>
      <c r="AD156">
        <v>86.2</v>
      </c>
      <c r="AE156">
        <v>5</v>
      </c>
      <c r="AF156" t="str">
        <v>No</v>
      </c>
      <c r="AG156" t="str">
        <v>Spring</v>
      </c>
      <c r="AH156" t="str">
        <v>Female</v>
      </c>
    </row>
    <row r="157" spans="22:34" x14ac:dyDescent="0.3">
      <c r="V157">
        <v>25</v>
      </c>
      <c r="W157" t="str">
        <v>Health Sciences</v>
      </c>
      <c r="X157">
        <v>7.5</v>
      </c>
      <c r="Y157">
        <v>1</v>
      </c>
      <c r="Z157">
        <v>5</v>
      </c>
      <c r="AA157">
        <v>4</v>
      </c>
      <c r="AB157">
        <v>10</v>
      </c>
      <c r="AC157">
        <v>16.2</v>
      </c>
      <c r="AD157">
        <v>85.6</v>
      </c>
      <c r="AE157">
        <v>5</v>
      </c>
      <c r="AF157" t="str">
        <v>Yes</v>
      </c>
      <c r="AG157" t="str">
        <v>Spring</v>
      </c>
      <c r="AH157" t="str">
        <v>Male</v>
      </c>
    </row>
    <row r="158" spans="22:34" x14ac:dyDescent="0.3">
      <c r="V158">
        <v>22</v>
      </c>
      <c r="W158" t="str">
        <v>STEM</v>
      </c>
      <c r="X158">
        <v>8.6</v>
      </c>
      <c r="Y158">
        <v>3</v>
      </c>
      <c r="Z158">
        <v>4</v>
      </c>
      <c r="AA158">
        <v>3</v>
      </c>
      <c r="AB158">
        <v>8</v>
      </c>
      <c r="AC158">
        <v>26.5</v>
      </c>
      <c r="AD158">
        <v>68.2</v>
      </c>
      <c r="AE158">
        <v>2</v>
      </c>
      <c r="AF158" t="str">
        <v>Yes</v>
      </c>
      <c r="AG158" t="str">
        <v>Spring</v>
      </c>
      <c r="AH158" t="str">
        <v>Female</v>
      </c>
    </row>
    <row r="159" spans="22:34" x14ac:dyDescent="0.3">
      <c r="V159">
        <v>24</v>
      </c>
      <c r="W159" t="str">
        <v>Humanities</v>
      </c>
      <c r="X159">
        <v>5.3</v>
      </c>
      <c r="Y159">
        <v>4</v>
      </c>
      <c r="Z159">
        <v>5</v>
      </c>
      <c r="AA159">
        <v>8</v>
      </c>
      <c r="AB159">
        <v>13</v>
      </c>
      <c r="AC159">
        <v>17.600000000000001</v>
      </c>
      <c r="AD159">
        <v>80.2</v>
      </c>
      <c r="AE159">
        <v>2</v>
      </c>
      <c r="AF159" t="str">
        <v>Yes</v>
      </c>
      <c r="AG159" t="str">
        <v>Summer</v>
      </c>
      <c r="AH159" t="str">
        <v>Female</v>
      </c>
    </row>
    <row r="160" spans="22:34" x14ac:dyDescent="0.3">
      <c r="V160">
        <v>20</v>
      </c>
      <c r="W160" t="str">
        <v>Social Sciences</v>
      </c>
      <c r="X160">
        <v>4.8</v>
      </c>
      <c r="Y160">
        <v>5</v>
      </c>
      <c r="Z160">
        <v>5</v>
      </c>
      <c r="AA160">
        <v>6</v>
      </c>
      <c r="AB160">
        <v>9</v>
      </c>
      <c r="AC160">
        <v>23.3</v>
      </c>
      <c r="AD160">
        <v>87</v>
      </c>
      <c r="AE160">
        <v>3</v>
      </c>
      <c r="AF160" t="str">
        <v>Yes</v>
      </c>
      <c r="AG160" t="str">
        <v>Spring</v>
      </c>
      <c r="AH160" t="str">
        <v>Male</v>
      </c>
    </row>
    <row r="161" spans="22:34" x14ac:dyDescent="0.3">
      <c r="V161">
        <v>19</v>
      </c>
      <c r="W161" t="str">
        <v>STEM</v>
      </c>
      <c r="X161">
        <v>3.4</v>
      </c>
      <c r="Y161">
        <v>2</v>
      </c>
      <c r="Z161">
        <v>12</v>
      </c>
      <c r="AA161">
        <v>9</v>
      </c>
      <c r="AB161">
        <v>17</v>
      </c>
      <c r="AC161">
        <v>17.8</v>
      </c>
      <c r="AD161">
        <v>84.9</v>
      </c>
      <c r="AE161">
        <v>2</v>
      </c>
      <c r="AF161" t="str">
        <v>No</v>
      </c>
      <c r="AG161" t="str">
        <v>Fall</v>
      </c>
      <c r="AH161" t="str">
        <v>Male</v>
      </c>
    </row>
    <row r="162" spans="22:34" x14ac:dyDescent="0.3">
      <c r="V162">
        <v>19</v>
      </c>
      <c r="W162" t="str">
        <v>STEM</v>
      </c>
      <c r="X162">
        <v>5.7</v>
      </c>
      <c r="Y162">
        <v>1</v>
      </c>
      <c r="Z162">
        <v>4</v>
      </c>
      <c r="AA162">
        <v>6</v>
      </c>
      <c r="AB162">
        <v>6</v>
      </c>
      <c r="AC162">
        <v>8.3000000000000007</v>
      </c>
      <c r="AD162">
        <v>82.7</v>
      </c>
      <c r="AE162">
        <v>4</v>
      </c>
      <c r="AF162" t="str">
        <v>Yes</v>
      </c>
      <c r="AG162" t="str">
        <v>Spring</v>
      </c>
      <c r="AH162" t="str">
        <v>Female</v>
      </c>
    </row>
    <row r="163" spans="22:34" x14ac:dyDescent="0.3">
      <c r="V163">
        <v>20</v>
      </c>
      <c r="W163" t="str">
        <v>STEM</v>
      </c>
      <c r="X163">
        <v>2.7</v>
      </c>
      <c r="Y163">
        <v>4</v>
      </c>
      <c r="Z163">
        <v>8</v>
      </c>
      <c r="AA163">
        <v>7</v>
      </c>
      <c r="AB163">
        <v>17</v>
      </c>
      <c r="AC163">
        <v>14.1</v>
      </c>
      <c r="AD163">
        <v>66</v>
      </c>
      <c r="AE163">
        <v>1</v>
      </c>
      <c r="AF163" t="str">
        <v>No</v>
      </c>
      <c r="AG163" t="str">
        <v>Summer</v>
      </c>
      <c r="AH163" t="str">
        <v>Male</v>
      </c>
    </row>
    <row r="164" spans="22:34" x14ac:dyDescent="0.3">
      <c r="V164">
        <v>26</v>
      </c>
      <c r="W164" t="str">
        <v>Arts</v>
      </c>
      <c r="X164">
        <v>1.7</v>
      </c>
      <c r="Y164">
        <v>3</v>
      </c>
      <c r="Z164">
        <v>12</v>
      </c>
      <c r="AA164">
        <v>11</v>
      </c>
      <c r="AB164">
        <v>17</v>
      </c>
      <c r="AC164">
        <v>8.6999999999999993</v>
      </c>
      <c r="AD164">
        <v>89.3</v>
      </c>
      <c r="AE164">
        <v>3</v>
      </c>
      <c r="AF164" t="str">
        <v>No</v>
      </c>
      <c r="AG164" t="str">
        <v>Fall</v>
      </c>
      <c r="AH164" t="str">
        <v>Female</v>
      </c>
    </row>
    <row r="165" spans="22:34" x14ac:dyDescent="0.3">
      <c r="V165">
        <v>20</v>
      </c>
      <c r="W165" t="str">
        <v>Social Sciences</v>
      </c>
      <c r="X165">
        <v>4.5999999999999996</v>
      </c>
      <c r="Y165">
        <v>1</v>
      </c>
      <c r="Z165">
        <v>5</v>
      </c>
      <c r="AA165">
        <v>4</v>
      </c>
      <c r="AB165">
        <v>14</v>
      </c>
      <c r="AC165">
        <v>16</v>
      </c>
      <c r="AD165">
        <v>74.599999999999994</v>
      </c>
      <c r="AE165">
        <v>3</v>
      </c>
      <c r="AF165" t="str">
        <v>No</v>
      </c>
      <c r="AG165" t="str">
        <v>Spring</v>
      </c>
      <c r="AH165" t="str">
        <v>Male</v>
      </c>
    </row>
    <row r="166" spans="22:34" x14ac:dyDescent="0.3">
      <c r="V166">
        <v>23</v>
      </c>
      <c r="W166" t="str">
        <v>Social Sciences</v>
      </c>
      <c r="X166">
        <v>7.2</v>
      </c>
      <c r="Y166">
        <v>4</v>
      </c>
      <c r="Z166">
        <v>5</v>
      </c>
      <c r="AA166">
        <v>9</v>
      </c>
      <c r="AB166">
        <v>11</v>
      </c>
      <c r="AC166">
        <v>11.7</v>
      </c>
      <c r="AD166">
        <v>64.400000000000006</v>
      </c>
      <c r="AE166">
        <v>3</v>
      </c>
      <c r="AF166" t="str">
        <v>No</v>
      </c>
      <c r="AG166" t="str">
        <v>Fall</v>
      </c>
      <c r="AH166" t="str">
        <v>Female</v>
      </c>
    </row>
    <row r="167" spans="22:34" x14ac:dyDescent="0.3">
      <c r="V167">
        <v>20</v>
      </c>
      <c r="W167" t="str">
        <v>Social Sciences</v>
      </c>
      <c r="X167">
        <v>1.4</v>
      </c>
      <c r="Y167">
        <v>3</v>
      </c>
      <c r="Z167">
        <v>2</v>
      </c>
      <c r="AA167">
        <v>2</v>
      </c>
      <c r="AB167">
        <v>7</v>
      </c>
      <c r="AC167">
        <v>17</v>
      </c>
      <c r="AD167">
        <v>100</v>
      </c>
      <c r="AE167">
        <v>3</v>
      </c>
      <c r="AF167" t="str">
        <v>Yes</v>
      </c>
      <c r="AG167" t="str">
        <v>Fall</v>
      </c>
      <c r="AH167" t="str">
        <v>Male</v>
      </c>
    </row>
    <row r="168" spans="22:34" x14ac:dyDescent="0.3">
      <c r="V168">
        <v>23</v>
      </c>
      <c r="W168" t="str">
        <v>Humanities</v>
      </c>
      <c r="X168">
        <v>2.9</v>
      </c>
      <c r="Y168">
        <v>3</v>
      </c>
      <c r="Z168">
        <v>3</v>
      </c>
      <c r="AA168">
        <v>7</v>
      </c>
      <c r="AB168">
        <v>6</v>
      </c>
      <c r="AC168">
        <v>6</v>
      </c>
      <c r="AD168">
        <v>98.5</v>
      </c>
      <c r="AE168">
        <v>2</v>
      </c>
      <c r="AF168" t="str">
        <v>Yes</v>
      </c>
      <c r="AG168" t="str">
        <v>Spring</v>
      </c>
      <c r="AH168" t="str">
        <v>Male</v>
      </c>
    </row>
    <row r="169" spans="22:34" x14ac:dyDescent="0.3">
      <c r="V169">
        <v>22</v>
      </c>
      <c r="W169" t="str">
        <v>Business</v>
      </c>
      <c r="X169">
        <v>4.5</v>
      </c>
      <c r="Y169">
        <v>2</v>
      </c>
      <c r="Z169">
        <v>10</v>
      </c>
      <c r="AA169">
        <v>8</v>
      </c>
      <c r="AB169">
        <v>17</v>
      </c>
      <c r="AC169">
        <v>15.6</v>
      </c>
      <c r="AD169">
        <v>77.2</v>
      </c>
      <c r="AE169">
        <v>2</v>
      </c>
      <c r="AF169" t="str">
        <v>No</v>
      </c>
      <c r="AG169" t="str">
        <v>Fall</v>
      </c>
      <c r="AH169" t="str">
        <v>Female</v>
      </c>
    </row>
    <row r="170" spans="22:34" x14ac:dyDescent="0.3">
      <c r="V170">
        <v>21</v>
      </c>
      <c r="W170" t="str">
        <v>Business</v>
      </c>
      <c r="X170">
        <v>4.4000000000000004</v>
      </c>
      <c r="Y170">
        <v>2</v>
      </c>
      <c r="Z170">
        <v>2</v>
      </c>
      <c r="AA170">
        <v>5</v>
      </c>
      <c r="AB170">
        <v>6</v>
      </c>
      <c r="AC170">
        <v>20.399999999999999</v>
      </c>
      <c r="AD170">
        <v>97.1</v>
      </c>
      <c r="AE170">
        <v>1</v>
      </c>
      <c r="AF170" t="str">
        <v>No</v>
      </c>
      <c r="AG170" t="str">
        <v>Summer</v>
      </c>
      <c r="AH170" t="str">
        <v>Female</v>
      </c>
    </row>
    <row r="171" spans="22:34" x14ac:dyDescent="0.3">
      <c r="V171">
        <v>21</v>
      </c>
      <c r="W171" t="str">
        <v>Social Sciences</v>
      </c>
      <c r="X171">
        <v>6.1</v>
      </c>
      <c r="Y171">
        <v>1</v>
      </c>
      <c r="Z171">
        <v>8</v>
      </c>
      <c r="AA171">
        <v>9</v>
      </c>
      <c r="AB171">
        <v>13</v>
      </c>
      <c r="AC171">
        <v>23.4</v>
      </c>
      <c r="AD171">
        <v>94</v>
      </c>
      <c r="AE171">
        <v>2</v>
      </c>
      <c r="AF171" t="str">
        <v>No</v>
      </c>
      <c r="AG171" t="str">
        <v>Spring</v>
      </c>
      <c r="AH171" t="str">
        <v>Prefer not to say</v>
      </c>
    </row>
    <row r="172" spans="22:34" x14ac:dyDescent="0.3">
      <c r="V172">
        <v>20</v>
      </c>
      <c r="W172" t="str">
        <v>STEM</v>
      </c>
      <c r="X172">
        <v>12.6</v>
      </c>
      <c r="Y172">
        <v>4</v>
      </c>
      <c r="Z172">
        <v>0</v>
      </c>
      <c r="AA172">
        <v>0</v>
      </c>
      <c r="AB172">
        <v>11</v>
      </c>
      <c r="AC172">
        <v>16.2</v>
      </c>
      <c r="AD172">
        <v>98.6</v>
      </c>
      <c r="AE172">
        <v>5</v>
      </c>
      <c r="AF172" t="str">
        <v>No</v>
      </c>
      <c r="AG172" t="str">
        <v>Fall</v>
      </c>
      <c r="AH172" t="str">
        <v>Non-binary</v>
      </c>
    </row>
    <row r="173" spans="22:34" x14ac:dyDescent="0.3">
      <c r="V173">
        <v>22</v>
      </c>
      <c r="W173" t="str">
        <v>Health Sciences</v>
      </c>
      <c r="X173">
        <v>1</v>
      </c>
      <c r="Y173">
        <v>1</v>
      </c>
      <c r="Z173">
        <v>3</v>
      </c>
      <c r="AA173">
        <v>2</v>
      </c>
      <c r="AB173">
        <v>8</v>
      </c>
      <c r="AC173">
        <v>25.2</v>
      </c>
      <c r="AD173">
        <v>91.4</v>
      </c>
      <c r="AE173">
        <v>3</v>
      </c>
      <c r="AF173" t="str">
        <v>No</v>
      </c>
      <c r="AG173" t="str">
        <v>Spring</v>
      </c>
      <c r="AH173" t="str">
        <v>Male</v>
      </c>
    </row>
    <row r="174" spans="22:34" x14ac:dyDescent="0.3">
      <c r="V174">
        <v>21</v>
      </c>
      <c r="W174" t="str">
        <v>Health Sciences</v>
      </c>
      <c r="X174">
        <v>12.9</v>
      </c>
      <c r="Y174">
        <v>4</v>
      </c>
      <c r="Z174">
        <v>16</v>
      </c>
      <c r="AA174">
        <v>15</v>
      </c>
      <c r="AB174">
        <v>17</v>
      </c>
      <c r="AC174">
        <v>19.8</v>
      </c>
      <c r="AD174">
        <v>59.7</v>
      </c>
      <c r="AE174">
        <v>3</v>
      </c>
      <c r="AF174" t="str">
        <v>No</v>
      </c>
      <c r="AG174" t="str">
        <v>Spring</v>
      </c>
      <c r="AH174" t="str">
        <v>Female</v>
      </c>
    </row>
    <row r="175" spans="22:34" x14ac:dyDescent="0.3">
      <c r="V175">
        <v>19</v>
      </c>
      <c r="W175" t="str">
        <v>Business</v>
      </c>
      <c r="X175">
        <v>12.3</v>
      </c>
      <c r="Y175">
        <v>4</v>
      </c>
      <c r="Z175">
        <v>3</v>
      </c>
      <c r="AA175">
        <v>8</v>
      </c>
      <c r="AB175">
        <v>10</v>
      </c>
      <c r="AC175">
        <v>30.6</v>
      </c>
      <c r="AD175">
        <v>100</v>
      </c>
      <c r="AE175">
        <v>2</v>
      </c>
      <c r="AF175" t="str">
        <v>No</v>
      </c>
      <c r="AG175" t="str">
        <v>Spring</v>
      </c>
      <c r="AH175" t="str">
        <v>Male</v>
      </c>
    </row>
    <row r="176" spans="22:34" x14ac:dyDescent="0.3">
      <c r="V176">
        <v>19</v>
      </c>
      <c r="W176" t="str">
        <v>Humanities</v>
      </c>
      <c r="X176">
        <v>7.6</v>
      </c>
      <c r="Y176">
        <v>4</v>
      </c>
      <c r="Z176">
        <v>3</v>
      </c>
      <c r="AA176">
        <v>3</v>
      </c>
      <c r="AB176">
        <v>11</v>
      </c>
      <c r="AC176">
        <v>5.5</v>
      </c>
      <c r="AD176">
        <v>94.1</v>
      </c>
      <c r="AE176">
        <v>4</v>
      </c>
      <c r="AF176" t="str">
        <v>No</v>
      </c>
      <c r="AG176" t="str">
        <v>Spring</v>
      </c>
      <c r="AH176" t="str">
        <v>Male</v>
      </c>
    </row>
    <row r="177" spans="22:34" x14ac:dyDescent="0.3">
      <c r="V177">
        <v>22</v>
      </c>
      <c r="W177" t="str">
        <v>STEM</v>
      </c>
      <c r="X177">
        <v>5</v>
      </c>
      <c r="Y177">
        <v>0</v>
      </c>
      <c r="Z177">
        <v>4</v>
      </c>
      <c r="AA177">
        <v>5</v>
      </c>
      <c r="AB177">
        <v>9</v>
      </c>
      <c r="AC177">
        <v>10.7</v>
      </c>
      <c r="AD177">
        <v>67.8</v>
      </c>
      <c r="AE177">
        <v>5</v>
      </c>
      <c r="AF177" t="str">
        <v>Yes</v>
      </c>
      <c r="AG177" t="str">
        <v>Summer</v>
      </c>
      <c r="AH177" t="str">
        <v>Female</v>
      </c>
    </row>
    <row r="178" spans="22:34" x14ac:dyDescent="0.3">
      <c r="V178">
        <v>25</v>
      </c>
      <c r="W178" t="str">
        <v>Law</v>
      </c>
      <c r="X178">
        <v>2.7</v>
      </c>
      <c r="Y178">
        <v>2</v>
      </c>
      <c r="Z178">
        <v>5</v>
      </c>
      <c r="AA178">
        <v>4</v>
      </c>
      <c r="AB178">
        <v>9</v>
      </c>
      <c r="AC178">
        <v>36.200000000000003</v>
      </c>
      <c r="AD178">
        <v>69.099999999999994</v>
      </c>
      <c r="AE178">
        <v>4</v>
      </c>
      <c r="AF178" t="str">
        <v>Yes</v>
      </c>
      <c r="AG178" t="str">
        <v>Spring</v>
      </c>
      <c r="AH178" t="str">
        <v>Male</v>
      </c>
    </row>
    <row r="179" spans="22:34" x14ac:dyDescent="0.3">
      <c r="V179">
        <v>22</v>
      </c>
      <c r="W179" t="str">
        <v>Arts</v>
      </c>
      <c r="X179">
        <v>7.6</v>
      </c>
      <c r="Y179">
        <v>3</v>
      </c>
      <c r="Z179">
        <v>2</v>
      </c>
      <c r="AA179">
        <v>3</v>
      </c>
      <c r="AB179">
        <v>8</v>
      </c>
      <c r="AC179">
        <v>12.6</v>
      </c>
      <c r="AD179">
        <v>83.5</v>
      </c>
      <c r="AE179">
        <v>4</v>
      </c>
      <c r="AF179" t="str">
        <v>Yes</v>
      </c>
      <c r="AG179" t="str">
        <v>Fall</v>
      </c>
      <c r="AH179" t="str">
        <v>Female</v>
      </c>
    </row>
    <row r="180" spans="22:34" x14ac:dyDescent="0.3">
      <c r="V180">
        <v>21</v>
      </c>
      <c r="W180" t="str">
        <v>Arts</v>
      </c>
      <c r="X180">
        <v>5.2</v>
      </c>
      <c r="Y180">
        <v>3</v>
      </c>
      <c r="Z180">
        <v>7</v>
      </c>
      <c r="AA180">
        <v>10</v>
      </c>
      <c r="AB180">
        <v>14</v>
      </c>
      <c r="AC180">
        <v>3.7</v>
      </c>
      <c r="AD180">
        <v>69.400000000000006</v>
      </c>
      <c r="AE180">
        <v>4</v>
      </c>
      <c r="AF180" t="str">
        <v>No</v>
      </c>
      <c r="AG180" t="str">
        <v>Fall</v>
      </c>
      <c r="AH180" t="str">
        <v>Female</v>
      </c>
    </row>
    <row r="181" spans="22:34" x14ac:dyDescent="0.3">
      <c r="V181">
        <v>22</v>
      </c>
      <c r="W181" t="str">
        <v>Business</v>
      </c>
      <c r="X181">
        <v>3.5</v>
      </c>
      <c r="Y181">
        <v>5</v>
      </c>
      <c r="Z181">
        <v>4</v>
      </c>
      <c r="AA181">
        <v>3</v>
      </c>
      <c r="AB181">
        <v>6</v>
      </c>
      <c r="AC181">
        <v>11.8</v>
      </c>
      <c r="AD181">
        <v>88.7</v>
      </c>
      <c r="AE181">
        <v>3</v>
      </c>
      <c r="AF181" t="str">
        <v>No</v>
      </c>
      <c r="AG181" t="str">
        <v>Fall</v>
      </c>
      <c r="AH181" t="str">
        <v>Female</v>
      </c>
    </row>
    <row r="182" spans="22:34" x14ac:dyDescent="0.3">
      <c r="V182">
        <v>24</v>
      </c>
      <c r="W182" t="str">
        <v>STEM</v>
      </c>
      <c r="X182">
        <v>7.4</v>
      </c>
      <c r="Y182">
        <v>2</v>
      </c>
      <c r="Z182">
        <v>5</v>
      </c>
      <c r="AA182">
        <v>3</v>
      </c>
      <c r="AB182">
        <v>10</v>
      </c>
      <c r="AC182">
        <v>1</v>
      </c>
      <c r="AD182">
        <v>87.3</v>
      </c>
      <c r="AE182">
        <v>5</v>
      </c>
      <c r="AF182" t="str">
        <v>Yes</v>
      </c>
      <c r="AG182" t="str">
        <v>Spring</v>
      </c>
      <c r="AH182" t="str">
        <v>Female</v>
      </c>
    </row>
    <row r="183" spans="22:34" x14ac:dyDescent="0.3">
      <c r="V183">
        <v>22</v>
      </c>
      <c r="W183" t="str">
        <v>STEM</v>
      </c>
      <c r="X183">
        <v>8.1999999999999993</v>
      </c>
      <c r="Y183">
        <v>5</v>
      </c>
      <c r="Z183">
        <v>15</v>
      </c>
      <c r="AA183">
        <v>15</v>
      </c>
      <c r="AB183">
        <v>24</v>
      </c>
      <c r="AC183">
        <v>23.9</v>
      </c>
      <c r="AD183">
        <v>71</v>
      </c>
      <c r="AE183">
        <v>4</v>
      </c>
      <c r="AF183" t="str">
        <v>Yes</v>
      </c>
      <c r="AG183" t="str">
        <v>Fall</v>
      </c>
      <c r="AH183" t="str">
        <v>Male</v>
      </c>
    </row>
    <row r="184" spans="22:34" x14ac:dyDescent="0.3">
      <c r="V184">
        <v>21</v>
      </c>
      <c r="W184" t="str">
        <v>STEM</v>
      </c>
      <c r="X184">
        <v>10</v>
      </c>
      <c r="Y184">
        <v>1</v>
      </c>
      <c r="Z184">
        <v>26</v>
      </c>
      <c r="AA184">
        <v>20</v>
      </c>
      <c r="AB184">
        <v>28</v>
      </c>
      <c r="AC184">
        <v>21.7</v>
      </c>
      <c r="AD184">
        <v>52.9</v>
      </c>
      <c r="AE184">
        <v>1</v>
      </c>
      <c r="AF184" t="str">
        <v>No</v>
      </c>
      <c r="AG184" t="str">
        <v>Spring</v>
      </c>
      <c r="AH184" t="str">
        <v>Female</v>
      </c>
    </row>
    <row r="185" spans="22:34" x14ac:dyDescent="0.3">
      <c r="V185">
        <v>24</v>
      </c>
      <c r="W185" t="str">
        <v>STEM</v>
      </c>
      <c r="X185">
        <v>2.5</v>
      </c>
      <c r="Y185">
        <v>2</v>
      </c>
      <c r="Z185">
        <v>3</v>
      </c>
      <c r="AA185">
        <v>8</v>
      </c>
      <c r="AB185">
        <v>9</v>
      </c>
      <c r="AC185">
        <v>10.9</v>
      </c>
      <c r="AD185">
        <v>82.9</v>
      </c>
      <c r="AE185">
        <v>3</v>
      </c>
      <c r="AF185" t="str">
        <v>Yes</v>
      </c>
      <c r="AG185" t="str">
        <v>Spring</v>
      </c>
      <c r="AH185" t="str">
        <v>Male</v>
      </c>
    </row>
    <row r="186" spans="22:34" x14ac:dyDescent="0.3">
      <c r="V186">
        <v>22</v>
      </c>
      <c r="W186" t="str">
        <v>STEM</v>
      </c>
      <c r="X186">
        <v>9.1999999999999993</v>
      </c>
      <c r="Y186">
        <v>0</v>
      </c>
      <c r="Z186">
        <v>12</v>
      </c>
      <c r="AA186">
        <v>9</v>
      </c>
      <c r="AB186">
        <v>13</v>
      </c>
      <c r="AC186">
        <v>17.7</v>
      </c>
      <c r="AD186">
        <v>71.900000000000006</v>
      </c>
      <c r="AE186">
        <v>3</v>
      </c>
      <c r="AF186" t="str">
        <v>No</v>
      </c>
      <c r="AG186" t="str">
        <v>Summer</v>
      </c>
      <c r="AH186" t="str">
        <v>Male</v>
      </c>
    </row>
    <row r="187" spans="22:34" x14ac:dyDescent="0.3">
      <c r="V187">
        <v>25</v>
      </c>
      <c r="W187" t="str">
        <v>Law</v>
      </c>
      <c r="X187">
        <v>3.5</v>
      </c>
      <c r="Y187">
        <v>4</v>
      </c>
      <c r="Z187">
        <v>0</v>
      </c>
      <c r="AA187">
        <v>2</v>
      </c>
      <c r="AB187">
        <v>9</v>
      </c>
      <c r="AC187">
        <v>23</v>
      </c>
      <c r="AD187">
        <v>85.2</v>
      </c>
      <c r="AE187">
        <v>2</v>
      </c>
      <c r="AF187" t="str">
        <v>Yes</v>
      </c>
      <c r="AG187" t="str">
        <v>Spring</v>
      </c>
      <c r="AH187" t="str">
        <v>Male</v>
      </c>
    </row>
    <row r="188" spans="22:34" x14ac:dyDescent="0.3">
      <c r="V188">
        <v>22</v>
      </c>
      <c r="W188" t="str">
        <v>STEM</v>
      </c>
      <c r="X188">
        <v>5</v>
      </c>
      <c r="Y188">
        <v>1</v>
      </c>
      <c r="Z188">
        <v>4</v>
      </c>
      <c r="AA188">
        <v>3</v>
      </c>
      <c r="AB188">
        <v>9</v>
      </c>
      <c r="AC188">
        <v>10.3</v>
      </c>
      <c r="AD188">
        <v>53.6</v>
      </c>
      <c r="AE188">
        <v>4</v>
      </c>
      <c r="AF188" t="str">
        <v>Yes</v>
      </c>
      <c r="AG188" t="str">
        <v>Summer</v>
      </c>
      <c r="AH188" t="str">
        <v>Male</v>
      </c>
    </row>
    <row r="189" spans="22:34" x14ac:dyDescent="0.3">
      <c r="V189">
        <v>19</v>
      </c>
      <c r="W189" t="str">
        <v>STEM</v>
      </c>
      <c r="X189">
        <v>5.7</v>
      </c>
      <c r="Y189">
        <v>1</v>
      </c>
      <c r="Z189">
        <v>19</v>
      </c>
      <c r="AA189">
        <v>15</v>
      </c>
      <c r="AB189">
        <v>22</v>
      </c>
      <c r="AC189">
        <v>7.4</v>
      </c>
      <c r="AD189">
        <v>70.900000000000006</v>
      </c>
      <c r="AE189">
        <v>1</v>
      </c>
      <c r="AF189" t="str">
        <v>No</v>
      </c>
      <c r="AG189" t="str">
        <v>Summer</v>
      </c>
      <c r="AH189" t="str">
        <v>Female</v>
      </c>
    </row>
    <row r="190" spans="22:34" x14ac:dyDescent="0.3">
      <c r="V190">
        <v>19</v>
      </c>
      <c r="W190" t="str">
        <v>Health Sciences</v>
      </c>
      <c r="X190">
        <v>8.8000000000000007</v>
      </c>
      <c r="Y190">
        <v>4</v>
      </c>
      <c r="Z190">
        <v>6</v>
      </c>
      <c r="AA190">
        <v>2</v>
      </c>
      <c r="AB190">
        <v>10</v>
      </c>
      <c r="AC190">
        <v>17.399999999999999</v>
      </c>
      <c r="AD190">
        <v>90.8</v>
      </c>
      <c r="AE190">
        <v>4</v>
      </c>
      <c r="AF190" t="str">
        <v>Yes</v>
      </c>
      <c r="AG190" t="str">
        <v>Fall</v>
      </c>
      <c r="AH190" t="str">
        <v>Female</v>
      </c>
    </row>
    <row r="191" spans="22:34" x14ac:dyDescent="0.3">
      <c r="V191">
        <v>25</v>
      </c>
      <c r="W191" t="str">
        <v>Humanities</v>
      </c>
      <c r="X191">
        <v>7</v>
      </c>
      <c r="Y191">
        <v>3</v>
      </c>
      <c r="Z191">
        <v>16</v>
      </c>
      <c r="AA191">
        <v>14</v>
      </c>
      <c r="AB191">
        <v>18</v>
      </c>
      <c r="AC191">
        <v>11</v>
      </c>
      <c r="AD191">
        <v>87.7</v>
      </c>
      <c r="AE191">
        <v>5</v>
      </c>
      <c r="AF191" t="str">
        <v>Yes</v>
      </c>
      <c r="AG191" t="str">
        <v>Spring</v>
      </c>
      <c r="AH191" t="str">
        <v>Male</v>
      </c>
    </row>
    <row r="192" spans="22:34" x14ac:dyDescent="0.3">
      <c r="V192">
        <v>25</v>
      </c>
      <c r="W192" t="str">
        <v>Social Sciences</v>
      </c>
      <c r="X192">
        <v>3.4</v>
      </c>
      <c r="Y192">
        <v>0</v>
      </c>
      <c r="Z192">
        <v>9</v>
      </c>
      <c r="AA192">
        <v>8</v>
      </c>
      <c r="AB192">
        <v>11</v>
      </c>
      <c r="AC192">
        <v>15.8</v>
      </c>
      <c r="AD192">
        <v>65.5</v>
      </c>
      <c r="AE192">
        <v>3</v>
      </c>
      <c r="AF192" t="str">
        <v>Yes</v>
      </c>
      <c r="AG192" t="str">
        <v>Fall</v>
      </c>
      <c r="AH192" t="str">
        <v>Male</v>
      </c>
    </row>
    <row r="193" spans="22:34" x14ac:dyDescent="0.3">
      <c r="V193">
        <v>21</v>
      </c>
      <c r="W193" t="str">
        <v>Social Sciences</v>
      </c>
      <c r="X193">
        <v>1</v>
      </c>
      <c r="Y193">
        <v>0</v>
      </c>
      <c r="Z193">
        <v>6</v>
      </c>
      <c r="AA193">
        <v>6</v>
      </c>
      <c r="AB193">
        <v>7</v>
      </c>
      <c r="AC193">
        <v>9.8000000000000007</v>
      </c>
      <c r="AD193">
        <v>55.1</v>
      </c>
      <c r="AE193">
        <v>3</v>
      </c>
      <c r="AF193" t="str">
        <v>Yes</v>
      </c>
      <c r="AG193" t="str">
        <v>Spring</v>
      </c>
      <c r="AH193" t="str">
        <v>Male</v>
      </c>
    </row>
    <row r="194" spans="22:34" x14ac:dyDescent="0.3">
      <c r="V194">
        <v>21</v>
      </c>
      <c r="W194" t="str">
        <v>Health Sciences</v>
      </c>
      <c r="X194">
        <v>6.1</v>
      </c>
      <c r="Y194">
        <v>3</v>
      </c>
      <c r="Z194">
        <v>7</v>
      </c>
      <c r="AA194">
        <v>6</v>
      </c>
      <c r="AB194">
        <v>9</v>
      </c>
      <c r="AC194">
        <v>21.3</v>
      </c>
      <c r="AD194">
        <v>77.400000000000006</v>
      </c>
      <c r="AE194">
        <v>4</v>
      </c>
      <c r="AF194" t="str">
        <v>Yes</v>
      </c>
      <c r="AG194" t="str">
        <v>Spring</v>
      </c>
      <c r="AH194" t="str">
        <v>Female</v>
      </c>
    </row>
    <row r="195" spans="22:34" x14ac:dyDescent="0.3">
      <c r="V195">
        <v>25</v>
      </c>
      <c r="W195" t="str">
        <v>Social Sciences</v>
      </c>
      <c r="X195">
        <v>4.9000000000000004</v>
      </c>
      <c r="Y195">
        <v>2</v>
      </c>
      <c r="Z195">
        <v>7</v>
      </c>
      <c r="AA195">
        <v>5</v>
      </c>
      <c r="AB195">
        <v>16</v>
      </c>
      <c r="AC195">
        <v>17</v>
      </c>
      <c r="AD195">
        <v>83.9</v>
      </c>
      <c r="AE195">
        <v>4</v>
      </c>
      <c r="AF195" t="str">
        <v>No</v>
      </c>
      <c r="AG195" t="str">
        <v>Fall</v>
      </c>
      <c r="AH195" t="str">
        <v>Male</v>
      </c>
    </row>
    <row r="196" spans="22:34" x14ac:dyDescent="0.3">
      <c r="V196">
        <v>19</v>
      </c>
      <c r="W196" t="str">
        <v>Humanities</v>
      </c>
      <c r="X196">
        <v>1.6</v>
      </c>
      <c r="Y196">
        <v>1</v>
      </c>
      <c r="Z196">
        <v>8</v>
      </c>
      <c r="AA196">
        <v>9</v>
      </c>
      <c r="AB196">
        <v>12</v>
      </c>
      <c r="AC196">
        <v>22.1</v>
      </c>
      <c r="AD196">
        <v>87.9</v>
      </c>
      <c r="AE196">
        <v>0</v>
      </c>
      <c r="AF196" t="str">
        <v>Yes</v>
      </c>
      <c r="AG196" t="str">
        <v>Fall</v>
      </c>
      <c r="AH196" t="str">
        <v>Non-binary</v>
      </c>
    </row>
    <row r="197" spans="22:34" x14ac:dyDescent="0.3">
      <c r="V197">
        <v>20</v>
      </c>
      <c r="W197" t="str">
        <v>Social Sciences</v>
      </c>
      <c r="X197">
        <v>5.3</v>
      </c>
      <c r="Y197">
        <v>3</v>
      </c>
      <c r="Z197">
        <v>4</v>
      </c>
      <c r="AA197">
        <v>2</v>
      </c>
      <c r="AB197">
        <v>10</v>
      </c>
      <c r="AC197">
        <v>19.2</v>
      </c>
      <c r="AD197">
        <v>65.3</v>
      </c>
      <c r="AE197">
        <v>3</v>
      </c>
      <c r="AF197" t="str">
        <v>No</v>
      </c>
      <c r="AG197" t="str">
        <v>Spring</v>
      </c>
      <c r="AH197" t="str">
        <v>Male</v>
      </c>
    </row>
    <row r="198" spans="22:34" x14ac:dyDescent="0.3">
      <c r="V198">
        <v>23</v>
      </c>
      <c r="W198" t="str">
        <v>Business</v>
      </c>
      <c r="X198">
        <v>4.4000000000000004</v>
      </c>
      <c r="Y198">
        <v>1</v>
      </c>
      <c r="Z198">
        <v>3</v>
      </c>
      <c r="AA198">
        <v>5</v>
      </c>
      <c r="AB198">
        <v>7</v>
      </c>
      <c r="AC198">
        <v>18.7</v>
      </c>
      <c r="AD198">
        <v>83.7</v>
      </c>
      <c r="AE198">
        <v>4</v>
      </c>
      <c r="AF198" t="str">
        <v>Yes</v>
      </c>
      <c r="AG198" t="str">
        <v>Spring</v>
      </c>
      <c r="AH198" t="str">
        <v>Male</v>
      </c>
    </row>
    <row r="199" spans="22:34" x14ac:dyDescent="0.3">
      <c r="V199">
        <v>21</v>
      </c>
      <c r="W199" t="str">
        <v>Business</v>
      </c>
      <c r="X199">
        <v>10</v>
      </c>
      <c r="Y199">
        <v>3</v>
      </c>
      <c r="Z199">
        <v>22</v>
      </c>
      <c r="AA199">
        <v>20</v>
      </c>
      <c r="AB199">
        <v>31</v>
      </c>
      <c r="AC199">
        <v>1.7</v>
      </c>
      <c r="AD199">
        <v>97.1</v>
      </c>
      <c r="AE199">
        <v>5</v>
      </c>
      <c r="AF199" t="str">
        <v>No</v>
      </c>
      <c r="AG199" t="str">
        <v>Spring</v>
      </c>
      <c r="AH199" t="str">
        <v>Female</v>
      </c>
    </row>
    <row r="200" spans="22:34" x14ac:dyDescent="0.3">
      <c r="V200">
        <v>21</v>
      </c>
      <c r="W200" t="str">
        <v>Business</v>
      </c>
      <c r="X200">
        <v>13.5</v>
      </c>
      <c r="Y200">
        <v>2</v>
      </c>
      <c r="Z200">
        <v>3</v>
      </c>
      <c r="AA200">
        <v>7</v>
      </c>
      <c r="AB200">
        <v>7</v>
      </c>
      <c r="AC200">
        <v>22.2</v>
      </c>
      <c r="AD200">
        <v>84.4</v>
      </c>
      <c r="AE200">
        <v>3</v>
      </c>
      <c r="AF200" t="str">
        <v>No</v>
      </c>
      <c r="AG200" t="str">
        <v>Fall</v>
      </c>
      <c r="AH200" t="str">
        <v>Female</v>
      </c>
    </row>
    <row r="201" spans="22:34" x14ac:dyDescent="0.3">
      <c r="V201">
        <v>21</v>
      </c>
      <c r="W201" t="str">
        <v>STEM</v>
      </c>
      <c r="X201">
        <v>8.1</v>
      </c>
      <c r="Y201">
        <v>1</v>
      </c>
      <c r="Z201">
        <v>5</v>
      </c>
      <c r="AA201">
        <v>2</v>
      </c>
      <c r="AB201">
        <v>9</v>
      </c>
      <c r="AC201">
        <v>18</v>
      </c>
      <c r="AD201">
        <v>59.9</v>
      </c>
      <c r="AE201">
        <v>3</v>
      </c>
      <c r="AF201" t="str">
        <v>No</v>
      </c>
      <c r="AG201" t="str">
        <v>Fall</v>
      </c>
      <c r="AH201" t="str">
        <v>Male</v>
      </c>
    </row>
    <row r="202" spans="22:34" x14ac:dyDescent="0.3">
      <c r="V202">
        <v>22</v>
      </c>
      <c r="W202" t="str">
        <v>Health Sciences</v>
      </c>
      <c r="X202">
        <v>4.2</v>
      </c>
      <c r="Y202">
        <v>1</v>
      </c>
      <c r="Z202">
        <v>5</v>
      </c>
      <c r="AA202">
        <v>4</v>
      </c>
      <c r="AB202">
        <v>10</v>
      </c>
      <c r="AC202">
        <v>18.3</v>
      </c>
      <c r="AD202">
        <v>78.099999999999994</v>
      </c>
      <c r="AE202">
        <v>5</v>
      </c>
      <c r="AF202" t="str">
        <v>No</v>
      </c>
      <c r="AG202" t="str">
        <v>Spring</v>
      </c>
      <c r="AH202" t="str">
        <v>Male</v>
      </c>
    </row>
    <row r="203" spans="22:34" x14ac:dyDescent="0.3">
      <c r="V203">
        <v>24</v>
      </c>
      <c r="W203" t="str">
        <v>STEM</v>
      </c>
      <c r="X203">
        <v>4.7</v>
      </c>
      <c r="Y203">
        <v>1</v>
      </c>
      <c r="Z203">
        <v>7</v>
      </c>
      <c r="AA203">
        <v>7</v>
      </c>
      <c r="AB203">
        <v>20</v>
      </c>
      <c r="AC203">
        <v>29.8</v>
      </c>
      <c r="AD203">
        <v>100</v>
      </c>
      <c r="AE203">
        <v>2</v>
      </c>
      <c r="AF203" t="str">
        <v>Yes</v>
      </c>
      <c r="AG203" t="str">
        <v>Spring</v>
      </c>
      <c r="AH203" t="str">
        <v>Female</v>
      </c>
    </row>
    <row r="204" spans="22:34" x14ac:dyDescent="0.3">
      <c r="V204">
        <v>22</v>
      </c>
      <c r="W204" t="str">
        <v>STEM</v>
      </c>
      <c r="X204">
        <v>2.4</v>
      </c>
      <c r="Y204">
        <v>0</v>
      </c>
      <c r="Z204">
        <v>2</v>
      </c>
      <c r="AA204">
        <v>3</v>
      </c>
      <c r="AB204">
        <v>9</v>
      </c>
      <c r="AC204">
        <v>12.8</v>
      </c>
      <c r="AD204">
        <v>66.2</v>
      </c>
      <c r="AE204">
        <v>1</v>
      </c>
      <c r="AF204" t="str">
        <v>No</v>
      </c>
      <c r="AG204" t="str">
        <v>Fall</v>
      </c>
      <c r="AH204" t="str">
        <v>Male</v>
      </c>
    </row>
    <row r="205" spans="22:34" x14ac:dyDescent="0.3">
      <c r="V205">
        <v>23</v>
      </c>
      <c r="W205" t="str">
        <v>STEM</v>
      </c>
      <c r="X205">
        <v>2.8</v>
      </c>
      <c r="Y205">
        <v>2</v>
      </c>
      <c r="Z205">
        <v>0</v>
      </c>
      <c r="AA205">
        <v>0</v>
      </c>
      <c r="AB205">
        <v>8</v>
      </c>
      <c r="AC205">
        <v>33</v>
      </c>
      <c r="AD205">
        <v>83.8</v>
      </c>
      <c r="AE205">
        <v>4</v>
      </c>
      <c r="AF205" t="str">
        <v>Yes</v>
      </c>
      <c r="AG205" t="str">
        <v>Fall</v>
      </c>
      <c r="AH205" t="str">
        <v>Female</v>
      </c>
    </row>
    <row r="206" spans="22:34" x14ac:dyDescent="0.3">
      <c r="V206">
        <v>17</v>
      </c>
      <c r="W206" t="str">
        <v>Health Sciences</v>
      </c>
      <c r="X206">
        <v>4.0999999999999996</v>
      </c>
      <c r="Y206">
        <v>5</v>
      </c>
      <c r="Z206">
        <v>2</v>
      </c>
      <c r="AA206">
        <v>4</v>
      </c>
      <c r="AB206">
        <v>10</v>
      </c>
      <c r="AC206">
        <v>30.8</v>
      </c>
      <c r="AD206">
        <v>80.7</v>
      </c>
      <c r="AE206">
        <v>1</v>
      </c>
      <c r="AF206" t="str">
        <v>No</v>
      </c>
      <c r="AG206" t="str">
        <v>Summer</v>
      </c>
      <c r="AH206" t="str">
        <v>Female</v>
      </c>
    </row>
    <row r="207" spans="22:34" x14ac:dyDescent="0.3">
      <c r="V207">
        <v>21</v>
      </c>
      <c r="W207" t="str">
        <v>Business</v>
      </c>
      <c r="X207">
        <v>3.8</v>
      </c>
      <c r="Y207">
        <v>4</v>
      </c>
      <c r="Z207">
        <v>2</v>
      </c>
      <c r="AA207">
        <v>3</v>
      </c>
      <c r="AB207">
        <v>14</v>
      </c>
      <c r="AC207">
        <v>23.6</v>
      </c>
      <c r="AD207">
        <v>80.099999999999994</v>
      </c>
      <c r="AE207">
        <v>2</v>
      </c>
      <c r="AF207" t="str">
        <v>No</v>
      </c>
      <c r="AG207" t="str">
        <v>Spring</v>
      </c>
      <c r="AH207" t="str">
        <v>Female</v>
      </c>
    </row>
    <row r="208" spans="22:34" x14ac:dyDescent="0.3">
      <c r="V208">
        <v>20</v>
      </c>
      <c r="W208" t="str">
        <v>Social Sciences</v>
      </c>
      <c r="X208">
        <v>1.5</v>
      </c>
      <c r="Y208">
        <v>2</v>
      </c>
      <c r="Z208">
        <v>6</v>
      </c>
      <c r="AA208">
        <v>10</v>
      </c>
      <c r="AB208">
        <v>8</v>
      </c>
      <c r="AC208">
        <v>9.4</v>
      </c>
      <c r="AD208">
        <v>81.099999999999994</v>
      </c>
      <c r="AE208">
        <v>4</v>
      </c>
      <c r="AF208" t="str">
        <v>Yes</v>
      </c>
      <c r="AG208" t="str">
        <v>Spring</v>
      </c>
      <c r="AH208" t="str">
        <v>Female</v>
      </c>
    </row>
    <row r="209" spans="22:34" x14ac:dyDescent="0.3">
      <c r="V209">
        <v>19</v>
      </c>
      <c r="W209" t="str">
        <v>Health Sciences</v>
      </c>
      <c r="X209">
        <v>10</v>
      </c>
      <c r="Y209">
        <v>3</v>
      </c>
      <c r="Z209">
        <v>5</v>
      </c>
      <c r="AA209">
        <v>5</v>
      </c>
      <c r="AB209">
        <v>8</v>
      </c>
      <c r="AC209">
        <v>1.6</v>
      </c>
      <c r="AD209">
        <v>89.3</v>
      </c>
      <c r="AE209">
        <v>4</v>
      </c>
      <c r="AF209" t="str">
        <v>No</v>
      </c>
      <c r="AG209" t="str">
        <v>Spring</v>
      </c>
      <c r="AH209" t="str">
        <v>Male</v>
      </c>
    </row>
    <row r="210" spans="22:34" x14ac:dyDescent="0.3">
      <c r="V210">
        <v>20</v>
      </c>
      <c r="W210" t="str">
        <v>STEM</v>
      </c>
      <c r="X210">
        <v>10.9</v>
      </c>
      <c r="Y210">
        <v>3</v>
      </c>
      <c r="Z210">
        <v>2</v>
      </c>
      <c r="AA210">
        <v>6</v>
      </c>
      <c r="AB210">
        <v>8</v>
      </c>
      <c r="AC210">
        <v>28</v>
      </c>
      <c r="AD210">
        <v>87.7</v>
      </c>
      <c r="AE210">
        <v>3</v>
      </c>
      <c r="AF210" t="str">
        <v>No</v>
      </c>
      <c r="AG210" t="str">
        <v>Spring</v>
      </c>
      <c r="AH210" t="str">
        <v>Male</v>
      </c>
    </row>
    <row r="211" spans="22:34" x14ac:dyDescent="0.3">
      <c r="V211">
        <v>21</v>
      </c>
      <c r="W211" t="str">
        <v>Social Sciences</v>
      </c>
      <c r="X211">
        <v>9.8000000000000007</v>
      </c>
      <c r="Y211">
        <v>4</v>
      </c>
      <c r="Z211">
        <v>1</v>
      </c>
      <c r="AA211">
        <v>0</v>
      </c>
      <c r="AB211">
        <v>4</v>
      </c>
      <c r="AC211">
        <v>19.3</v>
      </c>
      <c r="AD211">
        <v>100</v>
      </c>
      <c r="AE211">
        <v>3</v>
      </c>
      <c r="AF211" t="str">
        <v>No</v>
      </c>
      <c r="AG211" t="str">
        <v>Spring</v>
      </c>
      <c r="AH211" t="str">
        <v>Male</v>
      </c>
    </row>
    <row r="212" spans="22:34" x14ac:dyDescent="0.3">
      <c r="V212">
        <v>23</v>
      </c>
      <c r="W212" t="str">
        <v>STEM</v>
      </c>
      <c r="X212">
        <v>11.1</v>
      </c>
      <c r="Y212">
        <v>1</v>
      </c>
      <c r="Z212">
        <v>4</v>
      </c>
      <c r="AA212">
        <v>3</v>
      </c>
      <c r="AB212">
        <v>8</v>
      </c>
      <c r="AC212">
        <v>16.5</v>
      </c>
      <c r="AD212">
        <v>79.900000000000006</v>
      </c>
      <c r="AE212">
        <v>4</v>
      </c>
      <c r="AF212" t="str">
        <v>Yes</v>
      </c>
      <c r="AG212" t="str">
        <v>Fall</v>
      </c>
      <c r="AH212" t="str">
        <v>Female</v>
      </c>
    </row>
    <row r="213" spans="22:34" x14ac:dyDescent="0.3">
      <c r="V213">
        <v>19</v>
      </c>
      <c r="W213" t="str">
        <v>STEM</v>
      </c>
      <c r="X213">
        <v>15.9</v>
      </c>
      <c r="Y213">
        <v>2</v>
      </c>
      <c r="Z213">
        <v>4</v>
      </c>
      <c r="AA213">
        <v>6</v>
      </c>
      <c r="AB213">
        <v>6</v>
      </c>
      <c r="AC213">
        <v>28.2</v>
      </c>
      <c r="AD213">
        <v>75.599999999999994</v>
      </c>
      <c r="AE213">
        <v>4</v>
      </c>
      <c r="AF213" t="str">
        <v>Yes</v>
      </c>
      <c r="AG213" t="str">
        <v>Fall</v>
      </c>
      <c r="AH213" t="str">
        <v>Male</v>
      </c>
    </row>
    <row r="214" spans="22:34" x14ac:dyDescent="0.3">
      <c r="V214">
        <v>22</v>
      </c>
      <c r="W214" t="str">
        <v>Social Sciences</v>
      </c>
      <c r="X214">
        <v>2.4</v>
      </c>
      <c r="Y214">
        <v>2</v>
      </c>
      <c r="Z214">
        <v>2</v>
      </c>
      <c r="AA214">
        <v>5</v>
      </c>
      <c r="AB214">
        <v>13</v>
      </c>
      <c r="AC214">
        <v>7.3</v>
      </c>
      <c r="AD214">
        <v>61.9</v>
      </c>
      <c r="AE214">
        <v>4</v>
      </c>
      <c r="AF214" t="str">
        <v>Yes</v>
      </c>
      <c r="AG214" t="str">
        <v>Summer</v>
      </c>
      <c r="AH214" t="str">
        <v>Female</v>
      </c>
    </row>
    <row r="215" spans="22:34" x14ac:dyDescent="0.3">
      <c r="V215">
        <v>20</v>
      </c>
      <c r="W215" t="str">
        <v>Arts</v>
      </c>
      <c r="X215">
        <v>15.5</v>
      </c>
      <c r="Y215">
        <v>0</v>
      </c>
      <c r="Z215">
        <v>7</v>
      </c>
      <c r="AA215">
        <v>5</v>
      </c>
      <c r="AB215">
        <v>8</v>
      </c>
      <c r="AC215">
        <v>10.9</v>
      </c>
      <c r="AD215">
        <v>47.6</v>
      </c>
      <c r="AE215">
        <v>4</v>
      </c>
      <c r="AF215" t="str">
        <v>No</v>
      </c>
      <c r="AG215" t="str">
        <v>Summer</v>
      </c>
      <c r="AH215" t="str">
        <v>Non-binary</v>
      </c>
    </row>
    <row r="216" spans="22:34" x14ac:dyDescent="0.3">
      <c r="V216">
        <v>21</v>
      </c>
      <c r="W216" t="str">
        <v>STEM</v>
      </c>
      <c r="X216">
        <v>3.4</v>
      </c>
      <c r="Y216">
        <v>2</v>
      </c>
      <c r="Z216">
        <v>7</v>
      </c>
      <c r="AA216">
        <v>7</v>
      </c>
      <c r="AB216">
        <v>12</v>
      </c>
      <c r="AC216">
        <v>27.7</v>
      </c>
      <c r="AD216">
        <v>90</v>
      </c>
      <c r="AE216">
        <v>4</v>
      </c>
      <c r="AF216" t="str">
        <v>No</v>
      </c>
      <c r="AG216" t="str">
        <v>Spring</v>
      </c>
      <c r="AH216" t="str">
        <v>Male</v>
      </c>
    </row>
    <row r="217" spans="22:34" x14ac:dyDescent="0.3">
      <c r="V217">
        <v>24</v>
      </c>
      <c r="W217" t="str">
        <v>Humanities</v>
      </c>
      <c r="X217">
        <v>6.7</v>
      </c>
      <c r="Y217">
        <v>5</v>
      </c>
      <c r="Z217">
        <v>2</v>
      </c>
      <c r="AA217">
        <v>1</v>
      </c>
      <c r="AB217">
        <v>10</v>
      </c>
      <c r="AC217">
        <v>7.7</v>
      </c>
      <c r="AD217">
        <v>100</v>
      </c>
      <c r="AE217">
        <v>5</v>
      </c>
      <c r="AF217" t="str">
        <v>Yes</v>
      </c>
      <c r="AG217" t="str">
        <v>Fall</v>
      </c>
      <c r="AH217" t="str">
        <v>Female</v>
      </c>
    </row>
    <row r="218" spans="22:34" x14ac:dyDescent="0.3">
      <c r="V218">
        <v>23</v>
      </c>
      <c r="W218" t="str">
        <v>STEM</v>
      </c>
      <c r="X218">
        <v>1.2</v>
      </c>
      <c r="Y218">
        <v>5</v>
      </c>
      <c r="Z218">
        <v>0</v>
      </c>
      <c r="AA218">
        <v>0</v>
      </c>
      <c r="AB218">
        <v>9</v>
      </c>
      <c r="AC218">
        <v>78.599999999999994</v>
      </c>
      <c r="AD218">
        <v>98.1</v>
      </c>
      <c r="AE218">
        <v>4</v>
      </c>
      <c r="AF218" t="str">
        <v>No</v>
      </c>
      <c r="AG218" t="str">
        <v>Fall</v>
      </c>
      <c r="AH218" t="str">
        <v>Female</v>
      </c>
    </row>
    <row r="219" spans="22:34" x14ac:dyDescent="0.3">
      <c r="V219">
        <v>24</v>
      </c>
      <c r="W219" t="str">
        <v>Humanities</v>
      </c>
      <c r="X219">
        <v>3.1</v>
      </c>
      <c r="Y219">
        <v>0</v>
      </c>
      <c r="Z219">
        <v>8</v>
      </c>
      <c r="AA219">
        <v>9</v>
      </c>
      <c r="AB219">
        <v>11</v>
      </c>
      <c r="AC219">
        <v>22.6</v>
      </c>
      <c r="AD219">
        <v>91.7</v>
      </c>
      <c r="AE219">
        <v>2</v>
      </c>
      <c r="AF219" t="str">
        <v>Yes</v>
      </c>
      <c r="AG219" t="str">
        <v>Fall</v>
      </c>
      <c r="AH219" t="str">
        <v>Male</v>
      </c>
    </row>
    <row r="220" spans="22:34" x14ac:dyDescent="0.3">
      <c r="V220">
        <v>21</v>
      </c>
      <c r="W220" t="str">
        <v>Humanities</v>
      </c>
      <c r="X220">
        <v>8.3000000000000007</v>
      </c>
      <c r="Y220">
        <v>2</v>
      </c>
      <c r="Z220">
        <v>5</v>
      </c>
      <c r="AA220">
        <v>4</v>
      </c>
      <c r="AB220">
        <v>6</v>
      </c>
      <c r="AC220">
        <v>18.399999999999999</v>
      </c>
      <c r="AD220">
        <v>78.8</v>
      </c>
      <c r="AE220">
        <v>5</v>
      </c>
      <c r="AF220" t="str">
        <v>No</v>
      </c>
      <c r="AG220" t="str">
        <v>Summer</v>
      </c>
      <c r="AH220" t="str">
        <v>Female</v>
      </c>
    </row>
    <row r="221" spans="22:34" x14ac:dyDescent="0.3">
      <c r="V221">
        <v>20</v>
      </c>
      <c r="W221" t="str">
        <v>Humanities</v>
      </c>
      <c r="X221">
        <v>6.9</v>
      </c>
      <c r="Y221">
        <v>2</v>
      </c>
      <c r="Z221">
        <v>7</v>
      </c>
      <c r="AA221">
        <v>6</v>
      </c>
      <c r="AB221">
        <v>12</v>
      </c>
      <c r="AC221">
        <v>26.9</v>
      </c>
      <c r="AD221">
        <v>77.3</v>
      </c>
      <c r="AE221">
        <v>5</v>
      </c>
      <c r="AF221" t="str">
        <v>No</v>
      </c>
      <c r="AG221" t="str">
        <v>Spring</v>
      </c>
      <c r="AH221" t="str">
        <v>Male</v>
      </c>
    </row>
    <row r="222" spans="22:34" x14ac:dyDescent="0.3">
      <c r="V222">
        <v>21</v>
      </c>
      <c r="W222" t="str">
        <v>Humanities</v>
      </c>
      <c r="X222">
        <v>3.4</v>
      </c>
      <c r="Y222">
        <v>3</v>
      </c>
      <c r="Z222">
        <v>5</v>
      </c>
      <c r="AA222">
        <v>3</v>
      </c>
      <c r="AB222">
        <v>7</v>
      </c>
      <c r="AC222">
        <v>23.5</v>
      </c>
      <c r="AD222">
        <v>93.8</v>
      </c>
      <c r="AE222">
        <v>3</v>
      </c>
      <c r="AF222" t="str">
        <v>No</v>
      </c>
      <c r="AG222" t="str">
        <v>Spring</v>
      </c>
      <c r="AH222" t="str">
        <v>Male</v>
      </c>
    </row>
    <row r="223" spans="22:34" x14ac:dyDescent="0.3">
      <c r="V223">
        <v>22</v>
      </c>
      <c r="W223" t="str">
        <v>STEM</v>
      </c>
      <c r="X223">
        <v>4.7</v>
      </c>
      <c r="Y223">
        <v>3</v>
      </c>
      <c r="Z223">
        <v>7</v>
      </c>
      <c r="AA223">
        <v>5</v>
      </c>
      <c r="AB223">
        <v>13</v>
      </c>
      <c r="AC223">
        <v>23.2</v>
      </c>
      <c r="AD223">
        <v>100</v>
      </c>
      <c r="AE223">
        <v>1</v>
      </c>
      <c r="AF223" t="str">
        <v>Yes</v>
      </c>
      <c r="AG223" t="str">
        <v>Summer</v>
      </c>
      <c r="AH223" t="str">
        <v>Male</v>
      </c>
    </row>
    <row r="224" spans="22:34" x14ac:dyDescent="0.3">
      <c r="V224">
        <v>22</v>
      </c>
      <c r="W224" t="str">
        <v>Social Sciences</v>
      </c>
      <c r="X224">
        <v>2.9</v>
      </c>
      <c r="Y224">
        <v>0</v>
      </c>
      <c r="Z224">
        <v>21</v>
      </c>
      <c r="AA224">
        <v>19</v>
      </c>
      <c r="AB224">
        <v>23</v>
      </c>
      <c r="AC224">
        <v>1</v>
      </c>
      <c r="AD224">
        <v>90.8</v>
      </c>
      <c r="AE224">
        <v>4</v>
      </c>
      <c r="AF224" t="str">
        <v>Yes</v>
      </c>
      <c r="AG224" t="str">
        <v>Fall</v>
      </c>
      <c r="AH224" t="str">
        <v>Male</v>
      </c>
    </row>
    <row r="225" spans="22:34" x14ac:dyDescent="0.3">
      <c r="V225">
        <v>19</v>
      </c>
      <c r="W225" t="str">
        <v>Social Sciences</v>
      </c>
      <c r="X225">
        <v>8.3000000000000007</v>
      </c>
      <c r="Y225">
        <v>4</v>
      </c>
      <c r="Z225">
        <v>7</v>
      </c>
      <c r="AA225">
        <v>7</v>
      </c>
      <c r="AB225">
        <v>15</v>
      </c>
      <c r="AC225">
        <v>10.1</v>
      </c>
      <c r="AD225">
        <v>87.5</v>
      </c>
      <c r="AE225">
        <v>3</v>
      </c>
      <c r="AF225" t="str">
        <v>Yes</v>
      </c>
      <c r="AG225" t="str">
        <v>Spring</v>
      </c>
      <c r="AH225" t="str">
        <v>Female</v>
      </c>
    </row>
    <row r="226" spans="22:34" x14ac:dyDescent="0.3">
      <c r="V226">
        <v>22</v>
      </c>
      <c r="W226" t="str">
        <v>Social Sciences</v>
      </c>
      <c r="X226">
        <v>10.4</v>
      </c>
      <c r="Y226">
        <v>6</v>
      </c>
      <c r="Z226">
        <v>22</v>
      </c>
      <c r="AA226">
        <v>14</v>
      </c>
      <c r="AB226">
        <v>26</v>
      </c>
      <c r="AC226">
        <v>19.5</v>
      </c>
      <c r="AD226">
        <v>77</v>
      </c>
      <c r="AE226">
        <v>4</v>
      </c>
      <c r="AF226" t="str">
        <v>No</v>
      </c>
      <c r="AG226" t="str">
        <v>Fall</v>
      </c>
      <c r="AH226" t="str">
        <v>Male</v>
      </c>
    </row>
    <row r="227" spans="22:34" x14ac:dyDescent="0.3">
      <c r="V227">
        <v>22</v>
      </c>
      <c r="W227" t="str">
        <v>STEM</v>
      </c>
      <c r="X227">
        <v>2.5</v>
      </c>
      <c r="Y227">
        <v>3</v>
      </c>
      <c r="Z227">
        <v>3</v>
      </c>
      <c r="AA227">
        <v>3</v>
      </c>
      <c r="AB227">
        <v>9</v>
      </c>
      <c r="AC227">
        <v>11</v>
      </c>
      <c r="AD227">
        <v>82.8</v>
      </c>
      <c r="AE227">
        <v>3</v>
      </c>
      <c r="AF227" t="str">
        <v>No</v>
      </c>
      <c r="AG227" t="str">
        <v>Fall</v>
      </c>
      <c r="AH227" t="str">
        <v>Male</v>
      </c>
    </row>
    <row r="228" spans="22:34" x14ac:dyDescent="0.3">
      <c r="V228">
        <v>27</v>
      </c>
      <c r="W228" t="str">
        <v>Business</v>
      </c>
      <c r="X228">
        <v>4.4000000000000004</v>
      </c>
      <c r="Y228">
        <v>3</v>
      </c>
      <c r="Z228">
        <v>6</v>
      </c>
      <c r="AA228">
        <v>3</v>
      </c>
      <c r="AB228">
        <v>15</v>
      </c>
      <c r="AC228">
        <v>18</v>
      </c>
      <c r="AD228">
        <v>75.599999999999994</v>
      </c>
      <c r="AE228">
        <v>1</v>
      </c>
      <c r="AF228" t="str">
        <v>Yes</v>
      </c>
      <c r="AG228" t="str">
        <v>Summer</v>
      </c>
      <c r="AH228" t="str">
        <v>Male</v>
      </c>
    </row>
    <row r="229" spans="22:34" x14ac:dyDescent="0.3">
      <c r="V229">
        <v>25</v>
      </c>
      <c r="W229" t="str">
        <v>Business</v>
      </c>
      <c r="X229">
        <v>1.4</v>
      </c>
      <c r="Y229">
        <v>3</v>
      </c>
      <c r="Z229">
        <v>1</v>
      </c>
      <c r="AA229">
        <v>1</v>
      </c>
      <c r="AB229">
        <v>5</v>
      </c>
      <c r="AC229">
        <v>20</v>
      </c>
      <c r="AD229">
        <v>62.7</v>
      </c>
      <c r="AE229">
        <v>2</v>
      </c>
      <c r="AF229" t="str">
        <v>No</v>
      </c>
      <c r="AG229" t="str">
        <v>Summer</v>
      </c>
      <c r="AH229" t="str">
        <v>Male</v>
      </c>
    </row>
    <row r="230" spans="22:34" x14ac:dyDescent="0.3">
      <c r="V230">
        <v>20</v>
      </c>
      <c r="W230" t="str">
        <v>STEM</v>
      </c>
      <c r="X230">
        <v>5.2</v>
      </c>
      <c r="Y230">
        <v>2</v>
      </c>
      <c r="Z230">
        <v>7</v>
      </c>
      <c r="AA230">
        <v>9</v>
      </c>
      <c r="AB230">
        <v>11</v>
      </c>
      <c r="AC230">
        <v>33.700000000000003</v>
      </c>
      <c r="AD230">
        <v>70.3</v>
      </c>
      <c r="AE230">
        <v>5</v>
      </c>
      <c r="AF230" t="str">
        <v>No</v>
      </c>
      <c r="AG230" t="str">
        <v>Fall</v>
      </c>
      <c r="AH230" t="str">
        <v>Female</v>
      </c>
    </row>
    <row r="231" spans="22:34" x14ac:dyDescent="0.3">
      <c r="V231">
        <v>21</v>
      </c>
      <c r="W231" t="str">
        <v>STEM</v>
      </c>
      <c r="X231">
        <v>6.2</v>
      </c>
      <c r="Y231">
        <v>1</v>
      </c>
      <c r="Z231">
        <v>10</v>
      </c>
      <c r="AA231">
        <v>8</v>
      </c>
      <c r="AB231">
        <v>14</v>
      </c>
      <c r="AC231">
        <v>14.3</v>
      </c>
      <c r="AD231">
        <v>75.3</v>
      </c>
      <c r="AE231">
        <v>1</v>
      </c>
      <c r="AF231" t="str">
        <v>No</v>
      </c>
      <c r="AG231" t="str">
        <v>Fall</v>
      </c>
      <c r="AH231" t="str">
        <v>Male</v>
      </c>
    </row>
    <row r="232" spans="22:34" x14ac:dyDescent="0.3">
      <c r="V232">
        <v>18</v>
      </c>
      <c r="W232" t="str">
        <v>Business</v>
      </c>
      <c r="X232">
        <v>5.5</v>
      </c>
      <c r="Y232">
        <v>3</v>
      </c>
      <c r="Z232">
        <v>4</v>
      </c>
      <c r="AA232">
        <v>8</v>
      </c>
      <c r="AB232">
        <v>10</v>
      </c>
      <c r="AC232">
        <v>14.4</v>
      </c>
      <c r="AD232">
        <v>77.2</v>
      </c>
      <c r="AE232">
        <v>4</v>
      </c>
      <c r="AF232" t="str">
        <v>No</v>
      </c>
      <c r="AG232" t="str">
        <v>Spring</v>
      </c>
      <c r="AH232" t="str">
        <v>Female</v>
      </c>
    </row>
    <row r="233" spans="22:34" x14ac:dyDescent="0.3">
      <c r="V233">
        <v>20</v>
      </c>
      <c r="W233" t="str">
        <v>Social Sciences</v>
      </c>
      <c r="X233">
        <v>5.9</v>
      </c>
      <c r="Y233">
        <v>0</v>
      </c>
      <c r="Z233">
        <v>3</v>
      </c>
      <c r="AA233">
        <v>4</v>
      </c>
      <c r="AB233">
        <v>8</v>
      </c>
      <c r="AC233">
        <v>18.2</v>
      </c>
      <c r="AD233">
        <v>58</v>
      </c>
      <c r="AE233">
        <v>3</v>
      </c>
      <c r="AF233" t="str">
        <v>No</v>
      </c>
      <c r="AG233" t="str">
        <v>Fall</v>
      </c>
      <c r="AH233" t="str">
        <v>Female</v>
      </c>
    </row>
    <row r="234" spans="22:34" x14ac:dyDescent="0.3">
      <c r="V234">
        <v>22</v>
      </c>
      <c r="W234" t="str">
        <v>STEM</v>
      </c>
      <c r="X234">
        <v>4.0999999999999996</v>
      </c>
      <c r="Y234">
        <v>4</v>
      </c>
      <c r="Z234">
        <v>8</v>
      </c>
      <c r="AA234">
        <v>7</v>
      </c>
      <c r="AB234">
        <v>11</v>
      </c>
      <c r="AC234">
        <v>20.100000000000001</v>
      </c>
      <c r="AD234">
        <v>80.3</v>
      </c>
      <c r="AE234">
        <v>3</v>
      </c>
      <c r="AF234" t="str">
        <v>Yes</v>
      </c>
      <c r="AG234" t="str">
        <v>Spring</v>
      </c>
      <c r="AH234" t="str">
        <v>Male</v>
      </c>
    </row>
    <row r="235" spans="22:34" x14ac:dyDescent="0.3">
      <c r="V235">
        <v>24</v>
      </c>
      <c r="W235" t="str">
        <v>Health Sciences</v>
      </c>
      <c r="X235">
        <v>4.0999999999999996</v>
      </c>
      <c r="Y235">
        <v>2</v>
      </c>
      <c r="Z235">
        <v>2</v>
      </c>
      <c r="AA235">
        <v>5</v>
      </c>
      <c r="AB235">
        <v>2</v>
      </c>
      <c r="AC235">
        <v>20</v>
      </c>
      <c r="AD235">
        <v>79</v>
      </c>
      <c r="AE235">
        <v>3</v>
      </c>
      <c r="AF235" t="str">
        <v>Yes</v>
      </c>
      <c r="AG235" t="str">
        <v>Spring</v>
      </c>
      <c r="AH235" t="str">
        <v>Male</v>
      </c>
    </row>
    <row r="236" spans="22:34" x14ac:dyDescent="0.3">
      <c r="V236">
        <v>20</v>
      </c>
      <c r="W236" t="str">
        <v>Humanities</v>
      </c>
      <c r="X236">
        <v>4</v>
      </c>
      <c r="Y236">
        <v>2</v>
      </c>
      <c r="Z236">
        <v>1</v>
      </c>
      <c r="AA236">
        <v>0</v>
      </c>
      <c r="AB236">
        <v>4</v>
      </c>
      <c r="AC236">
        <v>25.2</v>
      </c>
      <c r="AD236">
        <v>66.5</v>
      </c>
      <c r="AE236">
        <v>3</v>
      </c>
      <c r="AF236" t="str">
        <v>No</v>
      </c>
      <c r="AG236" t="str">
        <v>Fall</v>
      </c>
      <c r="AH236" t="str">
        <v>Male</v>
      </c>
    </row>
    <row r="237" spans="22:34" x14ac:dyDescent="0.3">
      <c r="V237">
        <v>20</v>
      </c>
      <c r="W237" t="str">
        <v>Social Sciences</v>
      </c>
      <c r="X237">
        <v>3</v>
      </c>
      <c r="Y237">
        <v>2</v>
      </c>
      <c r="Z237">
        <v>8</v>
      </c>
      <c r="AA237">
        <v>8</v>
      </c>
      <c r="AB237">
        <v>15</v>
      </c>
      <c r="AC237">
        <v>9.5</v>
      </c>
      <c r="AD237">
        <v>79.5</v>
      </c>
      <c r="AE237">
        <v>4</v>
      </c>
      <c r="AF237" t="str">
        <v>No</v>
      </c>
      <c r="AG237" t="str">
        <v>Fall</v>
      </c>
      <c r="AH237" t="str">
        <v>Female</v>
      </c>
    </row>
    <row r="238" spans="22:34" x14ac:dyDescent="0.3">
      <c r="V238">
        <v>17</v>
      </c>
      <c r="W238" t="str">
        <v>Business</v>
      </c>
      <c r="X238">
        <v>3.3</v>
      </c>
      <c r="Y238">
        <v>6</v>
      </c>
      <c r="Z238">
        <v>9</v>
      </c>
      <c r="AA238">
        <v>8</v>
      </c>
      <c r="AB238">
        <v>15</v>
      </c>
      <c r="AC238">
        <v>18.2</v>
      </c>
      <c r="AD238">
        <v>78.7</v>
      </c>
      <c r="AE238">
        <v>4</v>
      </c>
      <c r="AF238" t="str">
        <v>No</v>
      </c>
      <c r="AG238" t="str">
        <v>Fall</v>
      </c>
      <c r="AH238" t="str">
        <v>Male</v>
      </c>
    </row>
    <row r="239" spans="22:34" x14ac:dyDescent="0.3">
      <c r="V239">
        <v>21</v>
      </c>
      <c r="W239" t="str">
        <v>Business</v>
      </c>
      <c r="X239">
        <v>6.1</v>
      </c>
      <c r="Y239">
        <v>1</v>
      </c>
      <c r="Z239">
        <v>3</v>
      </c>
      <c r="AA239">
        <v>7</v>
      </c>
      <c r="AB239">
        <v>13</v>
      </c>
      <c r="AC239">
        <v>21</v>
      </c>
      <c r="AD239">
        <v>76.2</v>
      </c>
      <c r="AE239">
        <v>2</v>
      </c>
      <c r="AF239" t="str">
        <v>Yes</v>
      </c>
      <c r="AG239" t="str">
        <v>Summer</v>
      </c>
      <c r="AH239" t="str">
        <v>Male</v>
      </c>
    </row>
    <row r="240" spans="22:34" x14ac:dyDescent="0.3">
      <c r="V240">
        <v>19</v>
      </c>
      <c r="W240" t="str">
        <v>Humanities</v>
      </c>
      <c r="X240">
        <v>10</v>
      </c>
      <c r="Y240">
        <v>1</v>
      </c>
      <c r="Z240">
        <v>16</v>
      </c>
      <c r="AA240">
        <v>14</v>
      </c>
      <c r="AB240">
        <v>28</v>
      </c>
      <c r="AC240">
        <v>12.7</v>
      </c>
      <c r="AD240">
        <v>91</v>
      </c>
      <c r="AE240">
        <v>3</v>
      </c>
      <c r="AF240" t="str">
        <v>Yes</v>
      </c>
      <c r="AG240" t="str">
        <v>Fall</v>
      </c>
      <c r="AH240" t="str">
        <v>Male</v>
      </c>
    </row>
    <row r="241" spans="22:34" x14ac:dyDescent="0.3">
      <c r="V241">
        <v>20</v>
      </c>
      <c r="W241" t="str">
        <v>Arts</v>
      </c>
      <c r="X241">
        <v>2.1</v>
      </c>
      <c r="Y241">
        <v>1</v>
      </c>
      <c r="Z241">
        <v>2</v>
      </c>
      <c r="AA241">
        <v>1</v>
      </c>
      <c r="AB241">
        <v>9</v>
      </c>
      <c r="AC241">
        <v>23.4</v>
      </c>
      <c r="AD241">
        <v>60.7</v>
      </c>
      <c r="AE241">
        <v>4</v>
      </c>
      <c r="AF241" t="str">
        <v>No</v>
      </c>
      <c r="AG241" t="str">
        <v>Spring</v>
      </c>
      <c r="AH241" t="str">
        <v>Male</v>
      </c>
    </row>
    <row r="242" spans="22:34" x14ac:dyDescent="0.3">
      <c r="V242">
        <v>20</v>
      </c>
      <c r="W242" t="str">
        <v>Business</v>
      </c>
      <c r="X242">
        <v>4.0999999999999996</v>
      </c>
      <c r="Y242">
        <v>3</v>
      </c>
      <c r="Z242">
        <v>3</v>
      </c>
      <c r="AA242">
        <v>6</v>
      </c>
      <c r="AB242">
        <v>14</v>
      </c>
      <c r="AC242">
        <v>18.399999999999999</v>
      </c>
      <c r="AD242">
        <v>48.7</v>
      </c>
      <c r="AE242">
        <v>4</v>
      </c>
      <c r="AF242" t="str">
        <v>No</v>
      </c>
      <c r="AG242" t="str">
        <v>Fall</v>
      </c>
      <c r="AH242" t="str">
        <v>Female</v>
      </c>
    </row>
    <row r="243" spans="22:34" x14ac:dyDescent="0.3">
      <c r="V243">
        <v>21</v>
      </c>
      <c r="W243" t="str">
        <v>Humanities</v>
      </c>
      <c r="X243">
        <v>1.8</v>
      </c>
      <c r="Y243">
        <v>7</v>
      </c>
      <c r="Z243">
        <v>5</v>
      </c>
      <c r="AA243">
        <v>5</v>
      </c>
      <c r="AB243">
        <v>13</v>
      </c>
      <c r="AC243">
        <v>22</v>
      </c>
      <c r="AD243">
        <v>85.1</v>
      </c>
      <c r="AE243">
        <v>3</v>
      </c>
      <c r="AF243" t="str">
        <v>Yes</v>
      </c>
      <c r="AG243" t="str">
        <v>Spring</v>
      </c>
      <c r="AH243" t="str">
        <v>Female</v>
      </c>
    </row>
    <row r="244" spans="22:34" x14ac:dyDescent="0.3">
      <c r="V244">
        <v>18</v>
      </c>
      <c r="W244" t="str">
        <v>Humanities</v>
      </c>
      <c r="X244">
        <v>3.1</v>
      </c>
      <c r="Y244">
        <v>1</v>
      </c>
      <c r="Z244">
        <v>3</v>
      </c>
      <c r="AA244">
        <v>2</v>
      </c>
      <c r="AB244">
        <v>13</v>
      </c>
      <c r="AC244">
        <v>19.2</v>
      </c>
      <c r="AD244">
        <v>79.3</v>
      </c>
      <c r="AE244">
        <v>4</v>
      </c>
      <c r="AF244" t="str">
        <v>Yes</v>
      </c>
      <c r="AG244" t="str">
        <v>Fall</v>
      </c>
      <c r="AH244" t="str">
        <v>Female</v>
      </c>
    </row>
    <row r="245" spans="22:34" x14ac:dyDescent="0.3">
      <c r="V245">
        <v>18</v>
      </c>
      <c r="W245" t="str">
        <v>Social Sciences</v>
      </c>
      <c r="X245">
        <v>3.5</v>
      </c>
      <c r="Y245">
        <v>5</v>
      </c>
      <c r="Z245">
        <v>5</v>
      </c>
      <c r="AA245">
        <v>6</v>
      </c>
      <c r="AB245">
        <v>16</v>
      </c>
      <c r="AC245">
        <v>18.600000000000001</v>
      </c>
      <c r="AD245">
        <v>84.2</v>
      </c>
      <c r="AE245">
        <v>2</v>
      </c>
      <c r="AF245" t="str">
        <v>No</v>
      </c>
      <c r="AG245" t="str">
        <v>Fall</v>
      </c>
      <c r="AH245" t="str">
        <v>Prefer not to say</v>
      </c>
    </row>
    <row r="246" spans="22:34" x14ac:dyDescent="0.3">
      <c r="V246">
        <v>26</v>
      </c>
      <c r="W246" t="str">
        <v>STEM</v>
      </c>
      <c r="X246">
        <v>4.9000000000000004</v>
      </c>
      <c r="Y246">
        <v>2</v>
      </c>
      <c r="Z246">
        <v>7</v>
      </c>
      <c r="AA246">
        <v>6</v>
      </c>
      <c r="AB246">
        <v>15</v>
      </c>
      <c r="AC246">
        <v>20.8</v>
      </c>
      <c r="AD246">
        <v>74.2</v>
      </c>
      <c r="AE246">
        <v>2</v>
      </c>
      <c r="AF246" t="str">
        <v>No</v>
      </c>
      <c r="AG246" t="str">
        <v>Spring</v>
      </c>
      <c r="AH246" t="str">
        <v>Female</v>
      </c>
    </row>
    <row r="247" spans="22:34" x14ac:dyDescent="0.3">
      <c r="V247">
        <v>19</v>
      </c>
      <c r="W247" t="str">
        <v>Humanities</v>
      </c>
      <c r="X247">
        <v>4.9000000000000004</v>
      </c>
      <c r="Y247">
        <v>3</v>
      </c>
      <c r="Z247">
        <v>19</v>
      </c>
      <c r="AA247">
        <v>17</v>
      </c>
      <c r="AB247">
        <v>27</v>
      </c>
      <c r="AC247">
        <v>7.9</v>
      </c>
      <c r="AD247">
        <v>64.7</v>
      </c>
      <c r="AE247">
        <v>0</v>
      </c>
      <c r="AF247" t="str">
        <v>No</v>
      </c>
      <c r="AG247" t="str">
        <v>Spring</v>
      </c>
      <c r="AH247" t="str">
        <v>Male</v>
      </c>
    </row>
    <row r="248" spans="22:34" x14ac:dyDescent="0.3">
      <c r="V248">
        <v>19</v>
      </c>
      <c r="W248" t="str">
        <v>Business</v>
      </c>
      <c r="X248">
        <v>4.3</v>
      </c>
      <c r="Y248">
        <v>0</v>
      </c>
      <c r="Z248">
        <v>16</v>
      </c>
      <c r="AA248">
        <v>13</v>
      </c>
      <c r="AB248">
        <v>21</v>
      </c>
      <c r="AC248">
        <v>23</v>
      </c>
      <c r="AD248">
        <v>74.2</v>
      </c>
      <c r="AE248">
        <v>4</v>
      </c>
      <c r="AF248" t="str">
        <v>No</v>
      </c>
      <c r="AG248" t="str">
        <v>Fall</v>
      </c>
      <c r="AH248" t="str">
        <v>Male</v>
      </c>
    </row>
    <row r="249" spans="22:34" x14ac:dyDescent="0.3">
      <c r="V249">
        <v>25</v>
      </c>
      <c r="W249" t="str">
        <v>Arts</v>
      </c>
      <c r="X249">
        <v>5.7</v>
      </c>
      <c r="Y249">
        <v>3</v>
      </c>
      <c r="Z249">
        <v>6</v>
      </c>
      <c r="AA249">
        <v>6</v>
      </c>
      <c r="AB249">
        <v>11</v>
      </c>
      <c r="AC249">
        <v>20.5</v>
      </c>
      <c r="AD249">
        <v>72.599999999999994</v>
      </c>
      <c r="AE249">
        <v>4</v>
      </c>
      <c r="AF249" t="str">
        <v>No</v>
      </c>
      <c r="AG249" t="str">
        <v>Fall</v>
      </c>
      <c r="AH249" t="str">
        <v>Male</v>
      </c>
    </row>
    <row r="250" spans="22:34" x14ac:dyDescent="0.3">
      <c r="V250">
        <v>28</v>
      </c>
      <c r="W250" t="str">
        <v>Business</v>
      </c>
      <c r="X250">
        <v>2.2999999999999998</v>
      </c>
      <c r="Y250">
        <v>3</v>
      </c>
      <c r="Z250">
        <v>2</v>
      </c>
      <c r="AA250">
        <v>5</v>
      </c>
      <c r="AB250">
        <v>7</v>
      </c>
      <c r="AC250">
        <v>14.6</v>
      </c>
      <c r="AD250">
        <v>100</v>
      </c>
      <c r="AE250">
        <v>2</v>
      </c>
      <c r="AF250" t="str">
        <v>Yes</v>
      </c>
      <c r="AG250" t="str">
        <v>Summer</v>
      </c>
      <c r="AH250" t="str">
        <v>Female</v>
      </c>
    </row>
    <row r="251" spans="22:34" x14ac:dyDescent="0.3">
      <c r="V251">
        <v>19</v>
      </c>
      <c r="W251" t="str">
        <v>Business</v>
      </c>
      <c r="X251">
        <v>5</v>
      </c>
      <c r="Y251">
        <v>3</v>
      </c>
      <c r="Z251">
        <v>6</v>
      </c>
      <c r="AA251">
        <v>8</v>
      </c>
      <c r="AB251">
        <v>14</v>
      </c>
      <c r="AC251">
        <v>15.7</v>
      </c>
      <c r="AD251">
        <v>74.2</v>
      </c>
      <c r="AE251">
        <v>3</v>
      </c>
      <c r="AF251" t="str">
        <v>No</v>
      </c>
      <c r="AG251" t="str">
        <v>Fall</v>
      </c>
      <c r="AH251" t="str">
        <v>Male</v>
      </c>
    </row>
    <row r="252" spans="22:34" x14ac:dyDescent="0.3">
      <c r="V252">
        <v>21</v>
      </c>
      <c r="W252" t="str">
        <v>Law</v>
      </c>
      <c r="X252">
        <v>7</v>
      </c>
      <c r="Y252">
        <v>1</v>
      </c>
      <c r="Z252">
        <v>9</v>
      </c>
      <c r="AA252">
        <v>9</v>
      </c>
      <c r="AB252">
        <v>13</v>
      </c>
      <c r="AC252">
        <v>1</v>
      </c>
      <c r="AD252">
        <v>77.3</v>
      </c>
      <c r="AE252">
        <v>4</v>
      </c>
      <c r="AF252" t="str">
        <v>No</v>
      </c>
      <c r="AG252" t="str">
        <v>Fall</v>
      </c>
      <c r="AH252" t="str">
        <v>Female</v>
      </c>
    </row>
    <row r="253" spans="22:34" x14ac:dyDescent="0.3">
      <c r="V253">
        <v>22</v>
      </c>
      <c r="W253" t="str">
        <v>Business</v>
      </c>
      <c r="X253">
        <v>2.2999999999999998</v>
      </c>
      <c r="Y253">
        <v>4</v>
      </c>
      <c r="Z253">
        <v>11</v>
      </c>
      <c r="AA253">
        <v>12</v>
      </c>
      <c r="AB253">
        <v>17</v>
      </c>
      <c r="AC253">
        <v>12.8</v>
      </c>
      <c r="AD253">
        <v>100</v>
      </c>
      <c r="AE253">
        <v>2</v>
      </c>
      <c r="AF253" t="str">
        <v>No</v>
      </c>
      <c r="AG253" t="str">
        <v>Spring</v>
      </c>
      <c r="AH253" t="str">
        <v>Male</v>
      </c>
    </row>
    <row r="254" spans="22:34" x14ac:dyDescent="0.3">
      <c r="V254">
        <v>25</v>
      </c>
      <c r="W254" t="str">
        <v>STEM</v>
      </c>
      <c r="X254">
        <v>1</v>
      </c>
      <c r="Y254">
        <v>6</v>
      </c>
      <c r="Z254">
        <v>14</v>
      </c>
      <c r="AA254">
        <v>12</v>
      </c>
      <c r="AB254">
        <v>13</v>
      </c>
      <c r="AC254">
        <v>26.3</v>
      </c>
      <c r="AD254">
        <v>77.599999999999994</v>
      </c>
      <c r="AE254">
        <v>3</v>
      </c>
      <c r="AF254" t="str">
        <v>No</v>
      </c>
      <c r="AG254" t="str">
        <v>Fall</v>
      </c>
      <c r="AH254" t="str">
        <v>Male</v>
      </c>
    </row>
    <row r="255" spans="22:34" x14ac:dyDescent="0.3">
      <c r="V255">
        <v>19</v>
      </c>
      <c r="W255" t="str">
        <v>STEM</v>
      </c>
      <c r="X255">
        <v>8.1999999999999993</v>
      </c>
      <c r="Y255">
        <v>2</v>
      </c>
      <c r="Z255">
        <v>6</v>
      </c>
      <c r="AA255">
        <v>6</v>
      </c>
      <c r="AB255">
        <v>17</v>
      </c>
      <c r="AC255">
        <v>21.7</v>
      </c>
      <c r="AD255">
        <v>86.1</v>
      </c>
      <c r="AE255">
        <v>4</v>
      </c>
      <c r="AF255" t="str">
        <v>No</v>
      </c>
      <c r="AG255" t="str">
        <v>Spring</v>
      </c>
      <c r="AH255" t="str">
        <v>Male</v>
      </c>
    </row>
    <row r="256" spans="22:34" x14ac:dyDescent="0.3">
      <c r="V256">
        <v>21</v>
      </c>
      <c r="W256" t="str">
        <v>STEM</v>
      </c>
      <c r="X256">
        <v>1.8</v>
      </c>
      <c r="Y256">
        <v>3</v>
      </c>
      <c r="Z256">
        <v>4</v>
      </c>
      <c r="AA256">
        <v>7</v>
      </c>
      <c r="AB256">
        <v>10</v>
      </c>
      <c r="AC256">
        <v>23.7</v>
      </c>
      <c r="AD256">
        <v>86.7</v>
      </c>
      <c r="AE256">
        <v>2</v>
      </c>
      <c r="AF256" t="str">
        <v>No</v>
      </c>
      <c r="AG256" t="str">
        <v>Spring</v>
      </c>
      <c r="AH256" t="str">
        <v>Female</v>
      </c>
    </row>
    <row r="257" spans="22:34" x14ac:dyDescent="0.3">
      <c r="V257">
        <v>23</v>
      </c>
      <c r="W257" t="str">
        <v>STEM</v>
      </c>
      <c r="X257">
        <v>3</v>
      </c>
      <c r="Y257">
        <v>4</v>
      </c>
      <c r="Z257">
        <v>11</v>
      </c>
      <c r="AA257">
        <v>9</v>
      </c>
      <c r="AB257">
        <v>18</v>
      </c>
      <c r="AC257">
        <v>1</v>
      </c>
      <c r="AD257">
        <v>84.2</v>
      </c>
      <c r="AE257">
        <v>3</v>
      </c>
      <c r="AF257" t="str">
        <v>Yes</v>
      </c>
      <c r="AG257" t="str">
        <v>Spring</v>
      </c>
      <c r="AH257" t="str">
        <v>Male</v>
      </c>
    </row>
    <row r="258" spans="22:34" x14ac:dyDescent="0.3">
      <c r="V258">
        <v>22</v>
      </c>
      <c r="W258" t="str">
        <v>Business</v>
      </c>
      <c r="X258">
        <v>6.9</v>
      </c>
      <c r="Y258">
        <v>1</v>
      </c>
      <c r="Z258">
        <v>1</v>
      </c>
      <c r="AA258">
        <v>3</v>
      </c>
      <c r="AB258">
        <v>11</v>
      </c>
      <c r="AC258">
        <v>15.5</v>
      </c>
      <c r="AD258">
        <v>82</v>
      </c>
      <c r="AE258">
        <v>0</v>
      </c>
      <c r="AF258" t="str">
        <v>No</v>
      </c>
      <c r="AG258" t="str">
        <v>Spring</v>
      </c>
      <c r="AH258" t="str">
        <v>Male</v>
      </c>
    </row>
    <row r="259" spans="22:34" x14ac:dyDescent="0.3">
      <c r="V259">
        <v>21</v>
      </c>
      <c r="W259" t="str">
        <v>Social Sciences</v>
      </c>
      <c r="X259">
        <v>2.2000000000000002</v>
      </c>
      <c r="Y259">
        <v>5</v>
      </c>
      <c r="Z259">
        <v>6</v>
      </c>
      <c r="AA259">
        <v>9</v>
      </c>
      <c r="AB259">
        <v>14</v>
      </c>
      <c r="AC259">
        <v>15.7</v>
      </c>
      <c r="AD259">
        <v>83.5</v>
      </c>
      <c r="AE259">
        <v>5</v>
      </c>
      <c r="AF259" t="str">
        <v>Yes</v>
      </c>
      <c r="AG259" t="str">
        <v>Spring</v>
      </c>
      <c r="AH259" t="str">
        <v>Male</v>
      </c>
    </row>
    <row r="260" spans="22:34" x14ac:dyDescent="0.3">
      <c r="V260">
        <v>21</v>
      </c>
      <c r="W260" t="str">
        <v>Social Sciences</v>
      </c>
      <c r="X260">
        <v>7.9</v>
      </c>
      <c r="Y260">
        <v>2</v>
      </c>
      <c r="Z260">
        <v>0</v>
      </c>
      <c r="AA260">
        <v>0</v>
      </c>
      <c r="AB260">
        <v>14</v>
      </c>
      <c r="AC260">
        <v>21</v>
      </c>
      <c r="AD260">
        <v>84.1</v>
      </c>
      <c r="AE260">
        <v>2</v>
      </c>
      <c r="AF260" t="str">
        <v>Yes</v>
      </c>
      <c r="AG260" t="str">
        <v>Spring</v>
      </c>
      <c r="AH260" t="str">
        <v>Non-binary</v>
      </c>
    </row>
    <row r="261" spans="22:34" x14ac:dyDescent="0.3">
      <c r="V261">
        <v>19</v>
      </c>
      <c r="W261" t="str">
        <v>STEM</v>
      </c>
      <c r="X261">
        <v>2.7</v>
      </c>
      <c r="Y261">
        <v>4</v>
      </c>
      <c r="Z261">
        <v>4</v>
      </c>
      <c r="AA261">
        <v>5</v>
      </c>
      <c r="AB261">
        <v>6</v>
      </c>
      <c r="AC261">
        <v>25.5</v>
      </c>
      <c r="AD261">
        <v>72.400000000000006</v>
      </c>
      <c r="AE261">
        <v>0</v>
      </c>
      <c r="AF261" t="str">
        <v>No</v>
      </c>
      <c r="AG261" t="str">
        <v>Fall</v>
      </c>
      <c r="AH261" t="str">
        <v>Male</v>
      </c>
    </row>
    <row r="262" spans="22:34" x14ac:dyDescent="0.3">
      <c r="V262">
        <v>21</v>
      </c>
      <c r="W262" t="str">
        <v>Humanities</v>
      </c>
      <c r="X262">
        <v>2.4</v>
      </c>
      <c r="Y262">
        <v>0</v>
      </c>
      <c r="Z262">
        <v>15</v>
      </c>
      <c r="AA262">
        <v>11</v>
      </c>
      <c r="AB262">
        <v>27</v>
      </c>
      <c r="AC262">
        <v>13.9</v>
      </c>
      <c r="AD262">
        <v>86.8</v>
      </c>
      <c r="AE262">
        <v>0</v>
      </c>
      <c r="AF262" t="str">
        <v>No</v>
      </c>
      <c r="AG262" t="str">
        <v>Fall</v>
      </c>
      <c r="AH262" t="str">
        <v>Male</v>
      </c>
    </row>
    <row r="263" spans="22:34" x14ac:dyDescent="0.3">
      <c r="V263">
        <v>21</v>
      </c>
      <c r="W263" t="str">
        <v>STEM</v>
      </c>
      <c r="X263">
        <v>1.8</v>
      </c>
      <c r="Y263">
        <v>2</v>
      </c>
      <c r="Z263">
        <v>7</v>
      </c>
      <c r="AA263">
        <v>9</v>
      </c>
      <c r="AB263">
        <v>17</v>
      </c>
      <c r="AC263">
        <v>15.4</v>
      </c>
      <c r="AD263">
        <v>100</v>
      </c>
      <c r="AE263">
        <v>1</v>
      </c>
      <c r="AF263" t="str">
        <v>No</v>
      </c>
      <c r="AG263" t="str">
        <v>Spring</v>
      </c>
      <c r="AH263" t="str">
        <v>Female</v>
      </c>
    </row>
    <row r="264" spans="22:34" x14ac:dyDescent="0.3">
      <c r="V264">
        <v>22</v>
      </c>
      <c r="W264" t="str">
        <v>Arts</v>
      </c>
      <c r="X264">
        <v>2.7</v>
      </c>
      <c r="Y264">
        <v>3</v>
      </c>
      <c r="Z264">
        <v>12</v>
      </c>
      <c r="AA264">
        <v>11</v>
      </c>
      <c r="AB264">
        <v>18</v>
      </c>
      <c r="AC264">
        <v>7.7</v>
      </c>
      <c r="AD264">
        <v>92.5</v>
      </c>
      <c r="AE264">
        <v>2</v>
      </c>
      <c r="AF264" t="str">
        <v>No</v>
      </c>
      <c r="AG264" t="str">
        <v>Fall</v>
      </c>
      <c r="AH264" t="str">
        <v>Female</v>
      </c>
    </row>
    <row r="265" spans="22:34" x14ac:dyDescent="0.3">
      <c r="V265">
        <v>20</v>
      </c>
      <c r="W265" t="str">
        <v>STEM</v>
      </c>
      <c r="X265">
        <v>6.3</v>
      </c>
      <c r="Y265">
        <v>3</v>
      </c>
      <c r="Z265">
        <v>3</v>
      </c>
      <c r="AA265">
        <v>5</v>
      </c>
      <c r="AB265">
        <v>13</v>
      </c>
      <c r="AC265">
        <v>15.7</v>
      </c>
      <c r="AD265">
        <v>86.4</v>
      </c>
      <c r="AE265">
        <v>4</v>
      </c>
      <c r="AF265" t="str">
        <v>No</v>
      </c>
      <c r="AG265" t="str">
        <v>Fall</v>
      </c>
      <c r="AH265" t="str">
        <v>Male</v>
      </c>
    </row>
    <row r="266" spans="22:34" x14ac:dyDescent="0.3">
      <c r="V266">
        <v>22</v>
      </c>
      <c r="W266" t="str">
        <v>Humanities</v>
      </c>
      <c r="X266">
        <v>3</v>
      </c>
      <c r="Y266">
        <v>5</v>
      </c>
      <c r="Z266">
        <v>5</v>
      </c>
      <c r="AA266">
        <v>5</v>
      </c>
      <c r="AB266">
        <v>7</v>
      </c>
      <c r="AC266">
        <v>8.6999999999999993</v>
      </c>
      <c r="AD266">
        <v>92.9</v>
      </c>
      <c r="AE266">
        <v>1</v>
      </c>
      <c r="AF266" t="str">
        <v>Yes</v>
      </c>
      <c r="AG266" t="str">
        <v>Fall</v>
      </c>
      <c r="AH266" t="str">
        <v>Male</v>
      </c>
    </row>
    <row r="267" spans="22:34" x14ac:dyDescent="0.3">
      <c r="V267">
        <v>24</v>
      </c>
      <c r="W267" t="str">
        <v>Business</v>
      </c>
      <c r="X267">
        <v>8.1999999999999993</v>
      </c>
      <c r="Y267">
        <v>7</v>
      </c>
      <c r="Z267">
        <v>5</v>
      </c>
      <c r="AA267">
        <v>6</v>
      </c>
      <c r="AB267">
        <v>10</v>
      </c>
      <c r="AC267">
        <v>1.9</v>
      </c>
      <c r="AD267">
        <v>68.5</v>
      </c>
      <c r="AE267">
        <v>3</v>
      </c>
      <c r="AF267" t="str">
        <v>No</v>
      </c>
      <c r="AG267" t="str">
        <v>Spring</v>
      </c>
      <c r="AH267" t="str">
        <v>Non-binary</v>
      </c>
    </row>
    <row r="268" spans="22:34" x14ac:dyDescent="0.3">
      <c r="V268">
        <v>22</v>
      </c>
      <c r="W268" t="str">
        <v>Social Sciences</v>
      </c>
      <c r="X268">
        <v>4.5</v>
      </c>
      <c r="Y268">
        <v>0</v>
      </c>
      <c r="Z268">
        <v>9</v>
      </c>
      <c r="AA268">
        <v>8</v>
      </c>
      <c r="AB268">
        <v>19</v>
      </c>
      <c r="AC268">
        <v>7.4</v>
      </c>
      <c r="AD268">
        <v>74.400000000000006</v>
      </c>
      <c r="AE268">
        <v>1</v>
      </c>
      <c r="AF268" t="str">
        <v>No</v>
      </c>
      <c r="AG268" t="str">
        <v>Fall</v>
      </c>
      <c r="AH268" t="str">
        <v>Male</v>
      </c>
    </row>
    <row r="269" spans="22:34" x14ac:dyDescent="0.3">
      <c r="V269">
        <v>22</v>
      </c>
      <c r="W269" t="str">
        <v>Business</v>
      </c>
      <c r="X269">
        <v>4.7</v>
      </c>
      <c r="Y269">
        <v>2</v>
      </c>
      <c r="Z269">
        <v>3</v>
      </c>
      <c r="AA269">
        <v>3</v>
      </c>
      <c r="AB269">
        <v>3</v>
      </c>
      <c r="AC269">
        <v>30.4</v>
      </c>
      <c r="AD269">
        <v>99.6</v>
      </c>
      <c r="AE269">
        <v>3</v>
      </c>
      <c r="AF269" t="str">
        <v>No</v>
      </c>
      <c r="AG269" t="str">
        <v>Spring</v>
      </c>
      <c r="AH269" t="str">
        <v>Female</v>
      </c>
    </row>
    <row r="270" spans="22:34" x14ac:dyDescent="0.3">
      <c r="V270">
        <v>22</v>
      </c>
      <c r="W270" t="str">
        <v>Social Sciences</v>
      </c>
      <c r="X270">
        <v>2.4</v>
      </c>
      <c r="Y270">
        <v>2</v>
      </c>
      <c r="Z270">
        <v>4</v>
      </c>
      <c r="AA270">
        <v>5</v>
      </c>
      <c r="AB270">
        <v>11</v>
      </c>
      <c r="AC270">
        <v>16.7</v>
      </c>
      <c r="AD270">
        <v>99</v>
      </c>
      <c r="AE270">
        <v>1</v>
      </c>
      <c r="AF270" t="str">
        <v>No</v>
      </c>
      <c r="AG270" t="str">
        <v>Spring</v>
      </c>
      <c r="AH270" t="str">
        <v>Prefer not to say</v>
      </c>
    </row>
    <row r="271" spans="22:34" x14ac:dyDescent="0.3">
      <c r="V271">
        <v>22</v>
      </c>
      <c r="W271" t="str">
        <v>STEM</v>
      </c>
      <c r="X271">
        <v>9</v>
      </c>
      <c r="Y271">
        <v>3</v>
      </c>
      <c r="Z271">
        <v>7</v>
      </c>
      <c r="AA271">
        <v>7</v>
      </c>
      <c r="AB271">
        <v>14</v>
      </c>
      <c r="AC271">
        <v>23.8</v>
      </c>
      <c r="AD271">
        <v>72.599999999999994</v>
      </c>
      <c r="AE271">
        <v>4</v>
      </c>
      <c r="AF271" t="str">
        <v>No</v>
      </c>
      <c r="AG271" t="str">
        <v>Spring</v>
      </c>
      <c r="AH271" t="str">
        <v>Male</v>
      </c>
    </row>
    <row r="272" spans="22:34" x14ac:dyDescent="0.3">
      <c r="V272">
        <v>20</v>
      </c>
      <c r="W272" t="str">
        <v>Arts</v>
      </c>
      <c r="X272">
        <v>7.1</v>
      </c>
      <c r="Y272">
        <v>3</v>
      </c>
      <c r="Z272">
        <v>7</v>
      </c>
      <c r="AA272">
        <v>6</v>
      </c>
      <c r="AB272">
        <v>18</v>
      </c>
      <c r="AC272">
        <v>16.5</v>
      </c>
      <c r="AD272">
        <v>75.099999999999994</v>
      </c>
      <c r="AE272">
        <v>4</v>
      </c>
      <c r="AF272" t="str">
        <v>Yes</v>
      </c>
      <c r="AG272" t="str">
        <v>Fall</v>
      </c>
      <c r="AH272" t="str">
        <v>Male</v>
      </c>
    </row>
    <row r="273" spans="22:34" x14ac:dyDescent="0.3">
      <c r="V273">
        <v>22</v>
      </c>
      <c r="W273" t="str">
        <v>Business</v>
      </c>
      <c r="X273">
        <v>6.9</v>
      </c>
      <c r="Y273">
        <v>5</v>
      </c>
      <c r="Z273">
        <v>2</v>
      </c>
      <c r="AA273">
        <v>5</v>
      </c>
      <c r="AB273">
        <v>4</v>
      </c>
      <c r="AC273">
        <v>3.6</v>
      </c>
      <c r="AD273">
        <v>100</v>
      </c>
      <c r="AE273">
        <v>4</v>
      </c>
      <c r="AF273" t="str">
        <v>No</v>
      </c>
      <c r="AG273" t="str">
        <v>Spring</v>
      </c>
      <c r="AH273" t="str">
        <v>Prefer not to say</v>
      </c>
    </row>
    <row r="274" spans="22:34" x14ac:dyDescent="0.3">
      <c r="V274">
        <v>21</v>
      </c>
      <c r="W274" t="str">
        <v>Social Sciences</v>
      </c>
      <c r="X274">
        <v>3.9</v>
      </c>
      <c r="Y274">
        <v>4</v>
      </c>
      <c r="Z274">
        <v>2</v>
      </c>
      <c r="AA274">
        <v>6</v>
      </c>
      <c r="AB274">
        <v>14</v>
      </c>
      <c r="AC274">
        <v>27.3</v>
      </c>
      <c r="AD274">
        <v>79.2</v>
      </c>
      <c r="AE274">
        <v>2</v>
      </c>
      <c r="AF274" t="str">
        <v>Yes</v>
      </c>
      <c r="AG274" t="str">
        <v>Fall</v>
      </c>
      <c r="AH274" t="str">
        <v>Female</v>
      </c>
    </row>
    <row r="275" spans="22:34" x14ac:dyDescent="0.3">
      <c r="V275">
        <v>26</v>
      </c>
      <c r="W275" t="str">
        <v>Health Sciences</v>
      </c>
      <c r="X275">
        <v>1.6</v>
      </c>
      <c r="Y275">
        <v>0</v>
      </c>
      <c r="Z275">
        <v>0</v>
      </c>
      <c r="AA275">
        <v>4</v>
      </c>
      <c r="AB275">
        <v>5</v>
      </c>
      <c r="AC275">
        <v>2.9</v>
      </c>
      <c r="AD275">
        <v>100</v>
      </c>
      <c r="AE275">
        <v>5</v>
      </c>
      <c r="AF275" t="str">
        <v>Yes</v>
      </c>
      <c r="AG275" t="str">
        <v>Summer</v>
      </c>
      <c r="AH275" t="str">
        <v>Male</v>
      </c>
    </row>
    <row r="276" spans="22:34" x14ac:dyDescent="0.3">
      <c r="V276">
        <v>25</v>
      </c>
      <c r="W276" t="str">
        <v>Law</v>
      </c>
      <c r="X276">
        <v>4.9000000000000004</v>
      </c>
      <c r="Y276">
        <v>2</v>
      </c>
      <c r="Z276">
        <v>2</v>
      </c>
      <c r="AA276">
        <v>3</v>
      </c>
      <c r="AB276">
        <v>6</v>
      </c>
      <c r="AC276">
        <v>15.3</v>
      </c>
      <c r="AD276">
        <v>85.8</v>
      </c>
      <c r="AE276">
        <v>4</v>
      </c>
      <c r="AF276" t="str">
        <v>Yes</v>
      </c>
      <c r="AG276" t="str">
        <v>Spring</v>
      </c>
      <c r="AH276" t="str">
        <v>Female</v>
      </c>
    </row>
    <row r="277" spans="22:34" x14ac:dyDescent="0.3">
      <c r="V277">
        <v>22</v>
      </c>
      <c r="W277" t="str">
        <v>STEM</v>
      </c>
      <c r="X277">
        <v>6.1</v>
      </c>
      <c r="Y277">
        <v>3</v>
      </c>
      <c r="Z277">
        <v>17</v>
      </c>
      <c r="AA277">
        <v>15</v>
      </c>
      <c r="AB277">
        <v>19</v>
      </c>
      <c r="AC277">
        <v>17.100000000000001</v>
      </c>
      <c r="AD277">
        <v>71.8</v>
      </c>
      <c r="AE277">
        <v>1</v>
      </c>
      <c r="AF277" t="str">
        <v>Yes</v>
      </c>
      <c r="AG277" t="str">
        <v>Fall</v>
      </c>
      <c r="AH277" t="str">
        <v>Female</v>
      </c>
    </row>
    <row r="278" spans="22:34" x14ac:dyDescent="0.3">
      <c r="V278">
        <v>20</v>
      </c>
      <c r="W278" t="str">
        <v>STEM</v>
      </c>
      <c r="X278">
        <v>6.2</v>
      </c>
      <c r="Y278">
        <v>3</v>
      </c>
      <c r="Z278">
        <v>3</v>
      </c>
      <c r="AA278">
        <v>4</v>
      </c>
      <c r="AB278">
        <v>5</v>
      </c>
      <c r="AC278">
        <v>20.3</v>
      </c>
      <c r="AD278">
        <v>78.400000000000006</v>
      </c>
      <c r="AE278">
        <v>3</v>
      </c>
      <c r="AF278" t="str">
        <v>Yes</v>
      </c>
      <c r="AG278" t="str">
        <v>Spring</v>
      </c>
      <c r="AH278" t="str">
        <v>Female</v>
      </c>
    </row>
    <row r="279" spans="22:34" x14ac:dyDescent="0.3">
      <c r="V279">
        <v>19</v>
      </c>
      <c r="W279" t="str">
        <v>STEM</v>
      </c>
      <c r="X279">
        <v>5.7</v>
      </c>
      <c r="Y279">
        <v>1</v>
      </c>
      <c r="Z279">
        <v>4</v>
      </c>
      <c r="AA279">
        <v>2</v>
      </c>
      <c r="AB279">
        <v>10</v>
      </c>
      <c r="AC279">
        <v>16.5</v>
      </c>
      <c r="AD279">
        <v>96.5</v>
      </c>
      <c r="AE279">
        <v>4</v>
      </c>
      <c r="AF279" t="str">
        <v>No</v>
      </c>
      <c r="AG279" t="str">
        <v>Spring</v>
      </c>
      <c r="AH279" t="str">
        <v>Female</v>
      </c>
    </row>
    <row r="280" spans="22:34" x14ac:dyDescent="0.3">
      <c r="V280">
        <v>24</v>
      </c>
      <c r="W280" t="str">
        <v>STEM</v>
      </c>
      <c r="X280">
        <v>5.5</v>
      </c>
      <c r="Y280">
        <v>2</v>
      </c>
      <c r="Z280">
        <v>4</v>
      </c>
      <c r="AA280">
        <v>6</v>
      </c>
      <c r="AB280">
        <v>7</v>
      </c>
      <c r="AC280">
        <v>9.4</v>
      </c>
      <c r="AD280">
        <v>96</v>
      </c>
      <c r="AE280">
        <v>3</v>
      </c>
      <c r="AF280" t="str">
        <v>No</v>
      </c>
      <c r="AG280" t="str">
        <v>Spring</v>
      </c>
      <c r="AH280" t="str">
        <v>Male</v>
      </c>
    </row>
    <row r="281" spans="22:34" x14ac:dyDescent="0.3">
      <c r="V281">
        <v>22</v>
      </c>
      <c r="W281" t="str">
        <v>Humanities</v>
      </c>
      <c r="X281">
        <v>2.6</v>
      </c>
      <c r="Y281">
        <v>2</v>
      </c>
      <c r="Z281">
        <v>2</v>
      </c>
      <c r="AA281">
        <v>4</v>
      </c>
      <c r="AB281">
        <v>10</v>
      </c>
      <c r="AC281">
        <v>13.9</v>
      </c>
      <c r="AD281">
        <v>64.400000000000006</v>
      </c>
      <c r="AE281">
        <v>3</v>
      </c>
      <c r="AF281" t="str">
        <v>No</v>
      </c>
      <c r="AG281" t="str">
        <v>Spring</v>
      </c>
      <c r="AH281" t="str">
        <v>Male</v>
      </c>
    </row>
    <row r="282" spans="22:34" x14ac:dyDescent="0.3">
      <c r="V282">
        <v>23</v>
      </c>
      <c r="W282" t="str">
        <v>Law</v>
      </c>
      <c r="X282">
        <v>2.7</v>
      </c>
      <c r="Y282">
        <v>1</v>
      </c>
      <c r="Z282">
        <v>10</v>
      </c>
      <c r="AA282">
        <v>14</v>
      </c>
      <c r="AB282">
        <v>16</v>
      </c>
      <c r="AC282">
        <v>11.7</v>
      </c>
      <c r="AD282">
        <v>69.2</v>
      </c>
      <c r="AE282">
        <v>4</v>
      </c>
      <c r="AF282" t="str">
        <v>No</v>
      </c>
      <c r="AG282" t="str">
        <v>Spring</v>
      </c>
      <c r="AH282" t="str">
        <v>Female</v>
      </c>
    </row>
    <row r="283" spans="22:34" x14ac:dyDescent="0.3">
      <c r="V283">
        <v>18</v>
      </c>
      <c r="W283" t="str">
        <v>Law</v>
      </c>
      <c r="X283">
        <v>1.8</v>
      </c>
      <c r="Y283">
        <v>4</v>
      </c>
      <c r="Z283">
        <v>6</v>
      </c>
      <c r="AA283">
        <v>9</v>
      </c>
      <c r="AB283">
        <v>9</v>
      </c>
      <c r="AC283">
        <v>12</v>
      </c>
      <c r="AD283">
        <v>89.8</v>
      </c>
      <c r="AE283">
        <v>1</v>
      </c>
      <c r="AF283" t="str">
        <v>Yes</v>
      </c>
      <c r="AG283" t="str">
        <v>Spring</v>
      </c>
      <c r="AH283" t="str">
        <v>Male</v>
      </c>
    </row>
    <row r="284" spans="22:34" x14ac:dyDescent="0.3">
      <c r="V284">
        <v>23</v>
      </c>
      <c r="W284" t="str">
        <v>Humanities</v>
      </c>
      <c r="X284">
        <v>8.3000000000000007</v>
      </c>
      <c r="Y284">
        <v>2</v>
      </c>
      <c r="Z284">
        <v>9</v>
      </c>
      <c r="AA284">
        <v>9</v>
      </c>
      <c r="AB284">
        <v>13</v>
      </c>
      <c r="AC284">
        <v>24.5</v>
      </c>
      <c r="AD284">
        <v>76.900000000000006</v>
      </c>
      <c r="AE284">
        <v>5</v>
      </c>
      <c r="AF284" t="str">
        <v>Yes</v>
      </c>
      <c r="AG284" t="str">
        <v>Summer</v>
      </c>
      <c r="AH284" t="str">
        <v>Non-binary</v>
      </c>
    </row>
    <row r="285" spans="22:34" x14ac:dyDescent="0.3">
      <c r="V285">
        <v>22</v>
      </c>
      <c r="W285" t="str">
        <v>Social Sciences</v>
      </c>
      <c r="X285">
        <v>13.1</v>
      </c>
      <c r="Y285">
        <v>3</v>
      </c>
      <c r="Z285">
        <v>4</v>
      </c>
      <c r="AA285">
        <v>5</v>
      </c>
      <c r="AB285">
        <v>11</v>
      </c>
      <c r="AC285">
        <v>9.5</v>
      </c>
      <c r="AD285">
        <v>69.7</v>
      </c>
      <c r="AE285">
        <v>2</v>
      </c>
      <c r="AF285" t="str">
        <v>No</v>
      </c>
      <c r="AG285" t="str">
        <v>Fall</v>
      </c>
      <c r="AH285" t="str">
        <v>Male</v>
      </c>
    </row>
    <row r="286" spans="22:34" x14ac:dyDescent="0.3">
      <c r="V286">
        <v>19</v>
      </c>
      <c r="W286" t="str">
        <v>Health Sciences</v>
      </c>
      <c r="X286">
        <v>16</v>
      </c>
      <c r="Y286">
        <v>3</v>
      </c>
      <c r="Z286">
        <v>1</v>
      </c>
      <c r="AA286">
        <v>3</v>
      </c>
      <c r="AB286">
        <v>6</v>
      </c>
      <c r="AC286">
        <v>24</v>
      </c>
      <c r="AD286">
        <v>94.4</v>
      </c>
      <c r="AE286">
        <v>1</v>
      </c>
      <c r="AF286" t="str">
        <v>No</v>
      </c>
      <c r="AG286" t="str">
        <v>Spring</v>
      </c>
      <c r="AH286" t="str">
        <v>Male</v>
      </c>
    </row>
    <row r="287" spans="22:34" x14ac:dyDescent="0.3">
      <c r="V287">
        <v>21</v>
      </c>
      <c r="W287" t="str">
        <v>Arts</v>
      </c>
      <c r="X287">
        <v>5.0999999999999996</v>
      </c>
      <c r="Y287">
        <v>5</v>
      </c>
      <c r="Z287">
        <v>3</v>
      </c>
      <c r="AA287">
        <v>2</v>
      </c>
      <c r="AB287">
        <v>8</v>
      </c>
      <c r="AC287">
        <v>19.100000000000001</v>
      </c>
      <c r="AD287">
        <v>95.6</v>
      </c>
      <c r="AE287">
        <v>1</v>
      </c>
      <c r="AF287" t="str">
        <v>No</v>
      </c>
      <c r="AG287" t="str">
        <v>Spring</v>
      </c>
      <c r="AH287" t="str">
        <v>Female</v>
      </c>
    </row>
    <row r="288" spans="22:34" x14ac:dyDescent="0.3">
      <c r="V288">
        <v>22</v>
      </c>
      <c r="W288" t="str">
        <v>STEM</v>
      </c>
      <c r="X288">
        <v>5.5</v>
      </c>
      <c r="Y288">
        <v>1</v>
      </c>
      <c r="Z288">
        <v>6</v>
      </c>
      <c r="AA288">
        <v>2</v>
      </c>
      <c r="AB288">
        <v>12</v>
      </c>
      <c r="AC288">
        <v>28.5</v>
      </c>
      <c r="AD288">
        <v>74.8</v>
      </c>
      <c r="AE288">
        <v>3</v>
      </c>
      <c r="AF288" t="str">
        <v>Yes</v>
      </c>
      <c r="AG288" t="str">
        <v>Spring</v>
      </c>
      <c r="AH288" t="str">
        <v>Male</v>
      </c>
    </row>
    <row r="289" spans="22:34" x14ac:dyDescent="0.3">
      <c r="V289">
        <v>22</v>
      </c>
      <c r="W289" t="str">
        <v>Humanities</v>
      </c>
      <c r="X289">
        <v>4</v>
      </c>
      <c r="Y289">
        <v>0</v>
      </c>
      <c r="Z289">
        <v>4</v>
      </c>
      <c r="AA289">
        <v>3</v>
      </c>
      <c r="AB289">
        <v>12</v>
      </c>
      <c r="AC289">
        <v>13.2</v>
      </c>
      <c r="AD289">
        <v>88</v>
      </c>
      <c r="AE289">
        <v>5</v>
      </c>
      <c r="AF289" t="str">
        <v>No</v>
      </c>
      <c r="AG289" t="str">
        <v>Spring</v>
      </c>
      <c r="AH289" t="str">
        <v>Female</v>
      </c>
    </row>
    <row r="290" spans="22:34" x14ac:dyDescent="0.3">
      <c r="V290">
        <v>21</v>
      </c>
      <c r="W290" t="str">
        <v>Health Sciences</v>
      </c>
      <c r="X290">
        <v>5.0999999999999996</v>
      </c>
      <c r="Y290">
        <v>2</v>
      </c>
      <c r="Z290">
        <v>2</v>
      </c>
      <c r="AA290">
        <v>3</v>
      </c>
      <c r="AB290">
        <v>7</v>
      </c>
      <c r="AC290">
        <v>26</v>
      </c>
      <c r="AD290">
        <v>64.5</v>
      </c>
      <c r="AE290">
        <v>4</v>
      </c>
      <c r="AF290" t="str">
        <v>No</v>
      </c>
      <c r="AG290" t="str">
        <v>Fall</v>
      </c>
      <c r="AH290" t="str">
        <v>Male</v>
      </c>
    </row>
    <row r="291" spans="22:34" x14ac:dyDescent="0.3">
      <c r="V291">
        <v>21</v>
      </c>
      <c r="W291" t="str">
        <v>STEM</v>
      </c>
      <c r="X291">
        <v>2.2000000000000002</v>
      </c>
      <c r="Y291">
        <v>2</v>
      </c>
      <c r="Z291">
        <v>4</v>
      </c>
      <c r="AA291">
        <v>0</v>
      </c>
      <c r="AB291">
        <v>5</v>
      </c>
      <c r="AC291">
        <v>16.399999999999999</v>
      </c>
      <c r="AD291">
        <v>68.599999999999994</v>
      </c>
      <c r="AE291">
        <v>5</v>
      </c>
      <c r="AF291" t="str">
        <v>No</v>
      </c>
      <c r="AG291" t="str">
        <v>Spring</v>
      </c>
      <c r="AH291" t="str">
        <v>Female</v>
      </c>
    </row>
    <row r="292" spans="22:34" x14ac:dyDescent="0.3">
      <c r="V292">
        <v>21</v>
      </c>
      <c r="W292" t="str">
        <v>Business</v>
      </c>
      <c r="X292">
        <v>4</v>
      </c>
      <c r="Y292">
        <v>2</v>
      </c>
      <c r="Z292">
        <v>0</v>
      </c>
      <c r="AA292">
        <v>1</v>
      </c>
      <c r="AB292">
        <v>6</v>
      </c>
      <c r="AC292">
        <v>21.6</v>
      </c>
      <c r="AD292">
        <v>82.3</v>
      </c>
      <c r="AE292">
        <v>3</v>
      </c>
      <c r="AF292" t="str">
        <v>Yes</v>
      </c>
      <c r="AG292" t="str">
        <v>Fall</v>
      </c>
      <c r="AH292" t="str">
        <v>Female</v>
      </c>
    </row>
    <row r="293" spans="22:34" x14ac:dyDescent="0.3">
      <c r="V293">
        <v>22</v>
      </c>
      <c r="W293" t="str">
        <v>Law</v>
      </c>
      <c r="X293">
        <v>2.4</v>
      </c>
      <c r="Y293">
        <v>4</v>
      </c>
      <c r="Z293">
        <v>14</v>
      </c>
      <c r="AA293">
        <v>11</v>
      </c>
      <c r="AB293">
        <v>21</v>
      </c>
      <c r="AC293">
        <v>8.6999999999999993</v>
      </c>
      <c r="AD293">
        <v>74.2</v>
      </c>
      <c r="AE293">
        <v>3</v>
      </c>
      <c r="AF293" t="str">
        <v>No</v>
      </c>
      <c r="AG293" t="str">
        <v>Fall</v>
      </c>
      <c r="AH293" t="str">
        <v>Female</v>
      </c>
    </row>
    <row r="294" spans="22:34" x14ac:dyDescent="0.3">
      <c r="V294">
        <v>25</v>
      </c>
      <c r="W294" t="str">
        <v>Law</v>
      </c>
      <c r="X294">
        <v>3.6</v>
      </c>
      <c r="Y294">
        <v>1</v>
      </c>
      <c r="Z294">
        <v>5</v>
      </c>
      <c r="AA294">
        <v>5</v>
      </c>
      <c r="AB294">
        <v>6</v>
      </c>
      <c r="AC294">
        <v>1</v>
      </c>
      <c r="AD294">
        <v>58.1</v>
      </c>
      <c r="AE294">
        <v>3</v>
      </c>
      <c r="AF294" t="str">
        <v>No</v>
      </c>
      <c r="AG294" t="str">
        <v>Spring</v>
      </c>
      <c r="AH294" t="str">
        <v>Non-binary</v>
      </c>
    </row>
    <row r="295" spans="22:34" x14ac:dyDescent="0.3">
      <c r="V295">
        <v>17</v>
      </c>
      <c r="W295" t="str">
        <v>Arts</v>
      </c>
      <c r="X295">
        <v>2.6</v>
      </c>
      <c r="Y295">
        <v>0</v>
      </c>
      <c r="Z295">
        <v>5</v>
      </c>
      <c r="AA295">
        <v>4</v>
      </c>
      <c r="AB295">
        <v>7</v>
      </c>
      <c r="AC295">
        <v>20.100000000000001</v>
      </c>
      <c r="AD295">
        <v>65.8</v>
      </c>
      <c r="AE295">
        <v>1</v>
      </c>
      <c r="AF295" t="str">
        <v>No</v>
      </c>
      <c r="AG295" t="str">
        <v>Fall</v>
      </c>
      <c r="AH295" t="str">
        <v>Male</v>
      </c>
    </row>
    <row r="296" spans="22:34" x14ac:dyDescent="0.3">
      <c r="V296">
        <v>21</v>
      </c>
      <c r="W296" t="str">
        <v>Health Sciences</v>
      </c>
      <c r="X296">
        <v>6.2</v>
      </c>
      <c r="Y296">
        <v>2</v>
      </c>
      <c r="Z296">
        <v>19</v>
      </c>
      <c r="AA296">
        <v>14</v>
      </c>
      <c r="AB296">
        <v>22</v>
      </c>
      <c r="AC296">
        <v>22.7</v>
      </c>
      <c r="AD296">
        <v>58.3</v>
      </c>
      <c r="AE296">
        <v>5</v>
      </c>
      <c r="AF296" t="str">
        <v>No</v>
      </c>
      <c r="AG296" t="str">
        <v>Fall</v>
      </c>
      <c r="AH296" t="str">
        <v>Female</v>
      </c>
    </row>
    <row r="297" spans="22:34" x14ac:dyDescent="0.3">
      <c r="V297">
        <v>22</v>
      </c>
      <c r="W297" t="str">
        <v>STEM</v>
      </c>
      <c r="X297">
        <v>6.6</v>
      </c>
      <c r="Y297">
        <v>4</v>
      </c>
      <c r="Z297">
        <v>3</v>
      </c>
      <c r="AA297">
        <v>7</v>
      </c>
      <c r="AB297">
        <v>9</v>
      </c>
      <c r="AC297">
        <v>19.7</v>
      </c>
      <c r="AD297">
        <v>88</v>
      </c>
      <c r="AE297">
        <v>3</v>
      </c>
      <c r="AF297" t="str">
        <v>No</v>
      </c>
      <c r="AG297" t="str">
        <v>Fall</v>
      </c>
      <c r="AH297" t="str">
        <v>Male</v>
      </c>
    </row>
    <row r="298" spans="22:34" x14ac:dyDescent="0.3">
      <c r="V298">
        <v>22</v>
      </c>
      <c r="W298" t="str">
        <v>Business</v>
      </c>
      <c r="X298">
        <v>5.4</v>
      </c>
      <c r="Y298">
        <v>5</v>
      </c>
      <c r="Z298">
        <v>4</v>
      </c>
      <c r="AA298">
        <v>6</v>
      </c>
      <c r="AB298">
        <v>8</v>
      </c>
      <c r="AC298">
        <v>12.7</v>
      </c>
      <c r="AD298">
        <v>55</v>
      </c>
      <c r="AE298">
        <v>0</v>
      </c>
      <c r="AF298" t="str">
        <v>Yes</v>
      </c>
      <c r="AG298" t="str">
        <v>Spring</v>
      </c>
      <c r="AH298" t="str">
        <v>Prefer not to say</v>
      </c>
    </row>
    <row r="299" spans="22:34" x14ac:dyDescent="0.3">
      <c r="V299">
        <v>21</v>
      </c>
      <c r="W299" t="str">
        <v>Humanities</v>
      </c>
      <c r="X299">
        <v>2.8</v>
      </c>
      <c r="Y299">
        <v>4</v>
      </c>
      <c r="Z299">
        <v>4</v>
      </c>
      <c r="AA299">
        <v>3</v>
      </c>
      <c r="AB299">
        <v>11</v>
      </c>
      <c r="AC299">
        <v>28.6</v>
      </c>
      <c r="AD299">
        <v>63</v>
      </c>
      <c r="AE299">
        <v>3</v>
      </c>
      <c r="AF299" t="str">
        <v>No</v>
      </c>
      <c r="AG299" t="str">
        <v>Summer</v>
      </c>
      <c r="AH299" t="str">
        <v>Female</v>
      </c>
    </row>
    <row r="300" spans="22:34" x14ac:dyDescent="0.3">
      <c r="V300">
        <v>18</v>
      </c>
      <c r="W300" t="str">
        <v>Humanities</v>
      </c>
      <c r="X300">
        <v>1.7</v>
      </c>
      <c r="Y300">
        <v>3</v>
      </c>
      <c r="Z300">
        <v>15</v>
      </c>
      <c r="AA300">
        <v>12</v>
      </c>
      <c r="AB300">
        <v>15</v>
      </c>
      <c r="AC300">
        <v>6.7</v>
      </c>
      <c r="AD300">
        <v>47.1</v>
      </c>
      <c r="AE300">
        <v>4</v>
      </c>
      <c r="AF300" t="str">
        <v>Yes</v>
      </c>
      <c r="AG300" t="str">
        <v>Spring</v>
      </c>
      <c r="AH300" t="str">
        <v>Female</v>
      </c>
    </row>
    <row r="301" spans="22:34" x14ac:dyDescent="0.3">
      <c r="V301">
        <v>22</v>
      </c>
      <c r="W301" t="str">
        <v>Business</v>
      </c>
      <c r="X301">
        <v>6.7</v>
      </c>
      <c r="Y301">
        <v>4</v>
      </c>
      <c r="Z301">
        <v>10</v>
      </c>
      <c r="AA301">
        <v>8</v>
      </c>
      <c r="AB301">
        <v>10</v>
      </c>
      <c r="AC301">
        <v>17.5</v>
      </c>
      <c r="AD301">
        <v>80.3</v>
      </c>
      <c r="AE301">
        <v>2</v>
      </c>
      <c r="AF301" t="str">
        <v>No</v>
      </c>
      <c r="AG301" t="str">
        <v>Fall</v>
      </c>
      <c r="AH301" t="str">
        <v>Male</v>
      </c>
    </row>
    <row r="302" spans="22:34" x14ac:dyDescent="0.3">
      <c r="V302">
        <v>25</v>
      </c>
      <c r="W302" t="str">
        <v>Social Sciences</v>
      </c>
      <c r="X302">
        <v>4.5</v>
      </c>
      <c r="Y302">
        <v>4</v>
      </c>
      <c r="Z302">
        <v>20</v>
      </c>
      <c r="AA302">
        <v>13</v>
      </c>
      <c r="AB302">
        <v>23</v>
      </c>
      <c r="AC302">
        <v>21.4</v>
      </c>
      <c r="AD302">
        <v>50.2</v>
      </c>
      <c r="AE302">
        <v>4</v>
      </c>
      <c r="AF302" t="str">
        <v>No</v>
      </c>
      <c r="AG302" t="str">
        <v>Spring</v>
      </c>
      <c r="AH302" t="str">
        <v>Male</v>
      </c>
    </row>
    <row r="303" spans="22:34" x14ac:dyDescent="0.3">
      <c r="V303">
        <v>18</v>
      </c>
      <c r="W303" t="str">
        <v>Business</v>
      </c>
      <c r="X303">
        <v>1</v>
      </c>
      <c r="Y303">
        <v>1</v>
      </c>
      <c r="Z303">
        <v>3</v>
      </c>
      <c r="AA303">
        <v>2</v>
      </c>
      <c r="AB303">
        <v>7</v>
      </c>
      <c r="AC303">
        <v>31.6</v>
      </c>
      <c r="AD303">
        <v>87.1</v>
      </c>
      <c r="AE303">
        <v>4</v>
      </c>
      <c r="AF303" t="str">
        <v>No</v>
      </c>
      <c r="AG303" t="str">
        <v>Fall</v>
      </c>
      <c r="AH303" t="str">
        <v>Female</v>
      </c>
    </row>
    <row r="304" spans="22:34" x14ac:dyDescent="0.3">
      <c r="V304">
        <v>23</v>
      </c>
      <c r="W304" t="str">
        <v>Social Sciences</v>
      </c>
      <c r="X304">
        <v>4.9000000000000004</v>
      </c>
      <c r="Y304">
        <v>3</v>
      </c>
      <c r="Z304">
        <v>3</v>
      </c>
      <c r="AA304">
        <v>6</v>
      </c>
      <c r="AB304">
        <v>5</v>
      </c>
      <c r="AC304">
        <v>16.100000000000001</v>
      </c>
      <c r="AD304">
        <v>100</v>
      </c>
      <c r="AE304">
        <v>4</v>
      </c>
      <c r="AF304" t="str">
        <v>No</v>
      </c>
      <c r="AG304" t="str">
        <v>Summer</v>
      </c>
      <c r="AH304" t="str">
        <v>Female</v>
      </c>
    </row>
    <row r="305" spans="22:34" x14ac:dyDescent="0.3">
      <c r="V305">
        <v>21</v>
      </c>
      <c r="W305" t="str">
        <v>Business</v>
      </c>
      <c r="X305">
        <v>5.6</v>
      </c>
      <c r="Y305">
        <v>4</v>
      </c>
      <c r="Z305">
        <v>0</v>
      </c>
      <c r="AA305">
        <v>0</v>
      </c>
      <c r="AB305">
        <v>5</v>
      </c>
      <c r="AC305">
        <v>14.9</v>
      </c>
      <c r="AD305">
        <v>100</v>
      </c>
      <c r="AE305">
        <v>1</v>
      </c>
      <c r="AF305" t="str">
        <v>No</v>
      </c>
      <c r="AG305" t="str">
        <v>Spring</v>
      </c>
      <c r="AH305" t="str">
        <v>Male</v>
      </c>
    </row>
    <row r="306" spans="22:34" x14ac:dyDescent="0.3">
      <c r="V306">
        <v>21</v>
      </c>
      <c r="W306" t="str">
        <v>Business</v>
      </c>
      <c r="X306">
        <v>1.3</v>
      </c>
      <c r="Y306">
        <v>2</v>
      </c>
      <c r="Z306">
        <v>8</v>
      </c>
      <c r="AA306">
        <v>5</v>
      </c>
      <c r="AB306">
        <v>11</v>
      </c>
      <c r="AC306">
        <v>6.7</v>
      </c>
      <c r="AD306">
        <v>56</v>
      </c>
      <c r="AE306">
        <v>2</v>
      </c>
      <c r="AF306" t="str">
        <v>No</v>
      </c>
      <c r="AG306" t="str">
        <v>Fall</v>
      </c>
      <c r="AH306" t="str">
        <v>Female</v>
      </c>
    </row>
    <row r="307" spans="22:34" x14ac:dyDescent="0.3">
      <c r="V307">
        <v>19</v>
      </c>
      <c r="W307" t="str">
        <v>STEM</v>
      </c>
      <c r="X307">
        <v>6.2</v>
      </c>
      <c r="Y307">
        <v>3</v>
      </c>
      <c r="Z307">
        <v>2</v>
      </c>
      <c r="AA307">
        <v>3</v>
      </c>
      <c r="AB307">
        <v>6</v>
      </c>
      <c r="AC307">
        <v>32.700000000000003</v>
      </c>
      <c r="AD307">
        <v>89.5</v>
      </c>
      <c r="AE307">
        <v>3</v>
      </c>
      <c r="AF307" t="str">
        <v>No</v>
      </c>
      <c r="AG307" t="str">
        <v>Spring</v>
      </c>
      <c r="AH307" t="str">
        <v>Female</v>
      </c>
    </row>
    <row r="308" spans="22:34" x14ac:dyDescent="0.3">
      <c r="V308">
        <v>21</v>
      </c>
      <c r="W308" t="str">
        <v>STEM</v>
      </c>
      <c r="X308">
        <v>1.4</v>
      </c>
      <c r="Y308">
        <v>3</v>
      </c>
      <c r="Z308">
        <v>16</v>
      </c>
      <c r="AA308">
        <v>13</v>
      </c>
      <c r="AB308">
        <v>22</v>
      </c>
      <c r="AC308">
        <v>20.9</v>
      </c>
      <c r="AD308">
        <v>61.3</v>
      </c>
      <c r="AE308">
        <v>5</v>
      </c>
      <c r="AF308" t="str">
        <v>No</v>
      </c>
      <c r="AG308" t="str">
        <v>Fall</v>
      </c>
      <c r="AH308" t="str">
        <v>Non-binary</v>
      </c>
    </row>
    <row r="309" spans="22:34" x14ac:dyDescent="0.3">
      <c r="V309">
        <v>24</v>
      </c>
      <c r="W309" t="str">
        <v>Health Sciences</v>
      </c>
      <c r="X309">
        <v>2.5</v>
      </c>
      <c r="Y309">
        <v>3</v>
      </c>
      <c r="Z309">
        <v>3</v>
      </c>
      <c r="AA309">
        <v>0</v>
      </c>
      <c r="AB309">
        <v>5</v>
      </c>
      <c r="AC309">
        <v>24</v>
      </c>
      <c r="AD309">
        <v>65.7</v>
      </c>
      <c r="AE309">
        <v>5</v>
      </c>
      <c r="AF309" t="str">
        <v>No</v>
      </c>
      <c r="AG309" t="str">
        <v>Spring</v>
      </c>
      <c r="AH309" t="str">
        <v>Male</v>
      </c>
    </row>
    <row r="310" spans="22:34" x14ac:dyDescent="0.3">
      <c r="V310">
        <v>23</v>
      </c>
      <c r="W310" t="str">
        <v>Business</v>
      </c>
      <c r="X310">
        <v>1.4</v>
      </c>
      <c r="Y310">
        <v>0</v>
      </c>
      <c r="Z310">
        <v>11</v>
      </c>
      <c r="AA310">
        <v>9</v>
      </c>
      <c r="AB310">
        <v>21</v>
      </c>
      <c r="AC310">
        <v>36.9</v>
      </c>
      <c r="AD310">
        <v>78</v>
      </c>
      <c r="AE310">
        <v>4</v>
      </c>
      <c r="AF310" t="str">
        <v>No</v>
      </c>
      <c r="AG310" t="str">
        <v>Fall</v>
      </c>
      <c r="AH310" t="str">
        <v>Female</v>
      </c>
    </row>
    <row r="311" spans="22:34" x14ac:dyDescent="0.3">
      <c r="V311">
        <v>25</v>
      </c>
      <c r="W311" t="str">
        <v>STEM</v>
      </c>
      <c r="X311">
        <v>2.2999999999999998</v>
      </c>
      <c r="Y311">
        <v>3</v>
      </c>
      <c r="Z311">
        <v>3</v>
      </c>
      <c r="AA311">
        <v>6</v>
      </c>
      <c r="AB311">
        <v>11</v>
      </c>
      <c r="AC311">
        <v>25.4</v>
      </c>
      <c r="AD311">
        <v>100</v>
      </c>
      <c r="AE311">
        <v>2</v>
      </c>
      <c r="AF311" t="str">
        <v>No</v>
      </c>
      <c r="AG311" t="str">
        <v>Summer</v>
      </c>
      <c r="AH311" t="str">
        <v>Male</v>
      </c>
    </row>
    <row r="312" spans="22:34" x14ac:dyDescent="0.3">
      <c r="V312">
        <v>24</v>
      </c>
      <c r="W312" t="str">
        <v>Social Sciences</v>
      </c>
      <c r="X312">
        <v>1.7</v>
      </c>
      <c r="Y312">
        <v>5</v>
      </c>
      <c r="Z312">
        <v>2</v>
      </c>
      <c r="AA312">
        <v>4</v>
      </c>
      <c r="AB312">
        <v>6</v>
      </c>
      <c r="AC312">
        <v>11.6</v>
      </c>
      <c r="AD312">
        <v>89.7</v>
      </c>
      <c r="AE312">
        <v>2</v>
      </c>
      <c r="AF312" t="str">
        <v>Yes</v>
      </c>
      <c r="AG312" t="str">
        <v>Spring</v>
      </c>
      <c r="AH312" t="str">
        <v>Male</v>
      </c>
    </row>
    <row r="313" spans="22:34" x14ac:dyDescent="0.3">
      <c r="V313">
        <v>22</v>
      </c>
      <c r="W313" t="str">
        <v>Humanities</v>
      </c>
      <c r="X313">
        <v>8.3000000000000007</v>
      </c>
      <c r="Y313">
        <v>1</v>
      </c>
      <c r="Z313">
        <v>7</v>
      </c>
      <c r="AA313">
        <v>11</v>
      </c>
      <c r="AB313">
        <v>15</v>
      </c>
      <c r="AC313">
        <v>18.3</v>
      </c>
      <c r="AD313">
        <v>65.400000000000006</v>
      </c>
      <c r="AE313">
        <v>4</v>
      </c>
      <c r="AF313" t="str">
        <v>No</v>
      </c>
      <c r="AG313" t="str">
        <v>Summer</v>
      </c>
      <c r="AH313" t="str">
        <v>Male</v>
      </c>
    </row>
    <row r="314" spans="22:34" x14ac:dyDescent="0.3">
      <c r="V314">
        <v>25</v>
      </c>
      <c r="W314" t="str">
        <v>STEM</v>
      </c>
      <c r="X314">
        <v>3.8</v>
      </c>
      <c r="Y314">
        <v>2</v>
      </c>
      <c r="Z314">
        <v>2</v>
      </c>
      <c r="AA314">
        <v>6</v>
      </c>
      <c r="AB314">
        <v>9</v>
      </c>
      <c r="AC314">
        <v>13.1</v>
      </c>
      <c r="AD314">
        <v>90.4</v>
      </c>
      <c r="AE314">
        <v>2</v>
      </c>
      <c r="AF314" t="str">
        <v>Yes</v>
      </c>
      <c r="AG314" t="str">
        <v>Summer</v>
      </c>
      <c r="AH314" t="str">
        <v>Female</v>
      </c>
    </row>
    <row r="315" spans="22:34" x14ac:dyDescent="0.3">
      <c r="V315">
        <v>22</v>
      </c>
      <c r="W315" t="str">
        <v>Business</v>
      </c>
      <c r="X315">
        <v>3.2</v>
      </c>
      <c r="Y315">
        <v>0</v>
      </c>
      <c r="Z315">
        <v>3</v>
      </c>
      <c r="AA315">
        <v>7</v>
      </c>
      <c r="AB315">
        <v>14</v>
      </c>
      <c r="AC315">
        <v>12.9</v>
      </c>
      <c r="AD315">
        <v>47.9</v>
      </c>
      <c r="AE315">
        <v>3</v>
      </c>
      <c r="AF315" t="str">
        <v>Yes</v>
      </c>
      <c r="AG315" t="str">
        <v>Fall</v>
      </c>
      <c r="AH315" t="str">
        <v>Male</v>
      </c>
    </row>
    <row r="316" spans="22:34" x14ac:dyDescent="0.3">
      <c r="V316">
        <v>23</v>
      </c>
      <c r="W316" t="str">
        <v>STEM</v>
      </c>
      <c r="X316">
        <v>8.6999999999999993</v>
      </c>
      <c r="Y316">
        <v>0</v>
      </c>
      <c r="Z316">
        <v>3</v>
      </c>
      <c r="AA316">
        <v>10</v>
      </c>
      <c r="AB316">
        <v>9</v>
      </c>
      <c r="AC316">
        <v>20.3</v>
      </c>
      <c r="AD316">
        <v>72.3</v>
      </c>
      <c r="AE316">
        <v>4</v>
      </c>
      <c r="AF316" t="str">
        <v>No</v>
      </c>
      <c r="AG316" t="str">
        <v>Spring</v>
      </c>
      <c r="AH316" t="str">
        <v>Female</v>
      </c>
    </row>
    <row r="317" spans="22:34" x14ac:dyDescent="0.3">
      <c r="V317">
        <v>21</v>
      </c>
      <c r="W317" t="str">
        <v>Social Sciences</v>
      </c>
      <c r="X317">
        <v>8.5</v>
      </c>
      <c r="Y317">
        <v>7</v>
      </c>
      <c r="Z317">
        <v>4</v>
      </c>
      <c r="AA317">
        <v>6</v>
      </c>
      <c r="AB317">
        <v>13</v>
      </c>
      <c r="AC317">
        <v>14.4</v>
      </c>
      <c r="AD317">
        <v>70.599999999999994</v>
      </c>
      <c r="AE317">
        <v>3</v>
      </c>
      <c r="AF317" t="str">
        <v>No</v>
      </c>
      <c r="AG317" t="str">
        <v>Summer</v>
      </c>
      <c r="AH317" t="str">
        <v>Male</v>
      </c>
    </row>
    <row r="318" spans="22:34" x14ac:dyDescent="0.3">
      <c r="V318">
        <v>22</v>
      </c>
      <c r="W318" t="str">
        <v>STEM</v>
      </c>
      <c r="X318">
        <v>3.4</v>
      </c>
      <c r="Y318">
        <v>3</v>
      </c>
      <c r="Z318">
        <v>27</v>
      </c>
      <c r="AA318">
        <v>20</v>
      </c>
      <c r="AB318">
        <v>32</v>
      </c>
      <c r="AC318">
        <v>7.9</v>
      </c>
      <c r="AD318">
        <v>74</v>
      </c>
      <c r="AE318">
        <v>3</v>
      </c>
      <c r="AF318" t="str">
        <v>No</v>
      </c>
      <c r="AG318" t="str">
        <v>Fall</v>
      </c>
      <c r="AH318" t="str">
        <v>Female</v>
      </c>
    </row>
    <row r="319" spans="22:34" x14ac:dyDescent="0.3">
      <c r="V319">
        <v>20</v>
      </c>
      <c r="W319" t="str">
        <v>STEM</v>
      </c>
      <c r="X319">
        <v>5.3</v>
      </c>
      <c r="Y319">
        <v>2</v>
      </c>
      <c r="Z319">
        <v>8</v>
      </c>
      <c r="AA319">
        <v>9</v>
      </c>
      <c r="AB319">
        <v>19</v>
      </c>
      <c r="AC319">
        <v>29.7</v>
      </c>
      <c r="AD319">
        <v>77.8</v>
      </c>
      <c r="AE319">
        <v>1</v>
      </c>
      <c r="AF319" t="str">
        <v>No</v>
      </c>
      <c r="AG319" t="str">
        <v>Fall</v>
      </c>
      <c r="AH319" t="str">
        <v>Female</v>
      </c>
    </row>
    <row r="320" spans="22:34" x14ac:dyDescent="0.3">
      <c r="V320">
        <v>24</v>
      </c>
      <c r="W320" t="str">
        <v>STEM</v>
      </c>
      <c r="X320">
        <v>2.9</v>
      </c>
      <c r="Y320">
        <v>2</v>
      </c>
      <c r="Z320">
        <v>3</v>
      </c>
      <c r="AA320">
        <v>3</v>
      </c>
      <c r="AB320">
        <v>12</v>
      </c>
      <c r="AC320">
        <v>23.5</v>
      </c>
      <c r="AD320">
        <v>82.6</v>
      </c>
      <c r="AE320">
        <v>3</v>
      </c>
      <c r="AF320" t="str">
        <v>Yes</v>
      </c>
      <c r="AG320" t="str">
        <v>Fall</v>
      </c>
      <c r="AH320" t="str">
        <v>Female</v>
      </c>
    </row>
    <row r="321" spans="22:34" x14ac:dyDescent="0.3">
      <c r="V321">
        <v>19</v>
      </c>
      <c r="W321" t="str">
        <v>Humanities</v>
      </c>
      <c r="X321">
        <v>4.2</v>
      </c>
      <c r="Y321">
        <v>7</v>
      </c>
      <c r="Z321">
        <v>2</v>
      </c>
      <c r="AA321">
        <v>4</v>
      </c>
      <c r="AB321">
        <v>9</v>
      </c>
      <c r="AC321">
        <v>14</v>
      </c>
      <c r="AD321">
        <v>75.099999999999994</v>
      </c>
      <c r="AE321">
        <v>4</v>
      </c>
      <c r="AF321" t="str">
        <v>Yes</v>
      </c>
      <c r="AG321" t="str">
        <v>Fall</v>
      </c>
      <c r="AH321" t="str">
        <v>Male</v>
      </c>
    </row>
    <row r="322" spans="22:34" x14ac:dyDescent="0.3">
      <c r="V322">
        <v>23</v>
      </c>
      <c r="W322" t="str">
        <v>STEM</v>
      </c>
      <c r="X322">
        <v>2</v>
      </c>
      <c r="Y322">
        <v>1</v>
      </c>
      <c r="Z322">
        <v>5</v>
      </c>
      <c r="AA322">
        <v>4</v>
      </c>
      <c r="AB322">
        <v>9</v>
      </c>
      <c r="AC322">
        <v>26.8</v>
      </c>
      <c r="AD322">
        <v>78.2</v>
      </c>
      <c r="AE322">
        <v>3</v>
      </c>
      <c r="AF322" t="str">
        <v>Yes</v>
      </c>
      <c r="AG322" t="str">
        <v>Summer</v>
      </c>
      <c r="AH322" t="str">
        <v>Male</v>
      </c>
    </row>
    <row r="323" spans="22:34" x14ac:dyDescent="0.3">
      <c r="V323">
        <v>21</v>
      </c>
      <c r="W323" t="str">
        <v>Health Sciences</v>
      </c>
      <c r="X323">
        <v>5.9</v>
      </c>
      <c r="Y323">
        <v>4</v>
      </c>
      <c r="Z323">
        <v>1</v>
      </c>
      <c r="AA323">
        <v>3</v>
      </c>
      <c r="AB323">
        <v>8</v>
      </c>
      <c r="AC323">
        <v>26.9</v>
      </c>
      <c r="AD323">
        <v>81.099999999999994</v>
      </c>
      <c r="AE323">
        <v>2</v>
      </c>
      <c r="AF323" t="str">
        <v>Yes</v>
      </c>
      <c r="AG323" t="str">
        <v>Spring</v>
      </c>
      <c r="AH323" t="str">
        <v>Male</v>
      </c>
    </row>
    <row r="324" spans="22:34" x14ac:dyDescent="0.3">
      <c r="V324">
        <v>24</v>
      </c>
      <c r="W324" t="str">
        <v>STEM</v>
      </c>
      <c r="X324">
        <v>9</v>
      </c>
      <c r="Y324">
        <v>2</v>
      </c>
      <c r="Z324">
        <v>1</v>
      </c>
      <c r="AA324">
        <v>1</v>
      </c>
      <c r="AB324">
        <v>6</v>
      </c>
      <c r="AC324">
        <v>26</v>
      </c>
      <c r="AD324">
        <v>84.8</v>
      </c>
      <c r="AE324">
        <v>2</v>
      </c>
      <c r="AF324" t="str">
        <v>No</v>
      </c>
      <c r="AG324" t="str">
        <v>Spring</v>
      </c>
      <c r="AH324" t="str">
        <v>Female</v>
      </c>
    </row>
    <row r="325" spans="22:34" x14ac:dyDescent="0.3">
      <c r="V325">
        <v>23</v>
      </c>
      <c r="W325" t="str">
        <v>Humanities</v>
      </c>
      <c r="X325">
        <v>8</v>
      </c>
      <c r="Y325">
        <v>0</v>
      </c>
      <c r="Z325">
        <v>3</v>
      </c>
      <c r="AA325">
        <v>3</v>
      </c>
      <c r="AB325">
        <v>13</v>
      </c>
      <c r="AC325">
        <v>23.8</v>
      </c>
      <c r="AD325">
        <v>75.400000000000006</v>
      </c>
      <c r="AE325">
        <v>2</v>
      </c>
      <c r="AF325" t="str">
        <v>No</v>
      </c>
      <c r="AG325" t="str">
        <v>Summer</v>
      </c>
      <c r="AH325" t="str">
        <v>Male</v>
      </c>
    </row>
    <row r="326" spans="22:34" x14ac:dyDescent="0.3">
      <c r="V326">
        <v>25</v>
      </c>
      <c r="W326" t="str">
        <v>Business</v>
      </c>
      <c r="X326">
        <v>4.5999999999999996</v>
      </c>
      <c r="Y326">
        <v>4</v>
      </c>
      <c r="Z326">
        <v>2</v>
      </c>
      <c r="AA326">
        <v>4</v>
      </c>
      <c r="AB326">
        <v>8</v>
      </c>
      <c r="AC326">
        <v>15.9</v>
      </c>
      <c r="AD326">
        <v>87.4</v>
      </c>
      <c r="AE326">
        <v>4</v>
      </c>
      <c r="AF326" t="str">
        <v>No</v>
      </c>
      <c r="AG326" t="str">
        <v>Fall</v>
      </c>
      <c r="AH326" t="str">
        <v>Female</v>
      </c>
    </row>
    <row r="327" spans="22:34" x14ac:dyDescent="0.3">
      <c r="V327">
        <v>23</v>
      </c>
      <c r="W327" t="str">
        <v>Business</v>
      </c>
      <c r="X327">
        <v>1</v>
      </c>
      <c r="Y327">
        <v>0</v>
      </c>
      <c r="Z327">
        <v>11</v>
      </c>
      <c r="AA327">
        <v>9</v>
      </c>
      <c r="AB327">
        <v>15</v>
      </c>
      <c r="AC327">
        <v>21.4</v>
      </c>
      <c r="AD327">
        <v>84.6</v>
      </c>
      <c r="AE327">
        <v>4</v>
      </c>
      <c r="AF327" t="str">
        <v>Yes</v>
      </c>
      <c r="AG327" t="str">
        <v>Spring</v>
      </c>
      <c r="AH327" t="str">
        <v>Female</v>
      </c>
    </row>
    <row r="328" spans="22:34" x14ac:dyDescent="0.3">
      <c r="V328">
        <v>18</v>
      </c>
      <c r="W328" t="str">
        <v>STEM</v>
      </c>
      <c r="X328">
        <v>2.8</v>
      </c>
      <c r="Y328">
        <v>3</v>
      </c>
      <c r="Z328">
        <v>3</v>
      </c>
      <c r="AA328">
        <v>0</v>
      </c>
      <c r="AB328">
        <v>6</v>
      </c>
      <c r="AC328">
        <v>30.1</v>
      </c>
      <c r="AD328">
        <v>73.400000000000006</v>
      </c>
      <c r="AE328">
        <v>3</v>
      </c>
      <c r="AF328" t="str">
        <v>No</v>
      </c>
      <c r="AG328" t="str">
        <v>Fall</v>
      </c>
      <c r="AH328" t="str">
        <v>Male</v>
      </c>
    </row>
    <row r="329" spans="22:34" x14ac:dyDescent="0.3">
      <c r="V329">
        <v>21</v>
      </c>
      <c r="W329" t="str">
        <v>Health Sciences</v>
      </c>
      <c r="X329">
        <v>4.2</v>
      </c>
      <c r="Y329">
        <v>1</v>
      </c>
      <c r="Z329">
        <v>3</v>
      </c>
      <c r="AA329">
        <v>1</v>
      </c>
      <c r="AB329">
        <v>4</v>
      </c>
      <c r="AC329">
        <v>20</v>
      </c>
      <c r="AD329">
        <v>81.7</v>
      </c>
      <c r="AE329">
        <v>3</v>
      </c>
      <c r="AF329" t="str">
        <v>Yes</v>
      </c>
      <c r="AG329" t="str">
        <v>Fall</v>
      </c>
      <c r="AH329" t="str">
        <v>Male</v>
      </c>
    </row>
    <row r="330" spans="22:34" x14ac:dyDescent="0.3">
      <c r="V330">
        <v>19</v>
      </c>
      <c r="W330" t="str">
        <v>Arts</v>
      </c>
      <c r="X330">
        <v>1.5</v>
      </c>
      <c r="Y330">
        <v>4</v>
      </c>
      <c r="Z330">
        <v>3</v>
      </c>
      <c r="AA330">
        <v>2</v>
      </c>
      <c r="AB330">
        <v>10</v>
      </c>
      <c r="AC330">
        <v>15.9</v>
      </c>
      <c r="AD330">
        <v>93.5</v>
      </c>
      <c r="AE330">
        <v>2</v>
      </c>
      <c r="AF330" t="str">
        <v>No</v>
      </c>
      <c r="AG330" t="str">
        <v>Fall</v>
      </c>
      <c r="AH330" t="str">
        <v>Male</v>
      </c>
    </row>
    <row r="331" spans="22:34" x14ac:dyDescent="0.3">
      <c r="V331">
        <v>20</v>
      </c>
      <c r="W331" t="str">
        <v>STEM</v>
      </c>
      <c r="X331">
        <v>1.3</v>
      </c>
      <c r="Y331">
        <v>4</v>
      </c>
      <c r="Z331">
        <v>16</v>
      </c>
      <c r="AA331">
        <v>11</v>
      </c>
      <c r="AB331">
        <v>18</v>
      </c>
      <c r="AC331">
        <v>32.1</v>
      </c>
      <c r="AD331">
        <v>65.400000000000006</v>
      </c>
      <c r="AE331">
        <v>3</v>
      </c>
      <c r="AF331" t="str">
        <v>No</v>
      </c>
      <c r="AG331" t="str">
        <v>Fall</v>
      </c>
      <c r="AH331" t="str">
        <v>Male</v>
      </c>
    </row>
    <row r="332" spans="22:34" x14ac:dyDescent="0.3">
      <c r="V332">
        <v>25</v>
      </c>
      <c r="W332" t="str">
        <v>STEM</v>
      </c>
      <c r="X332">
        <v>10.5</v>
      </c>
      <c r="Y332">
        <v>4</v>
      </c>
      <c r="Z332">
        <v>5</v>
      </c>
      <c r="AA332">
        <v>6</v>
      </c>
      <c r="AB332">
        <v>14</v>
      </c>
      <c r="AC332">
        <v>18.100000000000001</v>
      </c>
      <c r="AD332">
        <v>100</v>
      </c>
      <c r="AE332">
        <v>1</v>
      </c>
      <c r="AF332" t="str">
        <v>Yes</v>
      </c>
      <c r="AG332" t="str">
        <v>Fall</v>
      </c>
      <c r="AH332" t="str">
        <v>Male</v>
      </c>
    </row>
    <row r="333" spans="22:34" x14ac:dyDescent="0.3">
      <c r="V333">
        <v>23</v>
      </c>
      <c r="W333" t="str">
        <v>Arts</v>
      </c>
      <c r="X333">
        <v>7.4</v>
      </c>
      <c r="Y333">
        <v>0</v>
      </c>
      <c r="Z333">
        <v>0</v>
      </c>
      <c r="AA333">
        <v>2</v>
      </c>
      <c r="AB333">
        <v>2</v>
      </c>
      <c r="AC333">
        <v>25.7</v>
      </c>
      <c r="AD333">
        <v>64.3</v>
      </c>
      <c r="AE333">
        <v>5</v>
      </c>
      <c r="AF333" t="str">
        <v>No</v>
      </c>
      <c r="AG333" t="str">
        <v>Spring</v>
      </c>
      <c r="AH333" t="str">
        <v>Female</v>
      </c>
    </row>
    <row r="334" spans="22:34" x14ac:dyDescent="0.3">
      <c r="V334">
        <v>20</v>
      </c>
      <c r="W334" t="str">
        <v>Humanities</v>
      </c>
      <c r="X334">
        <v>6.1</v>
      </c>
      <c r="Y334">
        <v>4</v>
      </c>
      <c r="Z334">
        <v>6</v>
      </c>
      <c r="AA334">
        <v>8</v>
      </c>
      <c r="AB334">
        <v>13</v>
      </c>
      <c r="AC334">
        <v>18.5</v>
      </c>
      <c r="AD334">
        <v>76.900000000000006</v>
      </c>
      <c r="AE334">
        <v>0</v>
      </c>
      <c r="AF334" t="str">
        <v>No</v>
      </c>
      <c r="AG334" t="str">
        <v>Fall</v>
      </c>
      <c r="AH334" t="str">
        <v>Female</v>
      </c>
    </row>
    <row r="335" spans="22:34" x14ac:dyDescent="0.3">
      <c r="V335">
        <v>19</v>
      </c>
      <c r="W335" t="str">
        <v>STEM</v>
      </c>
      <c r="X335">
        <v>6.9</v>
      </c>
      <c r="Y335">
        <v>7</v>
      </c>
      <c r="Z335">
        <v>6</v>
      </c>
      <c r="AA335">
        <v>7</v>
      </c>
      <c r="AB335">
        <v>15</v>
      </c>
      <c r="AC335">
        <v>13.9</v>
      </c>
      <c r="AD335">
        <v>68.5</v>
      </c>
      <c r="AE335">
        <v>3</v>
      </c>
      <c r="AF335" t="str">
        <v>Yes</v>
      </c>
      <c r="AG335" t="str">
        <v>Fall</v>
      </c>
      <c r="AH335" t="str">
        <v>Male</v>
      </c>
    </row>
    <row r="336" spans="22:34" x14ac:dyDescent="0.3">
      <c r="V336">
        <v>22</v>
      </c>
      <c r="W336" t="str">
        <v>STEM</v>
      </c>
      <c r="X336">
        <v>1.8</v>
      </c>
      <c r="Y336">
        <v>1</v>
      </c>
      <c r="Z336">
        <v>0</v>
      </c>
      <c r="AA336">
        <v>0</v>
      </c>
      <c r="AB336">
        <v>2</v>
      </c>
      <c r="AC336">
        <v>17.5</v>
      </c>
      <c r="AD336">
        <v>100</v>
      </c>
      <c r="AE336">
        <v>1</v>
      </c>
      <c r="AF336" t="str">
        <v>No</v>
      </c>
      <c r="AG336" t="str">
        <v>Spring</v>
      </c>
      <c r="AH336" t="str">
        <v>Female</v>
      </c>
    </row>
    <row r="337" spans="22:34" x14ac:dyDescent="0.3">
      <c r="V337">
        <v>19</v>
      </c>
      <c r="W337" t="str">
        <v>Social Sciences</v>
      </c>
      <c r="X337">
        <v>2.2999999999999998</v>
      </c>
      <c r="Y337">
        <v>2</v>
      </c>
      <c r="Z337">
        <v>10</v>
      </c>
      <c r="AA337">
        <v>10</v>
      </c>
      <c r="AB337">
        <v>22</v>
      </c>
      <c r="AC337">
        <v>11.6</v>
      </c>
      <c r="AD337">
        <v>67.8</v>
      </c>
      <c r="AE337">
        <v>4</v>
      </c>
      <c r="AF337" t="str">
        <v>No</v>
      </c>
      <c r="AG337" t="str">
        <v>Fall</v>
      </c>
      <c r="AH337" t="str">
        <v>Female</v>
      </c>
    </row>
    <row r="338" spans="22:34" x14ac:dyDescent="0.3">
      <c r="V338">
        <v>20</v>
      </c>
      <c r="W338" t="str">
        <v>Social Sciences</v>
      </c>
      <c r="X338">
        <v>5.0999999999999996</v>
      </c>
      <c r="Y338">
        <v>4</v>
      </c>
      <c r="Z338">
        <v>1</v>
      </c>
      <c r="AA338">
        <v>3</v>
      </c>
      <c r="AB338">
        <v>6</v>
      </c>
      <c r="AC338">
        <v>14</v>
      </c>
      <c r="AD338">
        <v>72.099999999999994</v>
      </c>
      <c r="AE338">
        <v>0</v>
      </c>
      <c r="AF338" t="str">
        <v>Yes</v>
      </c>
      <c r="AG338" t="str">
        <v>Spring</v>
      </c>
      <c r="AH338" t="str">
        <v>Male</v>
      </c>
    </row>
    <row r="339" spans="22:34" x14ac:dyDescent="0.3">
      <c r="V339">
        <v>22</v>
      </c>
      <c r="W339" t="str">
        <v>Humanities</v>
      </c>
      <c r="X339">
        <v>5.4</v>
      </c>
      <c r="Y339">
        <v>1</v>
      </c>
      <c r="Z339">
        <v>3</v>
      </c>
      <c r="AA339">
        <v>6</v>
      </c>
      <c r="AB339">
        <v>10</v>
      </c>
      <c r="AC339">
        <v>7.2</v>
      </c>
      <c r="AD339">
        <v>75.3</v>
      </c>
      <c r="AE339">
        <v>5</v>
      </c>
      <c r="AF339" t="str">
        <v>Yes</v>
      </c>
      <c r="AG339" t="str">
        <v>Summer</v>
      </c>
      <c r="AH339" t="str">
        <v>Female</v>
      </c>
    </row>
    <row r="340" spans="22:34" x14ac:dyDescent="0.3">
      <c r="V340">
        <v>24</v>
      </c>
      <c r="W340" t="str">
        <v>Arts</v>
      </c>
      <c r="X340">
        <v>1.5</v>
      </c>
      <c r="Y340">
        <v>3</v>
      </c>
      <c r="Z340">
        <v>14</v>
      </c>
      <c r="AA340">
        <v>13</v>
      </c>
      <c r="AB340">
        <v>22</v>
      </c>
      <c r="AC340">
        <v>13.4</v>
      </c>
      <c r="AD340">
        <v>74.8</v>
      </c>
      <c r="AE340">
        <v>1</v>
      </c>
      <c r="AF340" t="str">
        <v>No</v>
      </c>
      <c r="AG340" t="str">
        <v>Spring</v>
      </c>
      <c r="AH340" t="str">
        <v>Female</v>
      </c>
    </row>
    <row r="341" spans="22:34" x14ac:dyDescent="0.3">
      <c r="V341">
        <v>23</v>
      </c>
      <c r="W341" t="str">
        <v>Business</v>
      </c>
      <c r="X341">
        <v>4.9000000000000004</v>
      </c>
      <c r="Y341">
        <v>4</v>
      </c>
      <c r="Z341">
        <v>0</v>
      </c>
      <c r="AA341">
        <v>0</v>
      </c>
      <c r="AB341">
        <v>14</v>
      </c>
      <c r="AC341">
        <v>20.2</v>
      </c>
      <c r="AD341">
        <v>75.099999999999994</v>
      </c>
      <c r="AE341">
        <v>4</v>
      </c>
      <c r="AF341" t="str">
        <v>No</v>
      </c>
      <c r="AG341" t="str">
        <v>Spring</v>
      </c>
      <c r="AH341" t="str">
        <v>Female</v>
      </c>
    </row>
    <row r="342" spans="22:34" x14ac:dyDescent="0.3">
      <c r="V342">
        <v>17</v>
      </c>
      <c r="W342" t="str">
        <v>STEM</v>
      </c>
      <c r="X342">
        <v>4.2</v>
      </c>
      <c r="Y342">
        <v>0</v>
      </c>
      <c r="Z342">
        <v>6</v>
      </c>
      <c r="AA342">
        <v>8</v>
      </c>
      <c r="AB342">
        <v>13</v>
      </c>
      <c r="AC342">
        <v>29.9</v>
      </c>
      <c r="AD342">
        <v>79.2</v>
      </c>
      <c r="AE342">
        <v>4</v>
      </c>
      <c r="AF342" t="str">
        <v>No</v>
      </c>
      <c r="AG342" t="str">
        <v>Spring</v>
      </c>
      <c r="AH342" t="str">
        <v>Female</v>
      </c>
    </row>
    <row r="343" spans="22:34" x14ac:dyDescent="0.3">
      <c r="V343">
        <v>22</v>
      </c>
      <c r="W343" t="str">
        <v>Business</v>
      </c>
      <c r="X343">
        <v>7.8</v>
      </c>
      <c r="Y343">
        <v>3</v>
      </c>
      <c r="Z343">
        <v>2</v>
      </c>
      <c r="AA343">
        <v>0</v>
      </c>
      <c r="AB343">
        <v>9</v>
      </c>
      <c r="AC343">
        <v>20.8</v>
      </c>
      <c r="AD343">
        <v>31.8</v>
      </c>
      <c r="AE343">
        <v>2</v>
      </c>
      <c r="AF343" t="str">
        <v>No</v>
      </c>
      <c r="AG343" t="str">
        <v>Spring</v>
      </c>
      <c r="AH343" t="str">
        <v>Female</v>
      </c>
    </row>
    <row r="344" spans="22:34" x14ac:dyDescent="0.3">
      <c r="V344">
        <v>22</v>
      </c>
      <c r="W344" t="str">
        <v>Business</v>
      </c>
      <c r="X344">
        <v>5.4</v>
      </c>
      <c r="Y344">
        <v>3</v>
      </c>
      <c r="Z344">
        <v>17</v>
      </c>
      <c r="AA344">
        <v>12</v>
      </c>
      <c r="AB344">
        <v>23</v>
      </c>
      <c r="AC344">
        <v>1</v>
      </c>
      <c r="AD344">
        <v>70.900000000000006</v>
      </c>
      <c r="AE344">
        <v>2</v>
      </c>
      <c r="AF344" t="str">
        <v>No</v>
      </c>
      <c r="AG344" t="str">
        <v>Summer</v>
      </c>
      <c r="AH344" t="str">
        <v>Female</v>
      </c>
    </row>
    <row r="345" spans="22:34" x14ac:dyDescent="0.3">
      <c r="V345">
        <v>22</v>
      </c>
      <c r="W345" t="str">
        <v>STEM</v>
      </c>
      <c r="X345">
        <v>11.2</v>
      </c>
      <c r="Y345">
        <v>2</v>
      </c>
      <c r="Z345">
        <v>4</v>
      </c>
      <c r="AA345">
        <v>4</v>
      </c>
      <c r="AB345">
        <v>15</v>
      </c>
      <c r="AC345">
        <v>32.9</v>
      </c>
      <c r="AD345">
        <v>78.099999999999994</v>
      </c>
      <c r="AE345">
        <v>3</v>
      </c>
      <c r="AF345" t="str">
        <v>No</v>
      </c>
      <c r="AG345" t="str">
        <v>Summer</v>
      </c>
      <c r="AH345" t="str">
        <v>Male</v>
      </c>
    </row>
    <row r="346" spans="22:34" x14ac:dyDescent="0.3">
      <c r="V346">
        <v>25</v>
      </c>
      <c r="W346" t="str">
        <v>STEM</v>
      </c>
      <c r="X346">
        <v>3.4</v>
      </c>
      <c r="Y346">
        <v>5</v>
      </c>
      <c r="Z346">
        <v>4</v>
      </c>
      <c r="AA346">
        <v>7</v>
      </c>
      <c r="AB346">
        <v>12</v>
      </c>
      <c r="AC346">
        <v>17.899999999999999</v>
      </c>
      <c r="AD346">
        <v>96.5</v>
      </c>
      <c r="AE346">
        <v>4</v>
      </c>
      <c r="AF346" t="str">
        <v>Yes</v>
      </c>
      <c r="AG346" t="str">
        <v>Spring</v>
      </c>
      <c r="AH346" t="str">
        <v>Female</v>
      </c>
    </row>
    <row r="347" spans="22:34" x14ac:dyDescent="0.3">
      <c r="V347">
        <v>17</v>
      </c>
      <c r="W347" t="str">
        <v>Business</v>
      </c>
      <c r="X347">
        <v>1.8</v>
      </c>
      <c r="Y347">
        <v>1</v>
      </c>
      <c r="Z347">
        <v>2</v>
      </c>
      <c r="AA347">
        <v>6</v>
      </c>
      <c r="AB347">
        <v>15</v>
      </c>
      <c r="AC347">
        <v>21.1</v>
      </c>
      <c r="AD347">
        <v>100</v>
      </c>
      <c r="AE347">
        <v>5</v>
      </c>
      <c r="AF347" t="str">
        <v>No</v>
      </c>
      <c r="AG347" t="str">
        <v>Spring</v>
      </c>
      <c r="AH347" t="str">
        <v>Female</v>
      </c>
    </row>
    <row r="348" spans="22:34" x14ac:dyDescent="0.3">
      <c r="V348">
        <v>20</v>
      </c>
      <c r="W348" t="str">
        <v>Social Sciences</v>
      </c>
      <c r="X348">
        <v>11</v>
      </c>
      <c r="Y348">
        <v>2</v>
      </c>
      <c r="Z348">
        <v>2</v>
      </c>
      <c r="AA348">
        <v>0</v>
      </c>
      <c r="AB348">
        <v>9</v>
      </c>
      <c r="AC348">
        <v>15</v>
      </c>
      <c r="AD348">
        <v>72.400000000000006</v>
      </c>
      <c r="AE348">
        <v>2</v>
      </c>
      <c r="AF348" t="str">
        <v>No</v>
      </c>
      <c r="AG348" t="str">
        <v>Spring</v>
      </c>
      <c r="AH348" t="str">
        <v>Male</v>
      </c>
    </row>
    <row r="349" spans="22:34" x14ac:dyDescent="0.3">
      <c r="V349">
        <v>23</v>
      </c>
      <c r="W349" t="str">
        <v>STEM</v>
      </c>
      <c r="X349">
        <v>5.6</v>
      </c>
      <c r="Y349">
        <v>4</v>
      </c>
      <c r="Z349">
        <v>10</v>
      </c>
      <c r="AA349">
        <v>11</v>
      </c>
      <c r="AB349">
        <v>11</v>
      </c>
      <c r="AC349">
        <v>16.899999999999999</v>
      </c>
      <c r="AD349">
        <v>90.9</v>
      </c>
      <c r="AE349">
        <v>3</v>
      </c>
      <c r="AF349" t="str">
        <v>No</v>
      </c>
      <c r="AG349" t="str">
        <v>Fall</v>
      </c>
      <c r="AH349" t="str">
        <v>Male</v>
      </c>
    </row>
    <row r="350" spans="22:34" x14ac:dyDescent="0.3">
      <c r="V350">
        <v>18</v>
      </c>
      <c r="W350" t="str">
        <v>Business</v>
      </c>
      <c r="X350">
        <v>4.2</v>
      </c>
      <c r="Y350">
        <v>1</v>
      </c>
      <c r="Z350">
        <v>11</v>
      </c>
      <c r="AA350">
        <v>7</v>
      </c>
      <c r="AB350">
        <v>23</v>
      </c>
      <c r="AC350">
        <v>15.2</v>
      </c>
      <c r="AD350">
        <v>65.599999999999994</v>
      </c>
      <c r="AE350">
        <v>2</v>
      </c>
      <c r="AF350" t="str">
        <v>No</v>
      </c>
      <c r="AG350" t="str">
        <v>Spring</v>
      </c>
      <c r="AH350" t="str">
        <v>Non-binary</v>
      </c>
    </row>
    <row r="351" spans="22:34" x14ac:dyDescent="0.3">
      <c r="V351">
        <v>25</v>
      </c>
      <c r="W351" t="str">
        <v>Social Sciences</v>
      </c>
      <c r="X351">
        <v>2.2999999999999998</v>
      </c>
      <c r="Y351">
        <v>4</v>
      </c>
      <c r="Z351">
        <v>0</v>
      </c>
      <c r="AA351">
        <v>0</v>
      </c>
      <c r="AB351">
        <v>3</v>
      </c>
      <c r="AC351">
        <v>16.8</v>
      </c>
      <c r="AD351">
        <v>93.9</v>
      </c>
      <c r="AE351">
        <v>2</v>
      </c>
      <c r="AF351" t="str">
        <v>Yes</v>
      </c>
      <c r="AG351" t="str">
        <v>Spring</v>
      </c>
      <c r="AH351" t="str">
        <v>Female</v>
      </c>
    </row>
    <row r="352" spans="22:34" x14ac:dyDescent="0.3">
      <c r="V352">
        <v>22</v>
      </c>
      <c r="W352" t="str">
        <v>Humanities</v>
      </c>
      <c r="X352">
        <v>3.4</v>
      </c>
      <c r="Y352">
        <v>0</v>
      </c>
      <c r="Z352">
        <v>5</v>
      </c>
      <c r="AA352">
        <v>5</v>
      </c>
      <c r="AB352">
        <v>15</v>
      </c>
      <c r="AC352">
        <v>26.6</v>
      </c>
      <c r="AD352">
        <v>72.599999999999994</v>
      </c>
      <c r="AE352">
        <v>4</v>
      </c>
      <c r="AF352" t="str">
        <v>No</v>
      </c>
      <c r="AG352" t="str">
        <v>Spring</v>
      </c>
      <c r="AH352" t="str">
        <v>Female</v>
      </c>
    </row>
    <row r="353" spans="22:34" x14ac:dyDescent="0.3">
      <c r="V353">
        <v>23</v>
      </c>
      <c r="W353" t="str">
        <v>Social Sciences</v>
      </c>
      <c r="X353">
        <v>3.3</v>
      </c>
      <c r="Y353">
        <v>3</v>
      </c>
      <c r="Z353">
        <v>7</v>
      </c>
      <c r="AA353">
        <v>6</v>
      </c>
      <c r="AB353">
        <v>12</v>
      </c>
      <c r="AC353">
        <v>20.399999999999999</v>
      </c>
      <c r="AD353">
        <v>60.6</v>
      </c>
      <c r="AE353">
        <v>3</v>
      </c>
      <c r="AF353" t="str">
        <v>No</v>
      </c>
      <c r="AG353" t="str">
        <v>Fall</v>
      </c>
      <c r="AH353" t="str">
        <v>Male</v>
      </c>
    </row>
    <row r="354" spans="22:34" x14ac:dyDescent="0.3">
      <c r="V354">
        <v>20</v>
      </c>
      <c r="W354" t="str">
        <v>Health Sciences</v>
      </c>
      <c r="X354">
        <v>1.8</v>
      </c>
      <c r="Y354">
        <v>0</v>
      </c>
      <c r="Z354">
        <v>5</v>
      </c>
      <c r="AA354">
        <v>2</v>
      </c>
      <c r="AB354">
        <v>12</v>
      </c>
      <c r="AC354">
        <v>30.3</v>
      </c>
      <c r="AD354">
        <v>80.2</v>
      </c>
      <c r="AE354">
        <v>2</v>
      </c>
      <c r="AF354" t="str">
        <v>Yes</v>
      </c>
      <c r="AG354" t="str">
        <v>Fall</v>
      </c>
      <c r="AH354" t="str">
        <v>Male</v>
      </c>
    </row>
    <row r="355" spans="22:34" x14ac:dyDescent="0.3">
      <c r="V355">
        <v>23</v>
      </c>
      <c r="W355" t="str">
        <v>Social Sciences</v>
      </c>
      <c r="X355">
        <v>1</v>
      </c>
      <c r="Y355">
        <v>3</v>
      </c>
      <c r="Z355">
        <v>0</v>
      </c>
      <c r="AA355">
        <v>3</v>
      </c>
      <c r="AB355">
        <v>4</v>
      </c>
      <c r="AC355">
        <v>24.3</v>
      </c>
      <c r="AD355">
        <v>100</v>
      </c>
      <c r="AE355">
        <v>5</v>
      </c>
      <c r="AF355" t="str">
        <v>Yes</v>
      </c>
      <c r="AG355" t="str">
        <v>Fall</v>
      </c>
      <c r="AH355" t="str">
        <v>Male</v>
      </c>
    </row>
    <row r="356" spans="22:34" x14ac:dyDescent="0.3">
      <c r="V356">
        <v>24</v>
      </c>
      <c r="W356" t="str">
        <v>STEM</v>
      </c>
      <c r="X356">
        <v>3.3</v>
      </c>
      <c r="Y356">
        <v>4</v>
      </c>
      <c r="Z356">
        <v>6</v>
      </c>
      <c r="AA356">
        <v>7</v>
      </c>
      <c r="AB356">
        <v>14</v>
      </c>
      <c r="AC356">
        <v>22.4</v>
      </c>
      <c r="AD356">
        <v>83.5</v>
      </c>
      <c r="AE356">
        <v>4</v>
      </c>
      <c r="AF356" t="str">
        <v>No</v>
      </c>
      <c r="AG356" t="str">
        <v>Spring</v>
      </c>
      <c r="AH356" t="str">
        <v>Female</v>
      </c>
    </row>
    <row r="357" spans="22:34" x14ac:dyDescent="0.3">
      <c r="V357">
        <v>22</v>
      </c>
      <c r="W357" t="str">
        <v>Business</v>
      </c>
      <c r="X357">
        <v>7</v>
      </c>
      <c r="Y357">
        <v>4</v>
      </c>
      <c r="Z357">
        <v>5</v>
      </c>
      <c r="AA357">
        <v>7</v>
      </c>
      <c r="AB357">
        <v>11</v>
      </c>
      <c r="AC357">
        <v>7.4</v>
      </c>
      <c r="AD357">
        <v>98.4</v>
      </c>
      <c r="AE357">
        <v>4</v>
      </c>
      <c r="AF357" t="str">
        <v>No</v>
      </c>
      <c r="AG357" t="str">
        <v>Summer</v>
      </c>
      <c r="AH357" t="str">
        <v>Male</v>
      </c>
    </row>
    <row r="358" spans="22:34" x14ac:dyDescent="0.3">
      <c r="V358">
        <v>22</v>
      </c>
      <c r="W358" t="str">
        <v>Humanities</v>
      </c>
      <c r="X358">
        <v>9.4</v>
      </c>
      <c r="Y358">
        <v>7</v>
      </c>
      <c r="Z358">
        <v>4</v>
      </c>
      <c r="AA358">
        <v>4</v>
      </c>
      <c r="AB358">
        <v>14</v>
      </c>
      <c r="AC358">
        <v>25.1</v>
      </c>
      <c r="AD358">
        <v>68.099999999999994</v>
      </c>
      <c r="AE358">
        <v>1</v>
      </c>
      <c r="AF358" t="str">
        <v>No</v>
      </c>
      <c r="AG358" t="str">
        <v>Summer</v>
      </c>
      <c r="AH358" t="str">
        <v>Male</v>
      </c>
    </row>
    <row r="359" spans="22:34" x14ac:dyDescent="0.3">
      <c r="V359">
        <v>22</v>
      </c>
      <c r="W359" t="str">
        <v>STEM</v>
      </c>
      <c r="X359">
        <v>8</v>
      </c>
      <c r="Y359">
        <v>3</v>
      </c>
      <c r="Z359">
        <v>3</v>
      </c>
      <c r="AA359">
        <v>4</v>
      </c>
      <c r="AB359">
        <v>10</v>
      </c>
      <c r="AC359">
        <v>13.9</v>
      </c>
      <c r="AD359">
        <v>95.8</v>
      </c>
      <c r="AE359">
        <v>5</v>
      </c>
      <c r="AF359" t="str">
        <v>Yes</v>
      </c>
      <c r="AG359" t="str">
        <v>Fall</v>
      </c>
      <c r="AH359" t="str">
        <v>Male</v>
      </c>
    </row>
    <row r="360" spans="22:34" x14ac:dyDescent="0.3">
      <c r="V360">
        <v>20</v>
      </c>
      <c r="W360" t="str">
        <v>STEM</v>
      </c>
      <c r="X360">
        <v>8.3000000000000007</v>
      </c>
      <c r="Y360">
        <v>4</v>
      </c>
      <c r="Z360">
        <v>4</v>
      </c>
      <c r="AA360">
        <v>5</v>
      </c>
      <c r="AB360">
        <v>13</v>
      </c>
      <c r="AC360">
        <v>26.8</v>
      </c>
      <c r="AD360">
        <v>74.400000000000006</v>
      </c>
      <c r="AE360">
        <v>4</v>
      </c>
      <c r="AF360" t="str">
        <v>No</v>
      </c>
      <c r="AG360" t="str">
        <v>Fall</v>
      </c>
      <c r="AH360" t="str">
        <v>Female</v>
      </c>
    </row>
    <row r="361" spans="22:34" x14ac:dyDescent="0.3">
      <c r="V361">
        <v>21</v>
      </c>
      <c r="W361" t="str">
        <v>STEM</v>
      </c>
      <c r="X361">
        <v>2</v>
      </c>
      <c r="Y361">
        <v>3</v>
      </c>
      <c r="Z361">
        <v>8</v>
      </c>
      <c r="AA361">
        <v>11</v>
      </c>
      <c r="AB361">
        <v>9</v>
      </c>
      <c r="AC361">
        <v>15</v>
      </c>
      <c r="AD361">
        <v>82.4</v>
      </c>
      <c r="AE361">
        <v>3</v>
      </c>
      <c r="AF361" t="str">
        <v>Yes</v>
      </c>
      <c r="AG361" t="str">
        <v>Spring</v>
      </c>
      <c r="AH361" t="str">
        <v>Female</v>
      </c>
    </row>
    <row r="362" spans="22:34" x14ac:dyDescent="0.3">
      <c r="V362">
        <v>21</v>
      </c>
      <c r="W362" t="str">
        <v>Business</v>
      </c>
      <c r="X362">
        <v>5.2</v>
      </c>
      <c r="Y362">
        <v>5</v>
      </c>
      <c r="Z362">
        <v>5</v>
      </c>
      <c r="AA362">
        <v>0</v>
      </c>
      <c r="AB362">
        <v>8</v>
      </c>
      <c r="AC362">
        <v>4.0999999999999996</v>
      </c>
      <c r="AD362">
        <v>80.7</v>
      </c>
      <c r="AE362">
        <v>1</v>
      </c>
      <c r="AF362" t="str">
        <v>Yes</v>
      </c>
      <c r="AG362" t="str">
        <v>Spring</v>
      </c>
      <c r="AH362" t="str">
        <v>Male</v>
      </c>
    </row>
    <row r="363" spans="22:34" x14ac:dyDescent="0.3">
      <c r="V363">
        <v>22</v>
      </c>
      <c r="W363" t="str">
        <v>Business</v>
      </c>
      <c r="X363">
        <v>6.2</v>
      </c>
      <c r="Y363">
        <v>3</v>
      </c>
      <c r="Z363">
        <v>4</v>
      </c>
      <c r="AA363">
        <v>3</v>
      </c>
      <c r="AB363">
        <v>10</v>
      </c>
      <c r="AC363">
        <v>29.6</v>
      </c>
      <c r="AD363">
        <v>97</v>
      </c>
      <c r="AE363">
        <v>5</v>
      </c>
      <c r="AF363" t="str">
        <v>No</v>
      </c>
      <c r="AG363" t="str">
        <v>Spring</v>
      </c>
      <c r="AH363" t="str">
        <v>Male</v>
      </c>
    </row>
    <row r="364" spans="22:34" x14ac:dyDescent="0.3">
      <c r="V364">
        <v>24</v>
      </c>
      <c r="W364" t="str">
        <v>STEM</v>
      </c>
      <c r="X364">
        <v>6.4</v>
      </c>
      <c r="Y364">
        <v>5</v>
      </c>
      <c r="Z364">
        <v>3</v>
      </c>
      <c r="AA364">
        <v>4</v>
      </c>
      <c r="AB364">
        <v>9</v>
      </c>
      <c r="AC364">
        <v>13.6</v>
      </c>
      <c r="AD364">
        <v>81.5</v>
      </c>
      <c r="AE364">
        <v>0</v>
      </c>
      <c r="AF364" t="str">
        <v>Yes</v>
      </c>
      <c r="AG364" t="str">
        <v>Fall</v>
      </c>
      <c r="AH364" t="str">
        <v>Female</v>
      </c>
    </row>
    <row r="365" spans="22:34" x14ac:dyDescent="0.3">
      <c r="V365">
        <v>19</v>
      </c>
      <c r="W365" t="str">
        <v>Health Sciences</v>
      </c>
      <c r="X365">
        <v>4.2</v>
      </c>
      <c r="Y365">
        <v>1</v>
      </c>
      <c r="Z365">
        <v>11</v>
      </c>
      <c r="AA365">
        <v>7</v>
      </c>
      <c r="AB365">
        <v>18</v>
      </c>
      <c r="AC365">
        <v>28.8</v>
      </c>
      <c r="AD365">
        <v>74</v>
      </c>
      <c r="AE365">
        <v>4</v>
      </c>
      <c r="AF365" t="str">
        <v>No</v>
      </c>
      <c r="AG365" t="str">
        <v>Fall</v>
      </c>
      <c r="AH365" t="str">
        <v>Female</v>
      </c>
    </row>
    <row r="366" spans="22:34" x14ac:dyDescent="0.3">
      <c r="V366">
        <v>21</v>
      </c>
      <c r="W366" t="str">
        <v>Arts</v>
      </c>
      <c r="X366">
        <v>4.8</v>
      </c>
      <c r="Y366">
        <v>3</v>
      </c>
      <c r="Z366">
        <v>3</v>
      </c>
      <c r="AA366">
        <v>3</v>
      </c>
      <c r="AB366">
        <v>7</v>
      </c>
      <c r="AC366">
        <v>17.3</v>
      </c>
      <c r="AD366">
        <v>90.7</v>
      </c>
      <c r="AE366">
        <v>4</v>
      </c>
      <c r="AF366" t="str">
        <v>No</v>
      </c>
      <c r="AG366" t="str">
        <v>Spring</v>
      </c>
      <c r="AH366" t="str">
        <v>Female</v>
      </c>
    </row>
    <row r="367" spans="22:34" x14ac:dyDescent="0.3">
      <c r="V367">
        <v>25</v>
      </c>
      <c r="W367" t="str">
        <v>STEM</v>
      </c>
      <c r="X367">
        <v>7.9</v>
      </c>
      <c r="Y367">
        <v>4</v>
      </c>
      <c r="Z367">
        <v>9</v>
      </c>
      <c r="AA367">
        <v>8</v>
      </c>
      <c r="AB367">
        <v>15</v>
      </c>
      <c r="AC367">
        <v>15</v>
      </c>
      <c r="AD367">
        <v>100</v>
      </c>
      <c r="AE367">
        <v>4</v>
      </c>
      <c r="AF367" t="str">
        <v>Yes</v>
      </c>
      <c r="AG367" t="str">
        <v>Spring</v>
      </c>
      <c r="AH367" t="str">
        <v>Female</v>
      </c>
    </row>
    <row r="368" spans="22:34" x14ac:dyDescent="0.3">
      <c r="V368">
        <v>20</v>
      </c>
      <c r="W368" t="str">
        <v>Arts</v>
      </c>
      <c r="X368">
        <v>6</v>
      </c>
      <c r="Y368">
        <v>1</v>
      </c>
      <c r="Z368">
        <v>2</v>
      </c>
      <c r="AA368">
        <v>2</v>
      </c>
      <c r="AB368">
        <v>11</v>
      </c>
      <c r="AC368">
        <v>18.8</v>
      </c>
      <c r="AD368">
        <v>76.7</v>
      </c>
      <c r="AE368">
        <v>4</v>
      </c>
      <c r="AF368" t="str">
        <v>Yes</v>
      </c>
      <c r="AG368" t="str">
        <v>Fall</v>
      </c>
      <c r="AH368" t="str">
        <v>Male</v>
      </c>
    </row>
    <row r="369" spans="22:34" x14ac:dyDescent="0.3">
      <c r="V369">
        <v>20</v>
      </c>
      <c r="W369" t="str">
        <v>STEM</v>
      </c>
      <c r="X369">
        <v>6.8</v>
      </c>
      <c r="Y369">
        <v>1</v>
      </c>
      <c r="Z369">
        <v>2</v>
      </c>
      <c r="AA369">
        <v>3</v>
      </c>
      <c r="AB369">
        <v>1</v>
      </c>
      <c r="AC369">
        <v>10.7</v>
      </c>
      <c r="AD369">
        <v>53</v>
      </c>
      <c r="AE369">
        <v>5</v>
      </c>
      <c r="AF369" t="str">
        <v>No</v>
      </c>
      <c r="AG369" t="str">
        <v>Summer</v>
      </c>
      <c r="AH369" t="str">
        <v>Male</v>
      </c>
    </row>
    <row r="370" spans="22:34" x14ac:dyDescent="0.3">
      <c r="V370">
        <v>22</v>
      </c>
      <c r="W370" t="str">
        <v>Arts</v>
      </c>
      <c r="X370">
        <v>3.2</v>
      </c>
      <c r="Y370">
        <v>6</v>
      </c>
      <c r="Z370">
        <v>13</v>
      </c>
      <c r="AA370">
        <v>12</v>
      </c>
      <c r="AB370">
        <v>21</v>
      </c>
      <c r="AC370">
        <v>17</v>
      </c>
      <c r="AD370">
        <v>89.5</v>
      </c>
      <c r="AE370">
        <v>2</v>
      </c>
      <c r="AF370" t="str">
        <v>Yes</v>
      </c>
      <c r="AG370" t="str">
        <v>Spring</v>
      </c>
      <c r="AH370" t="str">
        <v>Male</v>
      </c>
    </row>
    <row r="371" spans="22:34" x14ac:dyDescent="0.3">
      <c r="V371">
        <v>23</v>
      </c>
      <c r="W371" t="str">
        <v>Arts</v>
      </c>
      <c r="X371">
        <v>6.5</v>
      </c>
      <c r="Y371">
        <v>2</v>
      </c>
      <c r="Z371">
        <v>4</v>
      </c>
      <c r="AA371">
        <v>4</v>
      </c>
      <c r="AB371">
        <v>8</v>
      </c>
      <c r="AC371">
        <v>7.6</v>
      </c>
      <c r="AD371">
        <v>75.099999999999994</v>
      </c>
      <c r="AE371">
        <v>2</v>
      </c>
      <c r="AF371" t="str">
        <v>Yes</v>
      </c>
      <c r="AG371" t="str">
        <v>Summer</v>
      </c>
      <c r="AH371" t="str">
        <v>Male</v>
      </c>
    </row>
    <row r="372" spans="22:34" x14ac:dyDescent="0.3">
      <c r="V372">
        <v>22</v>
      </c>
      <c r="W372" t="str">
        <v>STEM</v>
      </c>
      <c r="X372">
        <v>4.8</v>
      </c>
      <c r="Y372">
        <v>1</v>
      </c>
      <c r="Z372">
        <v>3</v>
      </c>
      <c r="AA372">
        <v>3</v>
      </c>
      <c r="AB372">
        <v>6</v>
      </c>
      <c r="AC372">
        <v>15.1</v>
      </c>
      <c r="AD372">
        <v>75.7</v>
      </c>
      <c r="AE372">
        <v>4</v>
      </c>
      <c r="AF372" t="str">
        <v>No</v>
      </c>
      <c r="AG372" t="str">
        <v>Spring</v>
      </c>
      <c r="AH372" t="str">
        <v>Female</v>
      </c>
    </row>
    <row r="373" spans="22:34" x14ac:dyDescent="0.3">
      <c r="V373">
        <v>24</v>
      </c>
      <c r="W373" t="str">
        <v>Social Sciences</v>
      </c>
      <c r="X373">
        <v>7.4</v>
      </c>
      <c r="Y373">
        <v>2</v>
      </c>
      <c r="Z373">
        <v>8</v>
      </c>
      <c r="AA373">
        <v>7</v>
      </c>
      <c r="AB373">
        <v>14</v>
      </c>
      <c r="AC373">
        <v>24.8</v>
      </c>
      <c r="AD373">
        <v>87.2</v>
      </c>
      <c r="AE373">
        <v>3</v>
      </c>
      <c r="AF373" t="str">
        <v>Yes</v>
      </c>
      <c r="AG373" t="str">
        <v>Spring</v>
      </c>
      <c r="AH373" t="str">
        <v>Female</v>
      </c>
    </row>
    <row r="374" spans="22:34" x14ac:dyDescent="0.3">
      <c r="V374">
        <v>23</v>
      </c>
      <c r="W374" t="str">
        <v>Law</v>
      </c>
      <c r="X374">
        <v>2.6</v>
      </c>
      <c r="Y374">
        <v>2</v>
      </c>
      <c r="Z374">
        <v>10</v>
      </c>
      <c r="AA374">
        <v>8</v>
      </c>
      <c r="AB374">
        <v>19</v>
      </c>
      <c r="AC374">
        <v>18.8</v>
      </c>
      <c r="AD374">
        <v>75.8</v>
      </c>
      <c r="AE374">
        <v>0</v>
      </c>
      <c r="AF374" t="str">
        <v>No</v>
      </c>
      <c r="AG374" t="str">
        <v>Summer</v>
      </c>
      <c r="AH374" t="str">
        <v>Prefer not to say</v>
      </c>
    </row>
    <row r="375" spans="22:34" x14ac:dyDescent="0.3">
      <c r="V375">
        <v>23</v>
      </c>
      <c r="W375" t="str">
        <v>Arts</v>
      </c>
      <c r="X375">
        <v>7</v>
      </c>
      <c r="Y375">
        <v>3</v>
      </c>
      <c r="Z375">
        <v>6</v>
      </c>
      <c r="AA375">
        <v>2</v>
      </c>
      <c r="AB375">
        <v>13</v>
      </c>
      <c r="AC375">
        <v>8.6</v>
      </c>
      <c r="AD375">
        <v>76.900000000000006</v>
      </c>
      <c r="AE375">
        <v>4</v>
      </c>
      <c r="AF375" t="str">
        <v>No</v>
      </c>
      <c r="AG375" t="str">
        <v>Summer</v>
      </c>
      <c r="AH375" t="str">
        <v>Prefer not to say</v>
      </c>
    </row>
    <row r="376" spans="22:34" x14ac:dyDescent="0.3">
      <c r="V376">
        <v>23</v>
      </c>
      <c r="W376" t="str">
        <v>Law</v>
      </c>
      <c r="X376">
        <v>3.5</v>
      </c>
      <c r="Y376">
        <v>5</v>
      </c>
      <c r="Z376">
        <v>5</v>
      </c>
      <c r="AA376">
        <v>6</v>
      </c>
      <c r="AB376">
        <v>10</v>
      </c>
      <c r="AC376">
        <v>22.1</v>
      </c>
      <c r="AD376">
        <v>76.3</v>
      </c>
      <c r="AE376">
        <v>3</v>
      </c>
      <c r="AF376" t="str">
        <v>Yes</v>
      </c>
      <c r="AG376" t="str">
        <v>Summer</v>
      </c>
      <c r="AH376" t="str">
        <v>Female</v>
      </c>
    </row>
    <row r="377" spans="22:34" x14ac:dyDescent="0.3">
      <c r="V377">
        <v>26</v>
      </c>
      <c r="W377" t="str">
        <v>Humanities</v>
      </c>
      <c r="X377">
        <v>7.1</v>
      </c>
      <c r="Y377">
        <v>7</v>
      </c>
      <c r="Z377">
        <v>0</v>
      </c>
      <c r="AA377">
        <v>1</v>
      </c>
      <c r="AB377">
        <v>8</v>
      </c>
      <c r="AC377">
        <v>16.399999999999999</v>
      </c>
      <c r="AD377">
        <v>100</v>
      </c>
      <c r="AE377">
        <v>4</v>
      </c>
      <c r="AF377" t="str">
        <v>No</v>
      </c>
      <c r="AG377" t="str">
        <v>Spring</v>
      </c>
      <c r="AH377" t="str">
        <v>Male</v>
      </c>
    </row>
    <row r="378" spans="22:34" x14ac:dyDescent="0.3">
      <c r="V378">
        <v>21</v>
      </c>
      <c r="W378" t="str">
        <v>STEM</v>
      </c>
      <c r="X378">
        <v>5.2</v>
      </c>
      <c r="Y378">
        <v>3</v>
      </c>
      <c r="Z378">
        <v>2</v>
      </c>
      <c r="AA378">
        <v>6</v>
      </c>
      <c r="AB378">
        <v>11</v>
      </c>
      <c r="AC378">
        <v>19.600000000000001</v>
      </c>
      <c r="AD378">
        <v>82.4</v>
      </c>
      <c r="AE378">
        <v>0</v>
      </c>
      <c r="AF378" t="str">
        <v>No</v>
      </c>
      <c r="AG378" t="str">
        <v>Spring</v>
      </c>
      <c r="AH378" t="str">
        <v>Male</v>
      </c>
    </row>
    <row r="379" spans="22:34" x14ac:dyDescent="0.3">
      <c r="V379">
        <v>17</v>
      </c>
      <c r="W379" t="str">
        <v>Health Sciences</v>
      </c>
      <c r="X379">
        <v>4.5</v>
      </c>
      <c r="Y379">
        <v>4</v>
      </c>
      <c r="Z379">
        <v>3</v>
      </c>
      <c r="AA379">
        <v>5</v>
      </c>
      <c r="AB379">
        <v>9</v>
      </c>
      <c r="AC379">
        <v>22.7</v>
      </c>
      <c r="AD379">
        <v>62.8</v>
      </c>
      <c r="AE379">
        <v>5</v>
      </c>
      <c r="AF379" t="str">
        <v>No</v>
      </c>
      <c r="AG379" t="str">
        <v>Fall</v>
      </c>
      <c r="AH379" t="str">
        <v>Male</v>
      </c>
    </row>
    <row r="380" spans="22:34" x14ac:dyDescent="0.3">
      <c r="V380">
        <v>25</v>
      </c>
      <c r="W380" t="str">
        <v>Humanities</v>
      </c>
      <c r="X380">
        <v>3.6</v>
      </c>
      <c r="Y380">
        <v>2</v>
      </c>
      <c r="Z380">
        <v>12</v>
      </c>
      <c r="AA380">
        <v>12</v>
      </c>
      <c r="AB380">
        <v>16</v>
      </c>
      <c r="AC380">
        <v>17.5</v>
      </c>
      <c r="AD380">
        <v>68.2</v>
      </c>
      <c r="AE380">
        <v>2</v>
      </c>
      <c r="AF380" t="str">
        <v>Yes</v>
      </c>
      <c r="AG380" t="str">
        <v>Fall</v>
      </c>
      <c r="AH380" t="str">
        <v>Female</v>
      </c>
    </row>
    <row r="381" spans="22:34" x14ac:dyDescent="0.3">
      <c r="V381">
        <v>21</v>
      </c>
      <c r="W381" t="str">
        <v>Humanities</v>
      </c>
      <c r="X381">
        <v>4.2</v>
      </c>
      <c r="Y381">
        <v>5</v>
      </c>
      <c r="Z381">
        <v>14</v>
      </c>
      <c r="AA381">
        <v>9</v>
      </c>
      <c r="AB381">
        <v>16</v>
      </c>
      <c r="AC381">
        <v>10.4</v>
      </c>
      <c r="AD381">
        <v>78.5</v>
      </c>
      <c r="AE381">
        <v>4</v>
      </c>
      <c r="AF381" t="str">
        <v>No</v>
      </c>
      <c r="AG381" t="str">
        <v>Summer</v>
      </c>
      <c r="AH381" t="str">
        <v>Male</v>
      </c>
    </row>
    <row r="382" spans="22:34" x14ac:dyDescent="0.3">
      <c r="V382">
        <v>22</v>
      </c>
      <c r="W382" t="str">
        <v>Business</v>
      </c>
      <c r="X382">
        <v>3.3</v>
      </c>
      <c r="Y382">
        <v>1</v>
      </c>
      <c r="Z382">
        <v>6</v>
      </c>
      <c r="AA382">
        <v>5</v>
      </c>
      <c r="AB382">
        <v>14</v>
      </c>
      <c r="AC382">
        <v>31.8</v>
      </c>
      <c r="AD382">
        <v>66.599999999999994</v>
      </c>
      <c r="AE382">
        <v>5</v>
      </c>
      <c r="AF382" t="str">
        <v>Yes</v>
      </c>
      <c r="AG382" t="str">
        <v>Fall</v>
      </c>
      <c r="AH382" t="str">
        <v>Male</v>
      </c>
    </row>
    <row r="383" spans="22:34" x14ac:dyDescent="0.3">
      <c r="V383">
        <v>24</v>
      </c>
      <c r="W383" t="str">
        <v>Humanities</v>
      </c>
      <c r="X383">
        <v>3.6</v>
      </c>
      <c r="Y383">
        <v>0</v>
      </c>
      <c r="Z383">
        <v>3</v>
      </c>
      <c r="AA383">
        <v>1</v>
      </c>
      <c r="AB383">
        <v>7</v>
      </c>
      <c r="AC383">
        <v>16.100000000000001</v>
      </c>
      <c r="AD383">
        <v>62</v>
      </c>
      <c r="AE383">
        <v>3</v>
      </c>
      <c r="AF383" t="str">
        <v>No</v>
      </c>
      <c r="AG383" t="str">
        <v>Spring</v>
      </c>
      <c r="AH383" t="str">
        <v>Female</v>
      </c>
    </row>
    <row r="384" spans="22:34" x14ac:dyDescent="0.3">
      <c r="V384">
        <v>18</v>
      </c>
      <c r="W384" t="str">
        <v>STEM</v>
      </c>
      <c r="X384">
        <v>5.9</v>
      </c>
      <c r="Y384">
        <v>6</v>
      </c>
      <c r="Z384">
        <v>19</v>
      </c>
      <c r="AA384">
        <v>13</v>
      </c>
      <c r="AB384">
        <v>20</v>
      </c>
      <c r="AC384">
        <v>15.9</v>
      </c>
      <c r="AD384">
        <v>83.3</v>
      </c>
      <c r="AE384">
        <v>3</v>
      </c>
      <c r="AF384" t="str">
        <v>Yes</v>
      </c>
      <c r="AG384" t="str">
        <v>Summer</v>
      </c>
      <c r="AH384" t="str">
        <v>Female</v>
      </c>
    </row>
    <row r="385" spans="22:34" x14ac:dyDescent="0.3">
      <c r="V385">
        <v>19</v>
      </c>
      <c r="W385" t="str">
        <v>Social Sciences</v>
      </c>
      <c r="X385">
        <v>1.1000000000000001</v>
      </c>
      <c r="Y385">
        <v>5</v>
      </c>
      <c r="Z385">
        <v>5</v>
      </c>
      <c r="AA385">
        <v>8</v>
      </c>
      <c r="AB385">
        <v>7</v>
      </c>
      <c r="AC385">
        <v>14</v>
      </c>
      <c r="AD385">
        <v>91.9</v>
      </c>
      <c r="AE385">
        <v>3</v>
      </c>
      <c r="AF385" t="str">
        <v>No</v>
      </c>
      <c r="AG385" t="str">
        <v>Summer</v>
      </c>
      <c r="AH385" t="str">
        <v>Male</v>
      </c>
    </row>
    <row r="386" spans="22:34" x14ac:dyDescent="0.3">
      <c r="V386">
        <v>18</v>
      </c>
      <c r="W386" t="str">
        <v>STEM</v>
      </c>
      <c r="X386">
        <v>7</v>
      </c>
      <c r="Y386">
        <v>2</v>
      </c>
      <c r="Z386">
        <v>7</v>
      </c>
      <c r="AA386">
        <v>10</v>
      </c>
      <c r="AB386">
        <v>16</v>
      </c>
      <c r="AC386">
        <v>25.6</v>
      </c>
      <c r="AD386">
        <v>70.900000000000006</v>
      </c>
      <c r="AE386">
        <v>3</v>
      </c>
      <c r="AF386" t="str">
        <v>Yes</v>
      </c>
      <c r="AG386" t="str">
        <v>Summer</v>
      </c>
      <c r="AH386" t="str">
        <v>Male</v>
      </c>
    </row>
    <row r="387" spans="22:34" x14ac:dyDescent="0.3">
      <c r="V387">
        <v>20</v>
      </c>
      <c r="W387" t="str">
        <v>Social Sciences</v>
      </c>
      <c r="X387">
        <v>7.1</v>
      </c>
      <c r="Y387">
        <v>3</v>
      </c>
      <c r="Z387">
        <v>8</v>
      </c>
      <c r="AA387">
        <v>5</v>
      </c>
      <c r="AB387">
        <v>11</v>
      </c>
      <c r="AC387">
        <v>11.2</v>
      </c>
      <c r="AD387">
        <v>80.599999999999994</v>
      </c>
      <c r="AE387">
        <v>3</v>
      </c>
      <c r="AF387" t="str">
        <v>No</v>
      </c>
      <c r="AG387" t="str">
        <v>Spring</v>
      </c>
      <c r="AH387" t="str">
        <v>Male</v>
      </c>
    </row>
    <row r="388" spans="22:34" x14ac:dyDescent="0.3">
      <c r="V388">
        <v>22</v>
      </c>
      <c r="W388" t="str">
        <v>Health Sciences</v>
      </c>
      <c r="X388">
        <v>3.7</v>
      </c>
      <c r="Y388">
        <v>3</v>
      </c>
      <c r="Z388">
        <v>4</v>
      </c>
      <c r="AA388">
        <v>4</v>
      </c>
      <c r="AB388">
        <v>10</v>
      </c>
      <c r="AC388">
        <v>10.9</v>
      </c>
      <c r="AD388">
        <v>84.8</v>
      </c>
      <c r="AE388">
        <v>2</v>
      </c>
      <c r="AF388" t="str">
        <v>No</v>
      </c>
      <c r="AG388" t="str">
        <v>Spring</v>
      </c>
      <c r="AH388" t="str">
        <v>Male</v>
      </c>
    </row>
    <row r="389" spans="22:34" x14ac:dyDescent="0.3">
      <c r="V389">
        <v>23</v>
      </c>
      <c r="W389" t="str">
        <v>Business</v>
      </c>
      <c r="X389">
        <v>4.9000000000000004</v>
      </c>
      <c r="Y389">
        <v>2</v>
      </c>
      <c r="Z389">
        <v>5</v>
      </c>
      <c r="AA389">
        <v>5</v>
      </c>
      <c r="AB389">
        <v>14</v>
      </c>
      <c r="AC389">
        <v>13.8</v>
      </c>
      <c r="AD389">
        <v>92.4</v>
      </c>
      <c r="AE389">
        <v>5</v>
      </c>
      <c r="AF389" t="str">
        <v>No</v>
      </c>
      <c r="AG389" t="str">
        <v>Summer</v>
      </c>
      <c r="AH389" t="str">
        <v>Female</v>
      </c>
    </row>
    <row r="390" spans="22:34" x14ac:dyDescent="0.3">
      <c r="V390">
        <v>22</v>
      </c>
      <c r="W390" t="str">
        <v>Business</v>
      </c>
      <c r="X390">
        <v>2.2000000000000002</v>
      </c>
      <c r="Y390">
        <v>2</v>
      </c>
      <c r="Z390">
        <v>6</v>
      </c>
      <c r="AA390">
        <v>7</v>
      </c>
      <c r="AB390">
        <v>8</v>
      </c>
      <c r="AC390">
        <v>24.3</v>
      </c>
      <c r="AD390">
        <v>87.2</v>
      </c>
      <c r="AE390">
        <v>0</v>
      </c>
      <c r="AF390" t="str">
        <v>Yes</v>
      </c>
      <c r="AG390" t="str">
        <v>Fall</v>
      </c>
      <c r="AH390" t="str">
        <v>Male</v>
      </c>
    </row>
    <row r="391" spans="22:34" x14ac:dyDescent="0.3">
      <c r="V391">
        <v>19</v>
      </c>
      <c r="W391" t="str">
        <v>Business</v>
      </c>
      <c r="X391">
        <v>5.7</v>
      </c>
      <c r="Y391">
        <v>1</v>
      </c>
      <c r="Z391">
        <v>13</v>
      </c>
      <c r="AA391">
        <v>7</v>
      </c>
      <c r="AB391">
        <v>17</v>
      </c>
      <c r="AC391">
        <v>23.2</v>
      </c>
      <c r="AD391">
        <v>39.6</v>
      </c>
      <c r="AE391">
        <v>3</v>
      </c>
      <c r="AF391" t="str">
        <v>No</v>
      </c>
      <c r="AG391" t="str">
        <v>Fall</v>
      </c>
      <c r="AH391" t="str">
        <v>Male</v>
      </c>
    </row>
    <row r="392" spans="22:34" x14ac:dyDescent="0.3">
      <c r="V392">
        <v>17</v>
      </c>
      <c r="W392" t="str">
        <v>Law</v>
      </c>
      <c r="X392">
        <v>2.4</v>
      </c>
      <c r="Y392">
        <v>3</v>
      </c>
      <c r="Z392">
        <v>5</v>
      </c>
      <c r="AA392">
        <v>2</v>
      </c>
      <c r="AB392">
        <v>9</v>
      </c>
      <c r="AC392">
        <v>16.399999999999999</v>
      </c>
      <c r="AD392">
        <v>78.099999999999994</v>
      </c>
      <c r="AE392">
        <v>4</v>
      </c>
      <c r="AF392" t="str">
        <v>No</v>
      </c>
      <c r="AG392" t="str">
        <v>Summer</v>
      </c>
      <c r="AH392" t="str">
        <v>Female</v>
      </c>
    </row>
    <row r="393" spans="22:34" x14ac:dyDescent="0.3">
      <c r="V393">
        <v>22</v>
      </c>
      <c r="W393" t="str">
        <v>Social Sciences</v>
      </c>
      <c r="X393">
        <v>1</v>
      </c>
      <c r="Y393">
        <v>2</v>
      </c>
      <c r="Z393">
        <v>5</v>
      </c>
      <c r="AA393">
        <v>6</v>
      </c>
      <c r="AB393">
        <v>12</v>
      </c>
      <c r="AC393">
        <v>29.9</v>
      </c>
      <c r="AD393">
        <v>87.9</v>
      </c>
      <c r="AE393">
        <v>1</v>
      </c>
      <c r="AF393" t="str">
        <v>No</v>
      </c>
      <c r="AG393" t="str">
        <v>Spring</v>
      </c>
      <c r="AH393" t="str">
        <v>Female</v>
      </c>
    </row>
    <row r="394" spans="22:34" x14ac:dyDescent="0.3">
      <c r="V394">
        <v>21</v>
      </c>
      <c r="W394" t="str">
        <v>Business</v>
      </c>
      <c r="X394">
        <v>9.1999999999999993</v>
      </c>
      <c r="Y394">
        <v>3</v>
      </c>
      <c r="Z394">
        <v>1</v>
      </c>
      <c r="AA394">
        <v>0</v>
      </c>
      <c r="AB394">
        <v>9</v>
      </c>
      <c r="AC394">
        <v>24.2</v>
      </c>
      <c r="AD394">
        <v>76</v>
      </c>
      <c r="AE394">
        <v>2</v>
      </c>
      <c r="AF394" t="str">
        <v>No</v>
      </c>
      <c r="AG394" t="str">
        <v>Spring</v>
      </c>
      <c r="AH394" t="str">
        <v>Male</v>
      </c>
    </row>
    <row r="395" spans="22:34" x14ac:dyDescent="0.3">
      <c r="V395">
        <v>22</v>
      </c>
      <c r="W395" t="str">
        <v>STEM</v>
      </c>
      <c r="X395">
        <v>2</v>
      </c>
      <c r="Y395">
        <v>1</v>
      </c>
      <c r="Z395">
        <v>1</v>
      </c>
      <c r="AA395">
        <v>2</v>
      </c>
      <c r="AB395">
        <v>3</v>
      </c>
      <c r="AC395">
        <v>21.1</v>
      </c>
      <c r="AD395">
        <v>85.1</v>
      </c>
      <c r="AE395">
        <v>0</v>
      </c>
      <c r="AF395" t="str">
        <v>Yes</v>
      </c>
      <c r="AG395" t="str">
        <v>Fall</v>
      </c>
      <c r="AH395" t="str">
        <v>Male</v>
      </c>
    </row>
    <row r="396" spans="22:34" x14ac:dyDescent="0.3">
      <c r="V396">
        <v>23</v>
      </c>
      <c r="W396" t="str">
        <v>STEM</v>
      </c>
      <c r="X396">
        <v>4.2</v>
      </c>
      <c r="Y396">
        <v>5</v>
      </c>
      <c r="Z396">
        <v>1</v>
      </c>
      <c r="AA396">
        <v>3</v>
      </c>
      <c r="AB396">
        <v>9</v>
      </c>
      <c r="AC396">
        <v>20.6</v>
      </c>
      <c r="AD396">
        <v>90.7</v>
      </c>
      <c r="AE396">
        <v>4</v>
      </c>
      <c r="AF396" t="str">
        <v>No</v>
      </c>
      <c r="AG396" t="str">
        <v>Spring</v>
      </c>
      <c r="AH396" t="str">
        <v>Male</v>
      </c>
    </row>
    <row r="397" spans="22:34" x14ac:dyDescent="0.3">
      <c r="V397">
        <v>22</v>
      </c>
      <c r="W397" t="str">
        <v>Business</v>
      </c>
      <c r="X397">
        <v>5</v>
      </c>
      <c r="Y397">
        <v>3</v>
      </c>
      <c r="Z397">
        <v>3</v>
      </c>
      <c r="AA397">
        <v>5</v>
      </c>
      <c r="AB397">
        <v>12</v>
      </c>
      <c r="AC397">
        <v>21.8</v>
      </c>
      <c r="AD397">
        <v>76.7</v>
      </c>
      <c r="AE397">
        <v>1</v>
      </c>
      <c r="AF397" t="str">
        <v>Yes</v>
      </c>
      <c r="AG397" t="str">
        <v>Summer</v>
      </c>
      <c r="AH397" t="str">
        <v>Female</v>
      </c>
    </row>
    <row r="398" spans="22:34" x14ac:dyDescent="0.3">
      <c r="V398">
        <v>23</v>
      </c>
      <c r="W398" t="str">
        <v>Arts</v>
      </c>
      <c r="X398">
        <v>5.9</v>
      </c>
      <c r="Y398">
        <v>5</v>
      </c>
      <c r="Z398">
        <v>11</v>
      </c>
      <c r="AA398">
        <v>9</v>
      </c>
      <c r="AB398">
        <v>16</v>
      </c>
      <c r="AC398">
        <v>8</v>
      </c>
      <c r="AD398">
        <v>93.5</v>
      </c>
      <c r="AE398">
        <v>4</v>
      </c>
      <c r="AF398" t="str">
        <v>Yes</v>
      </c>
      <c r="AG398" t="str">
        <v>Spring</v>
      </c>
      <c r="AH398" t="str">
        <v>Male</v>
      </c>
    </row>
    <row r="399" spans="22:34" x14ac:dyDescent="0.3">
      <c r="V399">
        <v>22</v>
      </c>
      <c r="W399" t="str">
        <v>Social Sciences</v>
      </c>
      <c r="X399">
        <v>4.4000000000000004</v>
      </c>
      <c r="Y399">
        <v>0</v>
      </c>
      <c r="Z399">
        <v>8</v>
      </c>
      <c r="AA399">
        <v>6</v>
      </c>
      <c r="AB399">
        <v>13</v>
      </c>
      <c r="AC399">
        <v>16.600000000000001</v>
      </c>
      <c r="AD399">
        <v>94.7</v>
      </c>
      <c r="AE399">
        <v>3</v>
      </c>
      <c r="AF399" t="str">
        <v>Yes</v>
      </c>
      <c r="AG399" t="str">
        <v>Fall</v>
      </c>
      <c r="AH399" t="str">
        <v>Female</v>
      </c>
    </row>
    <row r="400" spans="22:34" x14ac:dyDescent="0.3">
      <c r="V400">
        <v>23</v>
      </c>
      <c r="W400" t="str">
        <v>STEM</v>
      </c>
      <c r="X400">
        <v>5.3</v>
      </c>
      <c r="Y400">
        <v>3</v>
      </c>
      <c r="Z400">
        <v>10</v>
      </c>
      <c r="AA400">
        <v>10</v>
      </c>
      <c r="AB400">
        <v>17</v>
      </c>
      <c r="AC400">
        <v>21.6</v>
      </c>
      <c r="AD400">
        <v>72.099999999999994</v>
      </c>
      <c r="AE400">
        <v>1</v>
      </c>
      <c r="AF400" t="str">
        <v>No</v>
      </c>
      <c r="AG400" t="str">
        <v>Spring</v>
      </c>
      <c r="AH400" t="str">
        <v>Male</v>
      </c>
    </row>
    <row r="401" spans="22:34" x14ac:dyDescent="0.3">
      <c r="V401">
        <v>20</v>
      </c>
      <c r="W401" t="str">
        <v>Health Sciences</v>
      </c>
      <c r="X401">
        <v>3.6</v>
      </c>
      <c r="Y401">
        <v>4</v>
      </c>
      <c r="Z401">
        <v>0</v>
      </c>
      <c r="AA401">
        <v>0</v>
      </c>
      <c r="AB401">
        <v>9</v>
      </c>
      <c r="AC401">
        <v>8.4</v>
      </c>
      <c r="AD401">
        <v>75.400000000000006</v>
      </c>
      <c r="AE401">
        <v>4</v>
      </c>
      <c r="AF401" t="str">
        <v>No</v>
      </c>
      <c r="AG401" t="str">
        <v>Summer</v>
      </c>
      <c r="AH401" t="str">
        <v>Male</v>
      </c>
    </row>
    <row r="402" spans="22:34" x14ac:dyDescent="0.3">
      <c r="V402">
        <v>21</v>
      </c>
      <c r="W402" t="str">
        <v>Business</v>
      </c>
      <c r="X402">
        <v>1.3</v>
      </c>
      <c r="Y402">
        <v>2</v>
      </c>
      <c r="Z402">
        <v>5</v>
      </c>
      <c r="AA402">
        <v>4</v>
      </c>
      <c r="AB402">
        <v>12</v>
      </c>
      <c r="AC402">
        <v>16.8</v>
      </c>
      <c r="AD402">
        <v>35.799999999999997</v>
      </c>
      <c r="AE402">
        <v>3</v>
      </c>
      <c r="AF402" t="str">
        <v>No</v>
      </c>
      <c r="AG402" t="str">
        <v>Summer</v>
      </c>
      <c r="AH402" t="str">
        <v>Male</v>
      </c>
    </row>
    <row r="403" spans="22:34" x14ac:dyDescent="0.3">
      <c r="V403">
        <v>22</v>
      </c>
      <c r="W403" t="str">
        <v>Health Sciences</v>
      </c>
      <c r="X403">
        <v>4.3</v>
      </c>
      <c r="Y403">
        <v>1</v>
      </c>
      <c r="Z403">
        <v>1</v>
      </c>
      <c r="AA403">
        <v>3</v>
      </c>
      <c r="AB403">
        <v>9</v>
      </c>
      <c r="AC403">
        <v>20</v>
      </c>
      <c r="AD403">
        <v>82</v>
      </c>
      <c r="AE403">
        <v>2</v>
      </c>
      <c r="AF403" t="str">
        <v>Yes</v>
      </c>
      <c r="AG403" t="str">
        <v>Fall</v>
      </c>
      <c r="AH403" t="str">
        <v>Male</v>
      </c>
    </row>
    <row r="404" spans="22:34" x14ac:dyDescent="0.3">
      <c r="V404">
        <v>23</v>
      </c>
      <c r="W404" t="str">
        <v>STEM</v>
      </c>
      <c r="X404">
        <v>6.4</v>
      </c>
      <c r="Y404">
        <v>2</v>
      </c>
      <c r="Z404">
        <v>3</v>
      </c>
      <c r="AA404">
        <v>5</v>
      </c>
      <c r="AB404">
        <v>6</v>
      </c>
      <c r="AC404">
        <v>28.5</v>
      </c>
      <c r="AD404">
        <v>70.3</v>
      </c>
      <c r="AE404">
        <v>5</v>
      </c>
      <c r="AF404" t="str">
        <v>Yes</v>
      </c>
      <c r="AG404" t="str">
        <v>Spring</v>
      </c>
      <c r="AH404" t="str">
        <v>Female</v>
      </c>
    </row>
    <row r="405" spans="22:34" x14ac:dyDescent="0.3">
      <c r="V405">
        <v>21</v>
      </c>
      <c r="W405" t="str">
        <v>Humanities</v>
      </c>
      <c r="X405">
        <v>2.1</v>
      </c>
      <c r="Y405">
        <v>2</v>
      </c>
      <c r="Z405">
        <v>12</v>
      </c>
      <c r="AA405">
        <v>13</v>
      </c>
      <c r="AB405">
        <v>22</v>
      </c>
      <c r="AC405">
        <v>2.9</v>
      </c>
      <c r="AD405">
        <v>74.900000000000006</v>
      </c>
      <c r="AE405">
        <v>3</v>
      </c>
      <c r="AF405" t="str">
        <v>No</v>
      </c>
      <c r="AG405" t="str">
        <v>Fall</v>
      </c>
      <c r="AH405" t="str">
        <v>Female</v>
      </c>
    </row>
    <row r="406" spans="22:34" x14ac:dyDescent="0.3">
      <c r="V406">
        <v>23</v>
      </c>
      <c r="W406" t="str">
        <v>Arts</v>
      </c>
      <c r="X406">
        <v>5</v>
      </c>
      <c r="Y406">
        <v>2</v>
      </c>
      <c r="Z406">
        <v>7</v>
      </c>
      <c r="AA406">
        <v>8</v>
      </c>
      <c r="AB406">
        <v>17</v>
      </c>
      <c r="AC406">
        <v>12.8</v>
      </c>
      <c r="AD406">
        <v>81.400000000000006</v>
      </c>
      <c r="AE406">
        <v>3</v>
      </c>
      <c r="AF406" t="str">
        <v>No</v>
      </c>
      <c r="AG406" t="str">
        <v>Spring</v>
      </c>
      <c r="AH406" t="str">
        <v>Male</v>
      </c>
    </row>
    <row r="407" spans="22:34" x14ac:dyDescent="0.3">
      <c r="V407">
        <v>21</v>
      </c>
      <c r="W407" t="str">
        <v>STEM</v>
      </c>
      <c r="X407">
        <v>12.5</v>
      </c>
      <c r="Y407">
        <v>2</v>
      </c>
      <c r="Z407">
        <v>2</v>
      </c>
      <c r="AA407">
        <v>6</v>
      </c>
      <c r="AB407">
        <v>9</v>
      </c>
      <c r="AC407">
        <v>19.5</v>
      </c>
      <c r="AD407">
        <v>88.2</v>
      </c>
      <c r="AE407">
        <v>3</v>
      </c>
      <c r="AF407" t="str">
        <v>Yes</v>
      </c>
      <c r="AG407" t="str">
        <v>Fall</v>
      </c>
      <c r="AH407" t="str">
        <v>Male</v>
      </c>
    </row>
    <row r="408" spans="22:34" x14ac:dyDescent="0.3">
      <c r="V408">
        <v>21</v>
      </c>
      <c r="W408" t="str">
        <v>Social Sciences</v>
      </c>
      <c r="X408">
        <v>4.0999999999999996</v>
      </c>
      <c r="Y408">
        <v>2</v>
      </c>
      <c r="Z408">
        <v>3</v>
      </c>
      <c r="AA408">
        <v>3</v>
      </c>
      <c r="AB408">
        <v>4</v>
      </c>
      <c r="AC408">
        <v>25</v>
      </c>
      <c r="AD408">
        <v>100</v>
      </c>
      <c r="AE408">
        <v>4</v>
      </c>
      <c r="AF408" t="str">
        <v>No</v>
      </c>
      <c r="AG408" t="str">
        <v>Spring</v>
      </c>
      <c r="AH408" t="str">
        <v>Male</v>
      </c>
    </row>
    <row r="409" spans="22:34" x14ac:dyDescent="0.3">
      <c r="V409">
        <v>23</v>
      </c>
      <c r="W409" t="str">
        <v>Law</v>
      </c>
      <c r="X409">
        <v>4.3</v>
      </c>
      <c r="Y409">
        <v>3</v>
      </c>
      <c r="Z409">
        <v>16</v>
      </c>
      <c r="AA409">
        <v>11</v>
      </c>
      <c r="AB409">
        <v>20</v>
      </c>
      <c r="AC409">
        <v>13.3</v>
      </c>
      <c r="AD409">
        <v>80.900000000000006</v>
      </c>
      <c r="AE409">
        <v>4</v>
      </c>
      <c r="AF409" t="str">
        <v>No</v>
      </c>
      <c r="AG409" t="str">
        <v>Spring</v>
      </c>
      <c r="AH409" t="str">
        <v>Female</v>
      </c>
    </row>
    <row r="410" spans="22:34" x14ac:dyDescent="0.3">
      <c r="V410">
        <v>17</v>
      </c>
      <c r="W410" t="str">
        <v>STEM</v>
      </c>
      <c r="X410">
        <v>1.2</v>
      </c>
      <c r="Y410">
        <v>0</v>
      </c>
      <c r="Z410">
        <v>16</v>
      </c>
      <c r="AA410">
        <v>12</v>
      </c>
      <c r="AB410">
        <v>22</v>
      </c>
      <c r="AC410">
        <v>30.8</v>
      </c>
      <c r="AD410">
        <v>100</v>
      </c>
      <c r="AE410">
        <v>5</v>
      </c>
      <c r="AF410" t="str">
        <v>No</v>
      </c>
      <c r="AG410" t="str">
        <v>Fall</v>
      </c>
      <c r="AH410" t="str">
        <v>Female</v>
      </c>
    </row>
    <row r="411" spans="22:34" x14ac:dyDescent="0.3">
      <c r="V411">
        <v>19</v>
      </c>
      <c r="W411" t="str">
        <v>STEM</v>
      </c>
      <c r="X411">
        <v>1.9</v>
      </c>
      <c r="Y411">
        <v>2</v>
      </c>
      <c r="Z411">
        <v>9</v>
      </c>
      <c r="AA411">
        <v>8</v>
      </c>
      <c r="AB411">
        <v>11</v>
      </c>
      <c r="AC411">
        <v>20.8</v>
      </c>
      <c r="AD411">
        <v>81.900000000000006</v>
      </c>
      <c r="AE411">
        <v>2</v>
      </c>
      <c r="AF411" t="str">
        <v>No</v>
      </c>
      <c r="AG411" t="str">
        <v>Fall</v>
      </c>
      <c r="AH411" t="str">
        <v>Female</v>
      </c>
    </row>
    <row r="412" spans="22:34" x14ac:dyDescent="0.3">
      <c r="V412">
        <v>18</v>
      </c>
      <c r="W412" t="str">
        <v>Social Sciences</v>
      </c>
      <c r="X412">
        <v>2.4</v>
      </c>
      <c r="Y412">
        <v>4</v>
      </c>
      <c r="Z412">
        <v>4</v>
      </c>
      <c r="AA412">
        <v>3</v>
      </c>
      <c r="AB412">
        <v>8</v>
      </c>
      <c r="AC412">
        <v>14.6</v>
      </c>
      <c r="AD412">
        <v>58.5</v>
      </c>
      <c r="AE412">
        <v>4</v>
      </c>
      <c r="AF412" t="str">
        <v>Yes</v>
      </c>
      <c r="AG412" t="str">
        <v>Fall</v>
      </c>
      <c r="AH412" t="str">
        <v>Male</v>
      </c>
    </row>
    <row r="413" spans="22:34" x14ac:dyDescent="0.3">
      <c r="V413">
        <v>17</v>
      </c>
      <c r="W413" t="str">
        <v>Business</v>
      </c>
      <c r="X413">
        <v>6.3</v>
      </c>
      <c r="Y413">
        <v>1</v>
      </c>
      <c r="Z413">
        <v>0</v>
      </c>
      <c r="AA413">
        <v>5</v>
      </c>
      <c r="AB413">
        <v>3</v>
      </c>
      <c r="AC413">
        <v>19.3</v>
      </c>
      <c r="AD413">
        <v>77.400000000000006</v>
      </c>
      <c r="AE413">
        <v>4</v>
      </c>
      <c r="AF413" t="str">
        <v>No</v>
      </c>
      <c r="AG413" t="str">
        <v>Fall</v>
      </c>
      <c r="AH413" t="str">
        <v>Male</v>
      </c>
    </row>
    <row r="414" spans="22:34" x14ac:dyDescent="0.3">
      <c r="V414">
        <v>20</v>
      </c>
      <c r="W414" t="str">
        <v>STEM</v>
      </c>
      <c r="X414">
        <v>2.2000000000000002</v>
      </c>
      <c r="Y414">
        <v>1</v>
      </c>
      <c r="Z414">
        <v>2</v>
      </c>
      <c r="AA414">
        <v>5</v>
      </c>
      <c r="AB414">
        <v>10</v>
      </c>
      <c r="AC414">
        <v>17.100000000000001</v>
      </c>
      <c r="AD414">
        <v>65.8</v>
      </c>
      <c r="AE414">
        <v>3</v>
      </c>
      <c r="AF414" t="str">
        <v>Yes</v>
      </c>
      <c r="AG414" t="str">
        <v>Spring</v>
      </c>
      <c r="AH414" t="str">
        <v>Male</v>
      </c>
    </row>
    <row r="415" spans="22:34" x14ac:dyDescent="0.3">
      <c r="V415">
        <v>23</v>
      </c>
      <c r="W415" t="str">
        <v>Business</v>
      </c>
      <c r="X415">
        <v>1</v>
      </c>
      <c r="Y415">
        <v>1</v>
      </c>
      <c r="Z415">
        <v>0</v>
      </c>
      <c r="AA415">
        <v>1</v>
      </c>
      <c r="AB415">
        <v>6</v>
      </c>
      <c r="AC415">
        <v>27.2</v>
      </c>
      <c r="AD415">
        <v>90.4</v>
      </c>
      <c r="AE415">
        <v>1</v>
      </c>
      <c r="AF415" t="str">
        <v>No</v>
      </c>
      <c r="AG415" t="str">
        <v>Fall</v>
      </c>
      <c r="AH415" t="str">
        <v>Female</v>
      </c>
    </row>
    <row r="416" spans="22:34" x14ac:dyDescent="0.3">
      <c r="V416">
        <v>21</v>
      </c>
      <c r="W416" t="str">
        <v>Social Sciences</v>
      </c>
      <c r="X416">
        <v>5.6</v>
      </c>
      <c r="Y416">
        <v>0</v>
      </c>
      <c r="Z416">
        <v>1</v>
      </c>
      <c r="AA416">
        <v>4</v>
      </c>
      <c r="AB416">
        <v>2</v>
      </c>
      <c r="AC416">
        <v>6.2</v>
      </c>
      <c r="AD416">
        <v>65.5</v>
      </c>
      <c r="AE416">
        <v>4</v>
      </c>
      <c r="AF416" t="str">
        <v>No</v>
      </c>
      <c r="AG416" t="str">
        <v>Fall</v>
      </c>
      <c r="AH416" t="str">
        <v>Female</v>
      </c>
    </row>
    <row r="417" spans="22:34" x14ac:dyDescent="0.3">
      <c r="V417">
        <v>22</v>
      </c>
      <c r="W417" t="str">
        <v>STEM</v>
      </c>
      <c r="X417">
        <v>2.6</v>
      </c>
      <c r="Y417">
        <v>3</v>
      </c>
      <c r="Z417">
        <v>11</v>
      </c>
      <c r="AA417">
        <v>10</v>
      </c>
      <c r="AB417">
        <v>18</v>
      </c>
      <c r="AC417">
        <v>78</v>
      </c>
      <c r="AD417">
        <v>84.1</v>
      </c>
      <c r="AE417">
        <v>2</v>
      </c>
      <c r="AF417" t="str">
        <v>Yes</v>
      </c>
      <c r="AG417" t="str">
        <v>Summer</v>
      </c>
      <c r="AH417" t="str">
        <v>Male</v>
      </c>
    </row>
    <row r="418" spans="22:34" x14ac:dyDescent="0.3">
      <c r="V418">
        <v>24</v>
      </c>
      <c r="W418" t="str">
        <v>Business</v>
      </c>
      <c r="X418">
        <v>1.2</v>
      </c>
      <c r="Y418">
        <v>0</v>
      </c>
      <c r="Z418">
        <v>6</v>
      </c>
      <c r="AA418">
        <v>7</v>
      </c>
      <c r="AB418">
        <v>12</v>
      </c>
      <c r="AC418">
        <v>24.7</v>
      </c>
      <c r="AD418">
        <v>81.5</v>
      </c>
      <c r="AE418">
        <v>4</v>
      </c>
      <c r="AF418" t="str">
        <v>No</v>
      </c>
      <c r="AG418" t="str">
        <v>Fall</v>
      </c>
      <c r="AH418" t="str">
        <v>Female</v>
      </c>
    </row>
    <row r="419" spans="22:34" x14ac:dyDescent="0.3">
      <c r="V419">
        <v>24</v>
      </c>
      <c r="W419" t="str">
        <v>Health Sciences</v>
      </c>
      <c r="X419">
        <v>6.8</v>
      </c>
      <c r="Y419">
        <v>2</v>
      </c>
      <c r="Z419">
        <v>8</v>
      </c>
      <c r="AA419">
        <v>5</v>
      </c>
      <c r="AB419">
        <v>14</v>
      </c>
      <c r="AC419">
        <v>30.5</v>
      </c>
      <c r="AD419">
        <v>79</v>
      </c>
      <c r="AE419">
        <v>3</v>
      </c>
      <c r="AF419" t="str">
        <v>Yes</v>
      </c>
      <c r="AG419" t="str">
        <v>Summer</v>
      </c>
      <c r="AH419" t="str">
        <v>Female</v>
      </c>
    </row>
    <row r="420" spans="22:34" x14ac:dyDescent="0.3">
      <c r="V420">
        <v>21</v>
      </c>
      <c r="W420" t="str">
        <v>Humanities</v>
      </c>
      <c r="X420">
        <v>3.3</v>
      </c>
      <c r="Y420">
        <v>7</v>
      </c>
      <c r="Z420">
        <v>6</v>
      </c>
      <c r="AA420">
        <v>6</v>
      </c>
      <c r="AB420">
        <v>10</v>
      </c>
      <c r="AC420">
        <v>1.6</v>
      </c>
      <c r="AD420">
        <v>83.6</v>
      </c>
      <c r="AE420">
        <v>1</v>
      </c>
      <c r="AF420" t="str">
        <v>Yes</v>
      </c>
      <c r="AG420" t="str">
        <v>Spring</v>
      </c>
      <c r="AH420" t="str">
        <v>Female</v>
      </c>
    </row>
    <row r="421" spans="22:34" x14ac:dyDescent="0.3">
      <c r="V421">
        <v>24</v>
      </c>
      <c r="W421" t="str">
        <v>Health Sciences</v>
      </c>
      <c r="X421">
        <v>6</v>
      </c>
      <c r="Y421">
        <v>5</v>
      </c>
      <c r="Z421">
        <v>2</v>
      </c>
      <c r="AA421">
        <v>3</v>
      </c>
      <c r="AB421">
        <v>5</v>
      </c>
      <c r="AC421">
        <v>28.1</v>
      </c>
      <c r="AD421">
        <v>98.3</v>
      </c>
      <c r="AE421">
        <v>5</v>
      </c>
      <c r="AF421" t="str">
        <v>No</v>
      </c>
      <c r="AG421" t="str">
        <v>Spring</v>
      </c>
      <c r="AH421" t="str">
        <v>Female</v>
      </c>
    </row>
    <row r="422" spans="22:34" x14ac:dyDescent="0.3">
      <c r="V422">
        <v>22</v>
      </c>
      <c r="W422" t="str">
        <v>Business</v>
      </c>
      <c r="X422">
        <v>1.2</v>
      </c>
      <c r="Y422">
        <v>1</v>
      </c>
      <c r="Z422">
        <v>6</v>
      </c>
      <c r="AA422">
        <v>7</v>
      </c>
      <c r="AB422">
        <v>10</v>
      </c>
      <c r="AC422">
        <v>85.3</v>
      </c>
      <c r="AD422">
        <v>100</v>
      </c>
      <c r="AE422">
        <v>4</v>
      </c>
      <c r="AF422" t="str">
        <v>No</v>
      </c>
      <c r="AG422" t="str">
        <v>Spring</v>
      </c>
      <c r="AH422" t="str">
        <v>Female</v>
      </c>
    </row>
    <row r="423" spans="22:34" x14ac:dyDescent="0.3">
      <c r="V423">
        <v>20</v>
      </c>
      <c r="W423" t="str">
        <v>Arts</v>
      </c>
      <c r="X423">
        <v>1</v>
      </c>
      <c r="Y423">
        <v>2</v>
      </c>
      <c r="Z423">
        <v>2</v>
      </c>
      <c r="AA423">
        <v>2</v>
      </c>
      <c r="AB423">
        <v>6</v>
      </c>
      <c r="AC423">
        <v>3.7</v>
      </c>
      <c r="AD423">
        <v>77.400000000000006</v>
      </c>
      <c r="AE423">
        <v>3</v>
      </c>
      <c r="AF423" t="str">
        <v>No</v>
      </c>
      <c r="AG423" t="str">
        <v>Fall</v>
      </c>
      <c r="AH423" t="str">
        <v>Male</v>
      </c>
    </row>
    <row r="424" spans="22:34" x14ac:dyDescent="0.3">
      <c r="V424">
        <v>20</v>
      </c>
      <c r="W424" t="str">
        <v>Social Sciences</v>
      </c>
      <c r="X424">
        <v>4.7</v>
      </c>
      <c r="Y424">
        <v>3</v>
      </c>
      <c r="Z424">
        <v>12</v>
      </c>
      <c r="AA424">
        <v>5</v>
      </c>
      <c r="AB424">
        <v>15</v>
      </c>
      <c r="AC424">
        <v>1</v>
      </c>
      <c r="AD424">
        <v>91.9</v>
      </c>
      <c r="AE424">
        <v>4</v>
      </c>
      <c r="AF424" t="str">
        <v>No</v>
      </c>
      <c r="AG424" t="str">
        <v>Summer</v>
      </c>
      <c r="AH424" t="str">
        <v>Male</v>
      </c>
    </row>
    <row r="425" spans="22:34" x14ac:dyDescent="0.3">
      <c r="V425">
        <v>18</v>
      </c>
      <c r="W425" t="str">
        <v>STEM</v>
      </c>
      <c r="X425">
        <v>1.8</v>
      </c>
      <c r="Y425">
        <v>4</v>
      </c>
      <c r="Z425">
        <v>0</v>
      </c>
      <c r="AA425">
        <v>0</v>
      </c>
      <c r="AB425">
        <v>5</v>
      </c>
      <c r="AC425">
        <v>8.9</v>
      </c>
      <c r="AD425">
        <v>59.2</v>
      </c>
      <c r="AE425">
        <v>3</v>
      </c>
      <c r="AF425" t="str">
        <v>Yes</v>
      </c>
      <c r="AG425" t="str">
        <v>Spring</v>
      </c>
      <c r="AH425" t="str">
        <v>Female</v>
      </c>
    </row>
    <row r="426" spans="22:34" x14ac:dyDescent="0.3">
      <c r="V426">
        <v>20</v>
      </c>
      <c r="W426" t="str">
        <v>Health Sciences</v>
      </c>
      <c r="X426">
        <v>4.7</v>
      </c>
      <c r="Y426">
        <v>4</v>
      </c>
      <c r="Z426">
        <v>3</v>
      </c>
      <c r="AA426">
        <v>4</v>
      </c>
      <c r="AB426">
        <v>8</v>
      </c>
      <c r="AC426">
        <v>19.8</v>
      </c>
      <c r="AD426">
        <v>60.4</v>
      </c>
      <c r="AE426">
        <v>4</v>
      </c>
      <c r="AF426" t="str">
        <v>No</v>
      </c>
      <c r="AG426" t="str">
        <v>Fall</v>
      </c>
      <c r="AH426" t="str">
        <v>Female</v>
      </c>
    </row>
    <row r="427" spans="22:34" x14ac:dyDescent="0.3">
      <c r="V427">
        <v>21</v>
      </c>
      <c r="W427" t="str">
        <v>Business</v>
      </c>
      <c r="X427">
        <v>4.7</v>
      </c>
      <c r="Y427">
        <v>1</v>
      </c>
      <c r="Z427">
        <v>11</v>
      </c>
      <c r="AA427">
        <v>9</v>
      </c>
      <c r="AB427">
        <v>15</v>
      </c>
      <c r="AC427">
        <v>15.7</v>
      </c>
      <c r="AD427">
        <v>60.7</v>
      </c>
      <c r="AE427">
        <v>2</v>
      </c>
      <c r="AF427" t="str">
        <v>No</v>
      </c>
      <c r="AG427" t="str">
        <v>Spring</v>
      </c>
      <c r="AH427" t="str">
        <v>Female</v>
      </c>
    </row>
    <row r="428" spans="22:34" x14ac:dyDescent="0.3">
      <c r="V428">
        <v>23</v>
      </c>
      <c r="W428" t="str">
        <v>STEM</v>
      </c>
      <c r="X428">
        <v>4.4000000000000004</v>
      </c>
      <c r="Y428">
        <v>1</v>
      </c>
      <c r="Z428">
        <v>10</v>
      </c>
      <c r="AA428">
        <v>12</v>
      </c>
      <c r="AB428">
        <v>16</v>
      </c>
      <c r="AC428">
        <v>24.9</v>
      </c>
      <c r="AD428">
        <v>80.7</v>
      </c>
      <c r="AE428">
        <v>3</v>
      </c>
      <c r="AF428" t="str">
        <v>Yes</v>
      </c>
      <c r="AG428" t="str">
        <v>Spring</v>
      </c>
      <c r="AH428" t="str">
        <v>Male</v>
      </c>
    </row>
    <row r="429" spans="22:34" x14ac:dyDescent="0.3">
      <c r="V429">
        <v>25</v>
      </c>
      <c r="W429" t="str">
        <v>STEM</v>
      </c>
      <c r="X429">
        <v>8.3000000000000007</v>
      </c>
      <c r="Y429">
        <v>2</v>
      </c>
      <c r="Z429">
        <v>12</v>
      </c>
      <c r="AA429">
        <v>11</v>
      </c>
      <c r="AB429">
        <v>25</v>
      </c>
      <c r="AC429">
        <v>12.9</v>
      </c>
      <c r="AD429">
        <v>91.1</v>
      </c>
      <c r="AE429">
        <v>3</v>
      </c>
      <c r="AF429" t="str">
        <v>No</v>
      </c>
      <c r="AG429" t="str">
        <v>Summer</v>
      </c>
      <c r="AH429" t="str">
        <v>Female</v>
      </c>
    </row>
    <row r="430" spans="22:34" x14ac:dyDescent="0.3">
      <c r="V430">
        <v>19</v>
      </c>
      <c r="W430" t="str">
        <v>Social Sciences</v>
      </c>
      <c r="X430">
        <v>16</v>
      </c>
      <c r="Y430">
        <v>5</v>
      </c>
      <c r="Z430">
        <v>8</v>
      </c>
      <c r="AA430">
        <v>7</v>
      </c>
      <c r="AB430">
        <v>11</v>
      </c>
      <c r="AC430">
        <v>7.7</v>
      </c>
      <c r="AD430">
        <v>68</v>
      </c>
      <c r="AE430">
        <v>3</v>
      </c>
      <c r="AF430" t="str">
        <v>No</v>
      </c>
      <c r="AG430" t="str">
        <v>Spring</v>
      </c>
      <c r="AH430" t="str">
        <v>Male</v>
      </c>
    </row>
    <row r="431" spans="22:34" x14ac:dyDescent="0.3">
      <c r="V431">
        <v>22</v>
      </c>
      <c r="W431" t="str">
        <v>STEM</v>
      </c>
      <c r="X431">
        <v>5.6</v>
      </c>
      <c r="Y431">
        <v>5</v>
      </c>
      <c r="Z431">
        <v>1</v>
      </c>
      <c r="AA431">
        <v>3</v>
      </c>
      <c r="AB431">
        <v>5</v>
      </c>
      <c r="AC431">
        <v>17.600000000000001</v>
      </c>
      <c r="AD431">
        <v>72.2</v>
      </c>
      <c r="AE431">
        <v>3</v>
      </c>
      <c r="AF431" t="str">
        <v>Yes</v>
      </c>
      <c r="AG431" t="str">
        <v>Fall</v>
      </c>
      <c r="AH431" t="str">
        <v>Male</v>
      </c>
    </row>
    <row r="432" spans="22:34" x14ac:dyDescent="0.3">
      <c r="V432">
        <v>19</v>
      </c>
      <c r="W432" t="str">
        <v>STEM</v>
      </c>
      <c r="X432">
        <v>12.5</v>
      </c>
      <c r="Y432">
        <v>0</v>
      </c>
      <c r="Z432">
        <v>10</v>
      </c>
      <c r="AA432">
        <v>11</v>
      </c>
      <c r="AB432">
        <v>26</v>
      </c>
      <c r="AC432">
        <v>19.3</v>
      </c>
      <c r="AD432">
        <v>72.2</v>
      </c>
      <c r="AE432">
        <v>2</v>
      </c>
      <c r="AF432" t="str">
        <v>No</v>
      </c>
      <c r="AG432" t="str">
        <v>Summer</v>
      </c>
      <c r="AH432" t="str">
        <v>Male</v>
      </c>
    </row>
    <row r="433" spans="22:34" x14ac:dyDescent="0.3">
      <c r="V433">
        <v>22</v>
      </c>
      <c r="W433" t="str">
        <v>STEM</v>
      </c>
      <c r="X433">
        <v>3.4</v>
      </c>
      <c r="Y433">
        <v>3</v>
      </c>
      <c r="Z433">
        <v>12</v>
      </c>
      <c r="AA433">
        <v>9</v>
      </c>
      <c r="AB433">
        <v>18</v>
      </c>
      <c r="AC433">
        <v>24.5</v>
      </c>
      <c r="AD433">
        <v>84.9</v>
      </c>
      <c r="AE433">
        <v>5</v>
      </c>
      <c r="AF433" t="str">
        <v>No</v>
      </c>
      <c r="AG433" t="str">
        <v>Summer</v>
      </c>
      <c r="AH433" t="str">
        <v>Male</v>
      </c>
    </row>
    <row r="434" spans="22:34" x14ac:dyDescent="0.3">
      <c r="V434">
        <v>21</v>
      </c>
      <c r="W434" t="str">
        <v>Business</v>
      </c>
      <c r="X434">
        <v>1.6</v>
      </c>
      <c r="Y434">
        <v>1</v>
      </c>
      <c r="Z434">
        <v>13</v>
      </c>
      <c r="AA434">
        <v>10</v>
      </c>
      <c r="AB434">
        <v>14</v>
      </c>
      <c r="AC434">
        <v>11</v>
      </c>
      <c r="AD434">
        <v>66.2</v>
      </c>
      <c r="AE434">
        <v>1</v>
      </c>
      <c r="AF434" t="str">
        <v>Yes</v>
      </c>
      <c r="AG434" t="str">
        <v>Spring</v>
      </c>
      <c r="AH434" t="str">
        <v>Female</v>
      </c>
    </row>
    <row r="435" spans="22:34" x14ac:dyDescent="0.3">
      <c r="V435">
        <v>18</v>
      </c>
      <c r="W435" t="str">
        <v>Business</v>
      </c>
      <c r="X435">
        <v>2.7</v>
      </c>
      <c r="Y435">
        <v>4</v>
      </c>
      <c r="Z435">
        <v>9</v>
      </c>
      <c r="AA435">
        <v>6</v>
      </c>
      <c r="AB435">
        <v>16</v>
      </c>
      <c r="AC435">
        <v>19.7</v>
      </c>
      <c r="AD435">
        <v>70.5</v>
      </c>
      <c r="AE435">
        <v>1</v>
      </c>
      <c r="AF435" t="str">
        <v>No</v>
      </c>
      <c r="AG435" t="str">
        <v>Fall</v>
      </c>
      <c r="AH435" t="str">
        <v>Female</v>
      </c>
    </row>
    <row r="436" spans="22:34" x14ac:dyDescent="0.3">
      <c r="V436">
        <v>23</v>
      </c>
      <c r="W436" t="str">
        <v>Humanities</v>
      </c>
      <c r="X436">
        <v>3.5</v>
      </c>
      <c r="Y436">
        <v>5</v>
      </c>
      <c r="Z436">
        <v>6</v>
      </c>
      <c r="AA436">
        <v>9</v>
      </c>
      <c r="AB436">
        <v>10</v>
      </c>
      <c r="AC436">
        <v>13.6</v>
      </c>
      <c r="AD436">
        <v>61.4</v>
      </c>
      <c r="AE436">
        <v>3</v>
      </c>
      <c r="AF436" t="str">
        <v>Yes</v>
      </c>
      <c r="AG436" t="str">
        <v>Spring</v>
      </c>
      <c r="AH436" t="str">
        <v>Female</v>
      </c>
    </row>
    <row r="437" spans="22:34" x14ac:dyDescent="0.3">
      <c r="V437">
        <v>20</v>
      </c>
      <c r="W437" t="str">
        <v>STEM</v>
      </c>
      <c r="X437">
        <v>13.2</v>
      </c>
      <c r="Y437">
        <v>2</v>
      </c>
      <c r="Z437">
        <v>16</v>
      </c>
      <c r="AA437">
        <v>13</v>
      </c>
      <c r="AB437">
        <v>24</v>
      </c>
      <c r="AC437">
        <v>13.6</v>
      </c>
      <c r="AD437">
        <v>68.3</v>
      </c>
      <c r="AE437">
        <v>4</v>
      </c>
      <c r="AF437" t="str">
        <v>Yes</v>
      </c>
      <c r="AG437" t="str">
        <v>Spring</v>
      </c>
      <c r="AH437" t="str">
        <v>Female</v>
      </c>
    </row>
    <row r="438" spans="22:34" x14ac:dyDescent="0.3">
      <c r="V438">
        <v>20</v>
      </c>
      <c r="W438" t="str">
        <v>STEM</v>
      </c>
      <c r="X438">
        <v>4.5</v>
      </c>
      <c r="Y438">
        <v>0</v>
      </c>
      <c r="Z438">
        <v>9</v>
      </c>
      <c r="AA438">
        <v>6</v>
      </c>
      <c r="AB438">
        <v>13</v>
      </c>
      <c r="AC438">
        <v>15.6</v>
      </c>
      <c r="AD438">
        <v>100</v>
      </c>
      <c r="AE438">
        <v>2</v>
      </c>
      <c r="AF438" t="str">
        <v>No</v>
      </c>
      <c r="AG438" t="str">
        <v>Fall</v>
      </c>
      <c r="AH438" t="str">
        <v>Female</v>
      </c>
    </row>
    <row r="439" spans="22:34" x14ac:dyDescent="0.3">
      <c r="V439">
        <v>19</v>
      </c>
      <c r="W439" t="str">
        <v>Humanities</v>
      </c>
      <c r="X439">
        <v>8.5</v>
      </c>
      <c r="Y439">
        <v>3</v>
      </c>
      <c r="Z439">
        <v>1</v>
      </c>
      <c r="AA439">
        <v>2</v>
      </c>
      <c r="AB439">
        <v>5</v>
      </c>
      <c r="AC439">
        <v>22.9</v>
      </c>
      <c r="AD439">
        <v>76.900000000000006</v>
      </c>
      <c r="AE439">
        <v>3</v>
      </c>
      <c r="AF439" t="str">
        <v>No</v>
      </c>
      <c r="AG439" t="str">
        <v>Summer</v>
      </c>
      <c r="AH439" t="str">
        <v>Female</v>
      </c>
    </row>
    <row r="440" spans="22:34" x14ac:dyDescent="0.3">
      <c r="V440">
        <v>20</v>
      </c>
      <c r="W440" t="str">
        <v>Business</v>
      </c>
      <c r="X440">
        <v>3.2</v>
      </c>
      <c r="Y440">
        <v>2</v>
      </c>
      <c r="Z440">
        <v>4</v>
      </c>
      <c r="AA440">
        <v>6</v>
      </c>
      <c r="AB440">
        <v>15</v>
      </c>
      <c r="AC440">
        <v>20</v>
      </c>
      <c r="AD440">
        <v>71.900000000000006</v>
      </c>
      <c r="AE440">
        <v>4</v>
      </c>
      <c r="AF440" t="str">
        <v>Yes</v>
      </c>
      <c r="AG440" t="str">
        <v>Spring</v>
      </c>
      <c r="AH440" t="str">
        <v>Male</v>
      </c>
    </row>
    <row r="441" spans="22:34" x14ac:dyDescent="0.3">
      <c r="V441">
        <v>22</v>
      </c>
      <c r="W441" t="str">
        <v>Social Sciences</v>
      </c>
      <c r="X441">
        <v>2.9</v>
      </c>
      <c r="Y441">
        <v>4</v>
      </c>
      <c r="Z441">
        <v>6</v>
      </c>
      <c r="AA441">
        <v>5</v>
      </c>
      <c r="AB441">
        <v>13</v>
      </c>
      <c r="AC441">
        <v>10.1</v>
      </c>
      <c r="AD441">
        <v>95.5</v>
      </c>
      <c r="AE441">
        <v>2</v>
      </c>
      <c r="AF441" t="str">
        <v>No</v>
      </c>
      <c r="AG441" t="str">
        <v>Summer</v>
      </c>
      <c r="AH441" t="str">
        <v>Prefer not to say</v>
      </c>
    </row>
    <row r="442" spans="22:34" x14ac:dyDescent="0.3">
      <c r="V442">
        <v>21</v>
      </c>
      <c r="W442" t="str">
        <v>STEM</v>
      </c>
      <c r="X442">
        <v>1.1000000000000001</v>
      </c>
      <c r="Y442">
        <v>2</v>
      </c>
      <c r="Z442">
        <v>14</v>
      </c>
      <c r="AA442">
        <v>10</v>
      </c>
      <c r="AB442">
        <v>22</v>
      </c>
      <c r="AC442">
        <v>26.7</v>
      </c>
      <c r="AD442">
        <v>73.400000000000006</v>
      </c>
      <c r="AE442">
        <v>5</v>
      </c>
      <c r="AF442" t="str">
        <v>No</v>
      </c>
      <c r="AG442" t="str">
        <v>Spring</v>
      </c>
      <c r="AH442" t="str">
        <v>Male</v>
      </c>
    </row>
    <row r="443" spans="22:34" x14ac:dyDescent="0.3">
      <c r="V443">
        <v>22</v>
      </c>
      <c r="W443" t="str">
        <v>STEM</v>
      </c>
      <c r="X443">
        <v>12.9</v>
      </c>
      <c r="Y443">
        <v>5</v>
      </c>
      <c r="Z443">
        <v>5</v>
      </c>
      <c r="AA443">
        <v>4</v>
      </c>
      <c r="AB443">
        <v>11</v>
      </c>
      <c r="AC443">
        <v>35.6</v>
      </c>
      <c r="AD443">
        <v>100</v>
      </c>
      <c r="AE443">
        <v>3</v>
      </c>
      <c r="AF443" t="str">
        <v>No</v>
      </c>
      <c r="AG443" t="str">
        <v>Fall</v>
      </c>
      <c r="AH443" t="str">
        <v>Male</v>
      </c>
    </row>
    <row r="444" spans="22:34" x14ac:dyDescent="0.3">
      <c r="V444">
        <v>22</v>
      </c>
      <c r="W444" t="str">
        <v>STEM</v>
      </c>
      <c r="X444">
        <v>10.199999999999999</v>
      </c>
      <c r="Y444">
        <v>2</v>
      </c>
      <c r="Z444">
        <v>1</v>
      </c>
      <c r="AA444">
        <v>3</v>
      </c>
      <c r="AB444">
        <v>6</v>
      </c>
      <c r="AC444">
        <v>23.5</v>
      </c>
      <c r="AD444">
        <v>100</v>
      </c>
      <c r="AE444">
        <v>4</v>
      </c>
      <c r="AF444" t="str">
        <v>No</v>
      </c>
      <c r="AG444" t="str">
        <v>Summer</v>
      </c>
      <c r="AH444" t="str">
        <v>Female</v>
      </c>
    </row>
    <row r="445" spans="22:34" x14ac:dyDescent="0.3">
      <c r="V445">
        <v>24</v>
      </c>
      <c r="W445" t="str">
        <v>Business</v>
      </c>
      <c r="X445">
        <v>5.0999999999999996</v>
      </c>
      <c r="Y445">
        <v>1</v>
      </c>
      <c r="Z445">
        <v>2</v>
      </c>
      <c r="AA445">
        <v>3</v>
      </c>
      <c r="AB445">
        <v>9</v>
      </c>
      <c r="AC445">
        <v>29.8</v>
      </c>
      <c r="AD445">
        <v>84.7</v>
      </c>
      <c r="AE445">
        <v>2</v>
      </c>
      <c r="AF445" t="str">
        <v>No</v>
      </c>
      <c r="AG445" t="str">
        <v>Spring</v>
      </c>
      <c r="AH445" t="str">
        <v>Male</v>
      </c>
    </row>
    <row r="446" spans="22:34" x14ac:dyDescent="0.3">
      <c r="V446">
        <v>21</v>
      </c>
      <c r="W446" t="str">
        <v>Business</v>
      </c>
      <c r="X446">
        <v>3.7</v>
      </c>
      <c r="Y446">
        <v>2</v>
      </c>
      <c r="Z446">
        <v>3</v>
      </c>
      <c r="AA446">
        <v>3</v>
      </c>
      <c r="AB446">
        <v>12</v>
      </c>
      <c r="AC446">
        <v>25.9</v>
      </c>
      <c r="AD446">
        <v>59.1</v>
      </c>
      <c r="AE446">
        <v>4</v>
      </c>
      <c r="AF446" t="str">
        <v>Yes</v>
      </c>
      <c r="AG446" t="str">
        <v>Spring</v>
      </c>
      <c r="AH446" t="str">
        <v>Female</v>
      </c>
    </row>
    <row r="447" spans="22:34" x14ac:dyDescent="0.3">
      <c r="V447">
        <v>18</v>
      </c>
      <c r="W447" t="str">
        <v>Health Sciences</v>
      </c>
      <c r="X447">
        <v>4.5999999999999996</v>
      </c>
      <c r="Y447">
        <v>0</v>
      </c>
      <c r="Z447">
        <v>1</v>
      </c>
      <c r="AA447">
        <v>0</v>
      </c>
      <c r="AB447">
        <v>6</v>
      </c>
      <c r="AC447">
        <v>15.5</v>
      </c>
      <c r="AD447">
        <v>100</v>
      </c>
      <c r="AE447">
        <v>4</v>
      </c>
      <c r="AF447" t="str">
        <v>No</v>
      </c>
      <c r="AG447" t="str">
        <v>Fall</v>
      </c>
      <c r="AH447" t="str">
        <v>Female</v>
      </c>
    </row>
    <row r="448" spans="22:34" x14ac:dyDescent="0.3">
      <c r="V448">
        <v>24</v>
      </c>
      <c r="W448" t="str">
        <v>Business</v>
      </c>
      <c r="X448">
        <v>1.5</v>
      </c>
      <c r="Y448">
        <v>2</v>
      </c>
      <c r="Z448">
        <v>3</v>
      </c>
      <c r="AA448">
        <v>4</v>
      </c>
      <c r="AB448">
        <v>14</v>
      </c>
      <c r="AC448">
        <v>19.899999999999999</v>
      </c>
      <c r="AD448">
        <v>80.900000000000006</v>
      </c>
      <c r="AE448">
        <v>2</v>
      </c>
      <c r="AF448" t="str">
        <v>No</v>
      </c>
      <c r="AG448" t="str">
        <v>Fall</v>
      </c>
      <c r="AH448" t="str">
        <v>Male</v>
      </c>
    </row>
    <row r="449" spans="22:34" x14ac:dyDescent="0.3">
      <c r="V449">
        <v>21</v>
      </c>
      <c r="W449" t="str">
        <v>Humanities</v>
      </c>
      <c r="X449">
        <v>5.9</v>
      </c>
      <c r="Y449">
        <v>3</v>
      </c>
      <c r="Z449">
        <v>5</v>
      </c>
      <c r="AA449">
        <v>5</v>
      </c>
      <c r="AB449">
        <v>13</v>
      </c>
      <c r="AC449">
        <v>7</v>
      </c>
      <c r="AD449">
        <v>75.7</v>
      </c>
      <c r="AE449">
        <v>2</v>
      </c>
      <c r="AF449" t="str">
        <v>No</v>
      </c>
      <c r="AG449" t="str">
        <v>Spring</v>
      </c>
      <c r="AH449" t="str">
        <v>Female</v>
      </c>
    </row>
    <row r="450" spans="22:34" x14ac:dyDescent="0.3">
      <c r="V450">
        <v>24</v>
      </c>
      <c r="W450" t="str">
        <v>Humanities</v>
      </c>
      <c r="X450">
        <v>9.6999999999999993</v>
      </c>
      <c r="Y450">
        <v>1</v>
      </c>
      <c r="Z450">
        <v>7</v>
      </c>
      <c r="AA450">
        <v>6</v>
      </c>
      <c r="AB450">
        <v>13</v>
      </c>
      <c r="AC450">
        <v>15.8</v>
      </c>
      <c r="AD450">
        <v>92.4</v>
      </c>
      <c r="AE450">
        <v>3</v>
      </c>
      <c r="AF450" t="str">
        <v>Yes</v>
      </c>
      <c r="AG450" t="str">
        <v>Spring</v>
      </c>
      <c r="AH450" t="str">
        <v>Male</v>
      </c>
    </row>
    <row r="451" spans="22:34" x14ac:dyDescent="0.3">
      <c r="V451">
        <v>22</v>
      </c>
      <c r="W451" t="str">
        <v>STEM</v>
      </c>
      <c r="X451">
        <v>10</v>
      </c>
      <c r="Y451">
        <v>0</v>
      </c>
      <c r="Z451">
        <v>0</v>
      </c>
      <c r="AA451">
        <v>0</v>
      </c>
      <c r="AB451">
        <v>12</v>
      </c>
      <c r="AC451">
        <v>13.1</v>
      </c>
      <c r="AD451">
        <v>87.2</v>
      </c>
      <c r="AE451">
        <v>1</v>
      </c>
      <c r="AF451" t="str">
        <v>Yes</v>
      </c>
      <c r="AG451" t="str">
        <v>Summer</v>
      </c>
      <c r="AH451" t="str">
        <v>Female</v>
      </c>
    </row>
    <row r="452" spans="22:34" x14ac:dyDescent="0.3">
      <c r="V452">
        <v>21</v>
      </c>
      <c r="W452" t="str">
        <v>Humanities</v>
      </c>
      <c r="X452">
        <v>1.2</v>
      </c>
      <c r="Y452">
        <v>1</v>
      </c>
      <c r="Z452">
        <v>16</v>
      </c>
      <c r="AA452">
        <v>14</v>
      </c>
      <c r="AB452">
        <v>22</v>
      </c>
      <c r="AC452">
        <v>10.7</v>
      </c>
      <c r="AD452">
        <v>93</v>
      </c>
      <c r="AE452">
        <v>5</v>
      </c>
      <c r="AF452" t="str">
        <v>Yes</v>
      </c>
      <c r="AG452" t="str">
        <v>Summer</v>
      </c>
      <c r="AH452" t="str">
        <v>Male</v>
      </c>
    </row>
    <row r="453" spans="22:34" x14ac:dyDescent="0.3">
      <c r="V453">
        <v>22</v>
      </c>
      <c r="W453" t="str">
        <v>Business</v>
      </c>
      <c r="X453">
        <v>8.4</v>
      </c>
      <c r="Y453">
        <v>0</v>
      </c>
      <c r="Z453">
        <v>5</v>
      </c>
      <c r="AA453">
        <v>7</v>
      </c>
      <c r="AB453">
        <v>8</v>
      </c>
      <c r="AC453">
        <v>12.1</v>
      </c>
      <c r="AD453">
        <v>69.2</v>
      </c>
      <c r="AE453">
        <v>4</v>
      </c>
      <c r="AF453" t="str">
        <v>No</v>
      </c>
      <c r="AG453" t="str">
        <v>Spring</v>
      </c>
      <c r="AH453" t="str">
        <v>Male</v>
      </c>
    </row>
    <row r="454" spans="22:34" x14ac:dyDescent="0.3">
      <c r="V454">
        <v>26</v>
      </c>
      <c r="W454" t="str">
        <v>Business</v>
      </c>
      <c r="X454">
        <v>1.5</v>
      </c>
      <c r="Y454">
        <v>5</v>
      </c>
      <c r="Z454">
        <v>6</v>
      </c>
      <c r="AA454">
        <v>7</v>
      </c>
      <c r="AB454">
        <v>12</v>
      </c>
      <c r="AC454">
        <v>15.8</v>
      </c>
      <c r="AD454">
        <v>87.7</v>
      </c>
      <c r="AE454">
        <v>4</v>
      </c>
      <c r="AF454" t="str">
        <v>No</v>
      </c>
      <c r="AG454" t="str">
        <v>Fall</v>
      </c>
      <c r="AH454" t="str">
        <v>Male</v>
      </c>
    </row>
    <row r="455" spans="22:34" x14ac:dyDescent="0.3">
      <c r="V455">
        <v>26</v>
      </c>
      <c r="W455" t="str">
        <v>STEM</v>
      </c>
      <c r="X455">
        <v>1</v>
      </c>
      <c r="Y455">
        <v>6</v>
      </c>
      <c r="Z455">
        <v>6</v>
      </c>
      <c r="AA455">
        <v>5</v>
      </c>
      <c r="AB455">
        <v>12</v>
      </c>
      <c r="AC455">
        <v>20.399999999999999</v>
      </c>
      <c r="AD455">
        <v>73.400000000000006</v>
      </c>
      <c r="AE455">
        <v>5</v>
      </c>
      <c r="AF455" t="str">
        <v>No</v>
      </c>
      <c r="AG455" t="str">
        <v>Spring</v>
      </c>
      <c r="AH455" t="str">
        <v>Female</v>
      </c>
    </row>
    <row r="456" spans="22:34" x14ac:dyDescent="0.3">
      <c r="V456">
        <v>22</v>
      </c>
      <c r="W456" t="str">
        <v>Health Sciences</v>
      </c>
      <c r="X456">
        <v>8.6</v>
      </c>
      <c r="Y456">
        <v>0</v>
      </c>
      <c r="Z456">
        <v>2</v>
      </c>
      <c r="AA456">
        <v>2</v>
      </c>
      <c r="AB456">
        <v>6</v>
      </c>
      <c r="AC456">
        <v>20.9</v>
      </c>
      <c r="AD456">
        <v>94.6</v>
      </c>
      <c r="AE456">
        <v>4</v>
      </c>
      <c r="AF456" t="str">
        <v>No</v>
      </c>
      <c r="AG456" t="str">
        <v>Fall</v>
      </c>
      <c r="AH456" t="str">
        <v>Female</v>
      </c>
    </row>
    <row r="457" spans="22:34" x14ac:dyDescent="0.3">
      <c r="V457">
        <v>22</v>
      </c>
      <c r="W457" t="str">
        <v>Arts</v>
      </c>
      <c r="X457">
        <v>3</v>
      </c>
      <c r="Y457">
        <v>4</v>
      </c>
      <c r="Z457">
        <v>3</v>
      </c>
      <c r="AA457">
        <v>2</v>
      </c>
      <c r="AB457">
        <v>9</v>
      </c>
      <c r="AC457">
        <v>2.9</v>
      </c>
      <c r="AD457">
        <v>75.7</v>
      </c>
      <c r="AE457">
        <v>4</v>
      </c>
      <c r="AF457" t="str">
        <v>Yes</v>
      </c>
      <c r="AG457" t="str">
        <v>Spring</v>
      </c>
      <c r="AH457" t="str">
        <v>Female</v>
      </c>
    </row>
    <row r="458" spans="22:34" x14ac:dyDescent="0.3">
      <c r="V458">
        <v>24</v>
      </c>
      <c r="W458" t="str">
        <v>STEM</v>
      </c>
      <c r="X458">
        <v>7.9</v>
      </c>
      <c r="Y458">
        <v>4</v>
      </c>
      <c r="Z458">
        <v>3</v>
      </c>
      <c r="AA458">
        <v>3</v>
      </c>
      <c r="AB458">
        <v>8</v>
      </c>
      <c r="AC458">
        <v>17.899999999999999</v>
      </c>
      <c r="AD458">
        <v>86.5</v>
      </c>
      <c r="AE458">
        <v>3</v>
      </c>
      <c r="AF458" t="str">
        <v>Yes</v>
      </c>
      <c r="AG458" t="str">
        <v>Spring</v>
      </c>
      <c r="AH458" t="str">
        <v>Male</v>
      </c>
    </row>
    <row r="459" spans="22:34" x14ac:dyDescent="0.3">
      <c r="V459">
        <v>20</v>
      </c>
      <c r="W459" t="str">
        <v>Humanities</v>
      </c>
      <c r="X459">
        <v>7.5</v>
      </c>
      <c r="Y459">
        <v>7</v>
      </c>
      <c r="Z459">
        <v>1</v>
      </c>
      <c r="AA459">
        <v>3</v>
      </c>
      <c r="AB459">
        <v>9</v>
      </c>
      <c r="AC459">
        <v>6.5</v>
      </c>
      <c r="AD459">
        <v>79</v>
      </c>
      <c r="AE459">
        <v>3</v>
      </c>
      <c r="AF459" t="str">
        <v>No</v>
      </c>
      <c r="AG459" t="str">
        <v>Summer</v>
      </c>
      <c r="AH459" t="str">
        <v>Prefer not to say</v>
      </c>
    </row>
    <row r="460" spans="22:34" x14ac:dyDescent="0.3">
      <c r="V460">
        <v>22</v>
      </c>
      <c r="W460" t="str">
        <v>Social Sciences</v>
      </c>
      <c r="X460">
        <v>6.9</v>
      </c>
      <c r="Y460">
        <v>2</v>
      </c>
      <c r="Z460">
        <v>0</v>
      </c>
      <c r="AA460">
        <v>0</v>
      </c>
      <c r="AB460">
        <v>12</v>
      </c>
      <c r="AC460">
        <v>16.7</v>
      </c>
      <c r="AD460">
        <v>73.599999999999994</v>
      </c>
      <c r="AE460">
        <v>3</v>
      </c>
      <c r="AF460" t="str">
        <v>No</v>
      </c>
      <c r="AG460" t="str">
        <v>Fall</v>
      </c>
      <c r="AH460" t="str">
        <v>Male</v>
      </c>
    </row>
    <row r="461" spans="22:34" x14ac:dyDescent="0.3">
      <c r="V461">
        <v>21</v>
      </c>
      <c r="W461" t="str">
        <v>STEM</v>
      </c>
      <c r="X461">
        <v>4.5999999999999996</v>
      </c>
      <c r="Y461">
        <v>2</v>
      </c>
      <c r="Z461">
        <v>3</v>
      </c>
      <c r="AA461">
        <v>4</v>
      </c>
      <c r="AB461">
        <v>9</v>
      </c>
      <c r="AC461">
        <v>24.2</v>
      </c>
      <c r="AD461">
        <v>66</v>
      </c>
      <c r="AE461">
        <v>3</v>
      </c>
      <c r="AF461" t="str">
        <v>No</v>
      </c>
      <c r="AG461" t="str">
        <v>Fall</v>
      </c>
      <c r="AH461" t="str">
        <v>Male</v>
      </c>
    </row>
    <row r="462" spans="22:34" x14ac:dyDescent="0.3">
      <c r="V462">
        <v>22</v>
      </c>
      <c r="W462" t="str">
        <v>Health Sciences</v>
      </c>
      <c r="X462">
        <v>1.7</v>
      </c>
      <c r="Y462">
        <v>2</v>
      </c>
      <c r="Z462">
        <v>2</v>
      </c>
      <c r="AA462">
        <v>1</v>
      </c>
      <c r="AB462">
        <v>3</v>
      </c>
      <c r="AC462">
        <v>20.7</v>
      </c>
      <c r="AD462">
        <v>92.4</v>
      </c>
      <c r="AE462">
        <v>3</v>
      </c>
      <c r="AF462" t="str">
        <v>Yes</v>
      </c>
      <c r="AG462" t="str">
        <v>Summer</v>
      </c>
      <c r="AH462" t="str">
        <v>Female</v>
      </c>
    </row>
    <row r="463" spans="22:34" x14ac:dyDescent="0.3">
      <c r="V463">
        <v>20</v>
      </c>
      <c r="W463" t="str">
        <v>Social Sciences</v>
      </c>
      <c r="X463">
        <v>3.6</v>
      </c>
      <c r="Y463">
        <v>5</v>
      </c>
      <c r="Z463">
        <v>6</v>
      </c>
      <c r="AA463">
        <v>3</v>
      </c>
      <c r="AB463">
        <v>16</v>
      </c>
      <c r="AC463">
        <v>14.1</v>
      </c>
      <c r="AD463">
        <v>100</v>
      </c>
      <c r="AE463">
        <v>2</v>
      </c>
      <c r="AF463" t="str">
        <v>No</v>
      </c>
      <c r="AG463" t="str">
        <v>Spring</v>
      </c>
      <c r="AH463" t="str">
        <v>Male</v>
      </c>
    </row>
    <row r="464" spans="22:34" x14ac:dyDescent="0.3">
      <c r="V464">
        <v>18</v>
      </c>
      <c r="W464" t="str">
        <v>Arts</v>
      </c>
      <c r="X464">
        <v>10.1</v>
      </c>
      <c r="Y464">
        <v>4</v>
      </c>
      <c r="Z464">
        <v>10</v>
      </c>
      <c r="AA464">
        <v>10</v>
      </c>
      <c r="AB464">
        <v>16</v>
      </c>
      <c r="AC464">
        <v>18.2</v>
      </c>
      <c r="AD464">
        <v>66</v>
      </c>
      <c r="AE464">
        <v>3</v>
      </c>
      <c r="AF464" t="str">
        <v>No</v>
      </c>
      <c r="AG464" t="str">
        <v>Summer</v>
      </c>
      <c r="AH464" t="str">
        <v>Male</v>
      </c>
    </row>
    <row r="465" spans="22:34" x14ac:dyDescent="0.3">
      <c r="V465">
        <v>17</v>
      </c>
      <c r="W465" t="str">
        <v>Law</v>
      </c>
      <c r="X465">
        <v>8</v>
      </c>
      <c r="Y465">
        <v>3</v>
      </c>
      <c r="Z465">
        <v>5</v>
      </c>
      <c r="AA465">
        <v>4</v>
      </c>
      <c r="AB465">
        <v>10</v>
      </c>
      <c r="AC465">
        <v>13.7</v>
      </c>
      <c r="AD465">
        <v>84.8</v>
      </c>
      <c r="AE465">
        <v>3</v>
      </c>
      <c r="AF465" t="str">
        <v>Yes</v>
      </c>
      <c r="AG465" t="str">
        <v>Summer</v>
      </c>
      <c r="AH465" t="str">
        <v>Female</v>
      </c>
    </row>
    <row r="466" spans="22:34" x14ac:dyDescent="0.3">
      <c r="V466">
        <v>19</v>
      </c>
      <c r="W466" t="str">
        <v>STEM</v>
      </c>
      <c r="X466">
        <v>3.7</v>
      </c>
      <c r="Y466">
        <v>1</v>
      </c>
      <c r="Z466">
        <v>3</v>
      </c>
      <c r="AA466">
        <v>2</v>
      </c>
      <c r="AB466">
        <v>7</v>
      </c>
      <c r="AC466">
        <v>13.8</v>
      </c>
      <c r="AD466">
        <v>87.6</v>
      </c>
      <c r="AE466">
        <v>3</v>
      </c>
      <c r="AF466" t="str">
        <v>Yes</v>
      </c>
      <c r="AG466" t="str">
        <v>Spring</v>
      </c>
      <c r="AH466" t="str">
        <v>Female</v>
      </c>
    </row>
    <row r="467" spans="22:34" x14ac:dyDescent="0.3">
      <c r="V467">
        <v>21</v>
      </c>
      <c r="W467" t="str">
        <v>Business</v>
      </c>
      <c r="X467">
        <v>3.7</v>
      </c>
      <c r="Y467">
        <v>4</v>
      </c>
      <c r="Z467">
        <v>1</v>
      </c>
      <c r="AA467">
        <v>0</v>
      </c>
      <c r="AB467">
        <v>4</v>
      </c>
      <c r="AC467">
        <v>21</v>
      </c>
      <c r="AD467">
        <v>82.1</v>
      </c>
      <c r="AE467">
        <v>2</v>
      </c>
      <c r="AF467" t="str">
        <v>No</v>
      </c>
      <c r="AG467" t="str">
        <v>Spring</v>
      </c>
      <c r="AH467" t="str">
        <v>Female</v>
      </c>
    </row>
    <row r="468" spans="22:34" x14ac:dyDescent="0.3">
      <c r="V468">
        <v>21</v>
      </c>
      <c r="W468" t="str">
        <v>Humanities</v>
      </c>
      <c r="X468">
        <v>6.5</v>
      </c>
      <c r="Y468">
        <v>5</v>
      </c>
      <c r="Z468">
        <v>2</v>
      </c>
      <c r="AA468">
        <v>4</v>
      </c>
      <c r="AB468">
        <v>13</v>
      </c>
      <c r="AC468">
        <v>20.8</v>
      </c>
      <c r="AD468">
        <v>64.400000000000006</v>
      </c>
      <c r="AE468">
        <v>3</v>
      </c>
      <c r="AF468" t="str">
        <v>No</v>
      </c>
      <c r="AG468" t="str">
        <v>Spring</v>
      </c>
      <c r="AH468" t="str">
        <v>Male</v>
      </c>
    </row>
    <row r="469" spans="22:34" x14ac:dyDescent="0.3">
      <c r="V469">
        <v>26</v>
      </c>
      <c r="W469" t="str">
        <v>STEM</v>
      </c>
      <c r="X469">
        <v>4.8</v>
      </c>
      <c r="Y469">
        <v>2</v>
      </c>
      <c r="Z469">
        <v>8</v>
      </c>
      <c r="AA469">
        <v>10</v>
      </c>
      <c r="AB469">
        <v>19</v>
      </c>
      <c r="AC469">
        <v>27.3</v>
      </c>
      <c r="AD469">
        <v>58.6</v>
      </c>
      <c r="AE469">
        <v>0</v>
      </c>
      <c r="AF469" t="str">
        <v>No</v>
      </c>
      <c r="AG469" t="str">
        <v>Summer</v>
      </c>
      <c r="AH469" t="str">
        <v>Male</v>
      </c>
    </row>
    <row r="470" spans="22:34" x14ac:dyDescent="0.3">
      <c r="V470">
        <v>24</v>
      </c>
      <c r="W470" t="str">
        <v>Business</v>
      </c>
      <c r="X470">
        <v>3.8</v>
      </c>
      <c r="Y470">
        <v>3</v>
      </c>
      <c r="Z470">
        <v>11</v>
      </c>
      <c r="AA470">
        <v>8</v>
      </c>
      <c r="AB470">
        <v>17</v>
      </c>
      <c r="AC470">
        <v>9.9</v>
      </c>
      <c r="AD470">
        <v>72.8</v>
      </c>
      <c r="AE470">
        <v>4</v>
      </c>
      <c r="AF470" t="str">
        <v>No</v>
      </c>
      <c r="AG470" t="str">
        <v>Summer</v>
      </c>
      <c r="AH470" t="str">
        <v>Female</v>
      </c>
    </row>
    <row r="471" spans="22:34" x14ac:dyDescent="0.3">
      <c r="V471">
        <v>19</v>
      </c>
      <c r="W471" t="str">
        <v>Law</v>
      </c>
      <c r="X471">
        <v>6.1</v>
      </c>
      <c r="Y471">
        <v>2</v>
      </c>
      <c r="Z471">
        <v>3</v>
      </c>
      <c r="AA471">
        <v>4</v>
      </c>
      <c r="AB471">
        <v>8</v>
      </c>
      <c r="AC471">
        <v>23.6</v>
      </c>
      <c r="AD471">
        <v>47.3</v>
      </c>
      <c r="AE471">
        <v>4</v>
      </c>
      <c r="AF471" t="str">
        <v>No</v>
      </c>
      <c r="AG471" t="str">
        <v>Fall</v>
      </c>
      <c r="AH471" t="str">
        <v>Female</v>
      </c>
    </row>
    <row r="472" spans="22:34" x14ac:dyDescent="0.3">
      <c r="V472">
        <v>22</v>
      </c>
      <c r="W472" t="str">
        <v>STEM</v>
      </c>
      <c r="X472">
        <v>6</v>
      </c>
      <c r="Y472">
        <v>3</v>
      </c>
      <c r="Z472">
        <v>2</v>
      </c>
      <c r="AA472">
        <v>5</v>
      </c>
      <c r="AB472">
        <v>10</v>
      </c>
      <c r="AC472">
        <v>18.899999999999999</v>
      </c>
      <c r="AD472">
        <v>94.8</v>
      </c>
      <c r="AE472">
        <v>2</v>
      </c>
      <c r="AF472" t="str">
        <v>Yes</v>
      </c>
      <c r="AG472" t="str">
        <v>Spring</v>
      </c>
      <c r="AH472" t="str">
        <v>Female</v>
      </c>
    </row>
    <row r="473" spans="22:34" x14ac:dyDescent="0.3">
      <c r="V473">
        <v>21</v>
      </c>
      <c r="W473" t="str">
        <v>Business</v>
      </c>
      <c r="X473">
        <v>2.7</v>
      </c>
      <c r="Y473">
        <v>3</v>
      </c>
      <c r="Z473">
        <v>16</v>
      </c>
      <c r="AA473">
        <v>9</v>
      </c>
      <c r="AB473">
        <v>20</v>
      </c>
      <c r="AC473">
        <v>21.2</v>
      </c>
      <c r="AD473">
        <v>82.4</v>
      </c>
      <c r="AE473">
        <v>1</v>
      </c>
      <c r="AF473" t="str">
        <v>No</v>
      </c>
      <c r="AG473" t="str">
        <v>Fall</v>
      </c>
      <c r="AH473" t="str">
        <v>Female</v>
      </c>
    </row>
    <row r="474" spans="22:34" x14ac:dyDescent="0.3">
      <c r="V474">
        <v>21</v>
      </c>
      <c r="W474" t="str">
        <v>Health Sciences</v>
      </c>
      <c r="X474">
        <v>5.5</v>
      </c>
      <c r="Y474">
        <v>4</v>
      </c>
      <c r="Z474">
        <v>9</v>
      </c>
      <c r="AA474">
        <v>12</v>
      </c>
      <c r="AB474">
        <v>16</v>
      </c>
      <c r="AC474">
        <v>13.6</v>
      </c>
      <c r="AD474">
        <v>74.2</v>
      </c>
      <c r="AE474">
        <v>3</v>
      </c>
      <c r="AF474" t="str">
        <v>No</v>
      </c>
      <c r="AG474" t="str">
        <v>Spring</v>
      </c>
      <c r="AH474" t="str">
        <v>Female</v>
      </c>
    </row>
    <row r="475" spans="22:34" x14ac:dyDescent="0.3">
      <c r="V475">
        <v>22</v>
      </c>
      <c r="W475" t="str">
        <v>Business</v>
      </c>
      <c r="X475">
        <v>5.8</v>
      </c>
      <c r="Y475">
        <v>6</v>
      </c>
      <c r="Z475">
        <v>2</v>
      </c>
      <c r="AA475">
        <v>8</v>
      </c>
      <c r="AB475">
        <v>11</v>
      </c>
      <c r="AC475">
        <v>14.9</v>
      </c>
      <c r="AD475">
        <v>49.6</v>
      </c>
      <c r="AE475">
        <v>2</v>
      </c>
      <c r="AF475" t="str">
        <v>No</v>
      </c>
      <c r="AG475" t="str">
        <v>Spring</v>
      </c>
      <c r="AH475" t="str">
        <v>Female</v>
      </c>
    </row>
    <row r="476" spans="22:34" x14ac:dyDescent="0.3">
      <c r="V476">
        <v>23</v>
      </c>
      <c r="W476" t="str">
        <v>Business</v>
      </c>
      <c r="X476">
        <v>4.4000000000000004</v>
      </c>
      <c r="Y476">
        <v>2</v>
      </c>
      <c r="Z476">
        <v>4</v>
      </c>
      <c r="AA476">
        <v>0</v>
      </c>
      <c r="AB476">
        <v>6</v>
      </c>
      <c r="AC476">
        <v>1</v>
      </c>
      <c r="AD476">
        <v>51.2</v>
      </c>
      <c r="AE476">
        <v>3</v>
      </c>
      <c r="AF476" t="str">
        <v>No</v>
      </c>
      <c r="AG476" t="str">
        <v>Summer</v>
      </c>
      <c r="AH476" t="str">
        <v>Male</v>
      </c>
    </row>
    <row r="477" spans="22:34" x14ac:dyDescent="0.3">
      <c r="V477">
        <v>21</v>
      </c>
      <c r="W477" t="str">
        <v>Law</v>
      </c>
      <c r="X477">
        <v>2.5</v>
      </c>
      <c r="Y477">
        <v>2</v>
      </c>
      <c r="Z477">
        <v>7</v>
      </c>
      <c r="AA477">
        <v>6</v>
      </c>
      <c r="AB477">
        <v>13</v>
      </c>
      <c r="AC477">
        <v>18.399999999999999</v>
      </c>
      <c r="AD477">
        <v>79</v>
      </c>
      <c r="AE477">
        <v>5</v>
      </c>
      <c r="AF477" t="str">
        <v>No</v>
      </c>
      <c r="AG477" t="str">
        <v>Spring</v>
      </c>
      <c r="AH477" t="str">
        <v>Non-binary</v>
      </c>
    </row>
    <row r="478" spans="22:34" x14ac:dyDescent="0.3">
      <c r="V478">
        <v>24</v>
      </c>
      <c r="W478" t="str">
        <v>Business</v>
      </c>
      <c r="X478">
        <v>3.5</v>
      </c>
      <c r="Y478">
        <v>2</v>
      </c>
      <c r="Z478">
        <v>4</v>
      </c>
      <c r="AA478">
        <v>3</v>
      </c>
      <c r="AB478">
        <v>10</v>
      </c>
      <c r="AC478">
        <v>19.8</v>
      </c>
      <c r="AD478">
        <v>100</v>
      </c>
      <c r="AE478">
        <v>2</v>
      </c>
      <c r="AF478" t="str">
        <v>Yes</v>
      </c>
      <c r="AG478" t="str">
        <v>Fall</v>
      </c>
      <c r="AH478" t="str">
        <v>Male</v>
      </c>
    </row>
    <row r="479" spans="22:34" x14ac:dyDescent="0.3">
      <c r="V479">
        <v>19</v>
      </c>
      <c r="W479" t="str">
        <v>STEM</v>
      </c>
      <c r="X479">
        <v>2.1</v>
      </c>
      <c r="Y479">
        <v>1</v>
      </c>
      <c r="Z479">
        <v>5</v>
      </c>
      <c r="AA479">
        <v>5</v>
      </c>
      <c r="AB479">
        <v>12</v>
      </c>
      <c r="AC479">
        <v>16.5</v>
      </c>
      <c r="AD479">
        <v>71.3</v>
      </c>
      <c r="AE479">
        <v>3</v>
      </c>
      <c r="AF479" t="str">
        <v>No</v>
      </c>
      <c r="AG479" t="str">
        <v>Fall</v>
      </c>
      <c r="AH479" t="str">
        <v>Male</v>
      </c>
    </row>
    <row r="480" spans="22:34" x14ac:dyDescent="0.3">
      <c r="V480">
        <v>22</v>
      </c>
      <c r="W480" t="str">
        <v>STEM</v>
      </c>
      <c r="X480">
        <v>5.6</v>
      </c>
      <c r="Y480">
        <v>2</v>
      </c>
      <c r="Z480">
        <v>4</v>
      </c>
      <c r="AA480">
        <v>4</v>
      </c>
      <c r="AB480">
        <v>8</v>
      </c>
      <c r="AC480">
        <v>33.799999999999997</v>
      </c>
      <c r="AD480">
        <v>94.7</v>
      </c>
      <c r="AE480">
        <v>4</v>
      </c>
      <c r="AF480" t="str">
        <v>No</v>
      </c>
      <c r="AG480" t="str">
        <v>Fall</v>
      </c>
      <c r="AH480" t="str">
        <v>Female</v>
      </c>
    </row>
    <row r="481" spans="22:34" x14ac:dyDescent="0.3">
      <c r="V481">
        <v>27</v>
      </c>
      <c r="W481" t="str">
        <v>Arts</v>
      </c>
      <c r="X481">
        <v>1.2</v>
      </c>
      <c r="Y481">
        <v>0</v>
      </c>
      <c r="Z481">
        <v>2</v>
      </c>
      <c r="AA481">
        <v>5</v>
      </c>
      <c r="AB481">
        <v>11</v>
      </c>
      <c r="AC481">
        <v>6.9</v>
      </c>
      <c r="AD481">
        <v>75.400000000000006</v>
      </c>
      <c r="AE481">
        <v>3</v>
      </c>
      <c r="AF481" t="str">
        <v>Yes</v>
      </c>
      <c r="AG481" t="str">
        <v>Fall</v>
      </c>
      <c r="AH481" t="str">
        <v>Female</v>
      </c>
    </row>
    <row r="482" spans="22:34" x14ac:dyDescent="0.3">
      <c r="V482">
        <v>22</v>
      </c>
      <c r="W482" t="str">
        <v>STEM</v>
      </c>
      <c r="X482">
        <v>10.7</v>
      </c>
      <c r="Y482">
        <v>2</v>
      </c>
      <c r="Z482">
        <v>0</v>
      </c>
      <c r="AA482">
        <v>2</v>
      </c>
      <c r="AB482">
        <v>3</v>
      </c>
      <c r="AC482">
        <v>15.7</v>
      </c>
      <c r="AD482">
        <v>81.400000000000006</v>
      </c>
      <c r="AE482">
        <v>1</v>
      </c>
      <c r="AF482" t="str">
        <v>Yes</v>
      </c>
      <c r="AG482" t="str">
        <v>Summer</v>
      </c>
      <c r="AH482" t="str">
        <v>Male</v>
      </c>
    </row>
    <row r="483" spans="22:34" x14ac:dyDescent="0.3">
      <c r="V483">
        <v>25</v>
      </c>
      <c r="W483" t="str">
        <v>Business</v>
      </c>
      <c r="X483">
        <v>9.4</v>
      </c>
      <c r="Y483">
        <v>1</v>
      </c>
      <c r="Z483">
        <v>9</v>
      </c>
      <c r="AA483">
        <v>6</v>
      </c>
      <c r="AB483">
        <v>12</v>
      </c>
      <c r="AC483">
        <v>10.5</v>
      </c>
      <c r="AD483">
        <v>91.5</v>
      </c>
      <c r="AE483">
        <v>2</v>
      </c>
      <c r="AF483" t="str">
        <v>No</v>
      </c>
      <c r="AG483" t="str">
        <v>Fall</v>
      </c>
      <c r="AH483" t="str">
        <v>Prefer not to say</v>
      </c>
    </row>
    <row r="484" spans="22:34" x14ac:dyDescent="0.3">
      <c r="V484">
        <v>22</v>
      </c>
      <c r="W484" t="str">
        <v>STEM</v>
      </c>
      <c r="X484">
        <v>5.9</v>
      </c>
      <c r="Y484">
        <v>2</v>
      </c>
      <c r="Z484">
        <v>6</v>
      </c>
      <c r="AA484">
        <v>6</v>
      </c>
      <c r="AB484">
        <v>10</v>
      </c>
      <c r="AC484">
        <v>17.100000000000001</v>
      </c>
      <c r="AD484">
        <v>69.7</v>
      </c>
      <c r="AE484">
        <v>5</v>
      </c>
      <c r="AF484" t="str">
        <v>Yes</v>
      </c>
      <c r="AG484" t="str">
        <v>Fall</v>
      </c>
      <c r="AH484" t="str">
        <v>Female</v>
      </c>
    </row>
    <row r="485" spans="22:34" x14ac:dyDescent="0.3">
      <c r="V485">
        <v>23</v>
      </c>
      <c r="W485" t="str">
        <v>Business</v>
      </c>
      <c r="X485">
        <v>7.7</v>
      </c>
      <c r="Y485">
        <v>4</v>
      </c>
      <c r="Z485">
        <v>12</v>
      </c>
      <c r="AA485">
        <v>11</v>
      </c>
      <c r="AB485">
        <v>15</v>
      </c>
      <c r="AC485">
        <v>23.2</v>
      </c>
      <c r="AD485">
        <v>68.900000000000006</v>
      </c>
      <c r="AE485">
        <v>2</v>
      </c>
      <c r="AF485" t="str">
        <v>Yes</v>
      </c>
      <c r="AG485" t="str">
        <v>Spring</v>
      </c>
      <c r="AH485" t="str">
        <v>Female</v>
      </c>
    </row>
    <row r="486" spans="22:34" x14ac:dyDescent="0.3">
      <c r="V486">
        <v>21</v>
      </c>
      <c r="W486" t="str">
        <v>Arts</v>
      </c>
      <c r="X486">
        <v>7.4</v>
      </c>
      <c r="Y486">
        <v>1</v>
      </c>
      <c r="Z486">
        <v>2</v>
      </c>
      <c r="AA486">
        <v>1</v>
      </c>
      <c r="AB486">
        <v>10</v>
      </c>
      <c r="AC486">
        <v>28.5</v>
      </c>
      <c r="AD486">
        <v>99.1</v>
      </c>
      <c r="AE486">
        <v>4</v>
      </c>
      <c r="AF486" t="str">
        <v>No</v>
      </c>
      <c r="AG486" t="str">
        <v>Fall</v>
      </c>
      <c r="AH486" t="str">
        <v>Male</v>
      </c>
    </row>
    <row r="487" spans="22:34" x14ac:dyDescent="0.3">
      <c r="V487">
        <v>21</v>
      </c>
      <c r="W487" t="str">
        <v>Business</v>
      </c>
      <c r="X487">
        <v>4.9000000000000004</v>
      </c>
      <c r="Y487">
        <v>3</v>
      </c>
      <c r="Z487">
        <v>2</v>
      </c>
      <c r="AA487">
        <v>0</v>
      </c>
      <c r="AB487">
        <v>3</v>
      </c>
      <c r="AC487">
        <v>13</v>
      </c>
      <c r="AD487">
        <v>76.599999999999994</v>
      </c>
      <c r="AE487">
        <v>4</v>
      </c>
      <c r="AF487" t="str">
        <v>No</v>
      </c>
      <c r="AG487" t="str">
        <v>Fall</v>
      </c>
      <c r="AH487" t="str">
        <v>Female</v>
      </c>
    </row>
    <row r="488" spans="22:34" x14ac:dyDescent="0.3">
      <c r="V488">
        <v>20</v>
      </c>
      <c r="W488" t="str">
        <v>Law</v>
      </c>
      <c r="X488">
        <v>3.9</v>
      </c>
      <c r="Y488">
        <v>5</v>
      </c>
      <c r="Z488">
        <v>16</v>
      </c>
      <c r="AA488">
        <v>16</v>
      </c>
      <c r="AB488">
        <v>21</v>
      </c>
      <c r="AC488">
        <v>10.199999999999999</v>
      </c>
      <c r="AD488">
        <v>92.1</v>
      </c>
      <c r="AE488">
        <v>3</v>
      </c>
      <c r="AF488" t="str">
        <v>No</v>
      </c>
      <c r="AG488" t="str">
        <v>Summer</v>
      </c>
      <c r="AH488" t="str">
        <v>Female</v>
      </c>
    </row>
    <row r="489" spans="22:34" x14ac:dyDescent="0.3">
      <c r="V489">
        <v>22</v>
      </c>
      <c r="W489" t="str">
        <v>STEM</v>
      </c>
      <c r="X489">
        <v>3.6</v>
      </c>
      <c r="Y489">
        <v>3</v>
      </c>
      <c r="Z489">
        <v>8</v>
      </c>
      <c r="AA489">
        <v>6</v>
      </c>
      <c r="AB489">
        <v>17</v>
      </c>
      <c r="AC489">
        <v>11.1</v>
      </c>
      <c r="AD489">
        <v>62.9</v>
      </c>
      <c r="AE489">
        <v>4</v>
      </c>
      <c r="AF489" t="str">
        <v>No</v>
      </c>
      <c r="AG489" t="str">
        <v>Fall</v>
      </c>
      <c r="AH489" t="str">
        <v>Male</v>
      </c>
    </row>
    <row r="490" spans="22:34" x14ac:dyDescent="0.3">
      <c r="V490">
        <v>20</v>
      </c>
      <c r="W490" t="str">
        <v>Business</v>
      </c>
      <c r="X490">
        <v>11</v>
      </c>
      <c r="Y490">
        <v>1</v>
      </c>
      <c r="Z490">
        <v>0</v>
      </c>
      <c r="AA490">
        <v>2</v>
      </c>
      <c r="AB490">
        <v>4</v>
      </c>
      <c r="AC490">
        <v>26.3</v>
      </c>
      <c r="AD490">
        <v>100</v>
      </c>
      <c r="AE490">
        <v>2</v>
      </c>
      <c r="AF490" t="str">
        <v>No</v>
      </c>
      <c r="AG490" t="str">
        <v>Fall</v>
      </c>
      <c r="AH490" t="str">
        <v>Female</v>
      </c>
    </row>
    <row r="491" spans="22:34" x14ac:dyDescent="0.3">
      <c r="V491">
        <v>23</v>
      </c>
      <c r="W491" t="str">
        <v>Health Sciences</v>
      </c>
      <c r="X491">
        <v>2.5</v>
      </c>
      <c r="Y491">
        <v>2</v>
      </c>
      <c r="Z491">
        <v>25</v>
      </c>
      <c r="AA491">
        <v>17</v>
      </c>
      <c r="AB491">
        <v>29</v>
      </c>
      <c r="AC491">
        <v>25.6</v>
      </c>
      <c r="AD491">
        <v>79.900000000000006</v>
      </c>
      <c r="AE491">
        <v>3</v>
      </c>
      <c r="AF491" t="str">
        <v>No</v>
      </c>
      <c r="AG491" t="str">
        <v>Spring</v>
      </c>
      <c r="AH491" t="str">
        <v>Female</v>
      </c>
    </row>
    <row r="492" spans="22:34" x14ac:dyDescent="0.3">
      <c r="V492">
        <v>24</v>
      </c>
      <c r="W492" t="str">
        <v>Business</v>
      </c>
      <c r="X492">
        <v>2.5</v>
      </c>
      <c r="Y492">
        <v>3</v>
      </c>
      <c r="Z492">
        <v>11</v>
      </c>
      <c r="AA492">
        <v>10</v>
      </c>
      <c r="AB492">
        <v>14</v>
      </c>
      <c r="AC492">
        <v>16.399999999999999</v>
      </c>
      <c r="AD492">
        <v>83.9</v>
      </c>
      <c r="AE492">
        <v>3</v>
      </c>
      <c r="AF492" t="str">
        <v>Yes</v>
      </c>
      <c r="AG492" t="str">
        <v>Fall</v>
      </c>
      <c r="AH492" t="str">
        <v>Male</v>
      </c>
    </row>
    <row r="493" spans="22:34" x14ac:dyDescent="0.3">
      <c r="V493">
        <v>22</v>
      </c>
      <c r="W493" t="str">
        <v>STEM</v>
      </c>
      <c r="X493">
        <v>8.1</v>
      </c>
      <c r="Y493">
        <v>3</v>
      </c>
      <c r="Z493">
        <v>5</v>
      </c>
      <c r="AA493">
        <v>9</v>
      </c>
      <c r="AB493">
        <v>15</v>
      </c>
      <c r="AC493">
        <v>10.9</v>
      </c>
      <c r="AD493">
        <v>77.400000000000006</v>
      </c>
      <c r="AE493">
        <v>5</v>
      </c>
      <c r="AF493" t="str">
        <v>No</v>
      </c>
      <c r="AG493" t="str">
        <v>Fall</v>
      </c>
      <c r="AH493" t="str">
        <v>Female</v>
      </c>
    </row>
    <row r="494" spans="22:34" x14ac:dyDescent="0.3">
      <c r="V494">
        <v>21</v>
      </c>
      <c r="W494" t="str">
        <v>Health Sciences</v>
      </c>
      <c r="X494">
        <v>7.7</v>
      </c>
      <c r="Y494">
        <v>1</v>
      </c>
      <c r="Z494">
        <v>6</v>
      </c>
      <c r="AA494">
        <v>7</v>
      </c>
      <c r="AB494">
        <v>15</v>
      </c>
      <c r="AC494">
        <v>8.6</v>
      </c>
      <c r="AD494">
        <v>73.099999999999994</v>
      </c>
      <c r="AE494">
        <v>2</v>
      </c>
      <c r="AF494" t="str">
        <v>Yes</v>
      </c>
      <c r="AG494" t="str">
        <v>Fall</v>
      </c>
      <c r="AH494" t="str">
        <v>Female</v>
      </c>
    </row>
    <row r="495" spans="22:34" x14ac:dyDescent="0.3">
      <c r="V495">
        <v>22</v>
      </c>
      <c r="W495" t="str">
        <v>Business</v>
      </c>
      <c r="X495">
        <v>3.7</v>
      </c>
      <c r="Y495">
        <v>2</v>
      </c>
      <c r="Z495">
        <v>3</v>
      </c>
      <c r="AA495">
        <v>1</v>
      </c>
      <c r="AB495">
        <v>10</v>
      </c>
      <c r="AC495">
        <v>16.7</v>
      </c>
      <c r="AD495">
        <v>80.400000000000006</v>
      </c>
      <c r="AE495">
        <v>2</v>
      </c>
      <c r="AF495" t="str">
        <v>No</v>
      </c>
      <c r="AG495" t="str">
        <v>Fall</v>
      </c>
      <c r="AH495" t="str">
        <v>Female</v>
      </c>
    </row>
    <row r="496" spans="22:34" x14ac:dyDescent="0.3">
      <c r="V496">
        <v>21</v>
      </c>
      <c r="W496" t="str">
        <v>Humanities</v>
      </c>
      <c r="X496">
        <v>6.3</v>
      </c>
      <c r="Y496">
        <v>3</v>
      </c>
      <c r="Z496">
        <v>2</v>
      </c>
      <c r="AA496">
        <v>1</v>
      </c>
      <c r="AB496">
        <v>8</v>
      </c>
      <c r="AC496">
        <v>22.3</v>
      </c>
      <c r="AD496">
        <v>73.599999999999994</v>
      </c>
      <c r="AE496">
        <v>5</v>
      </c>
      <c r="AF496" t="str">
        <v>No</v>
      </c>
      <c r="AG496" t="str">
        <v>Summer</v>
      </c>
      <c r="AH496" t="str">
        <v>Female</v>
      </c>
    </row>
    <row r="497" spans="22:34" x14ac:dyDescent="0.3">
      <c r="V497">
        <v>23</v>
      </c>
      <c r="W497" t="str">
        <v>Law</v>
      </c>
      <c r="X497">
        <v>6.8</v>
      </c>
      <c r="Y497">
        <v>2</v>
      </c>
      <c r="Z497">
        <v>4</v>
      </c>
      <c r="AA497">
        <v>4</v>
      </c>
      <c r="AB497">
        <v>10</v>
      </c>
      <c r="AC497">
        <v>5.9</v>
      </c>
      <c r="AD497">
        <v>92</v>
      </c>
      <c r="AE497">
        <v>2</v>
      </c>
      <c r="AF497" t="str">
        <v>No</v>
      </c>
      <c r="AG497" t="str">
        <v>Spring</v>
      </c>
      <c r="AH497" t="str">
        <v>Female</v>
      </c>
    </row>
    <row r="498" spans="22:34" x14ac:dyDescent="0.3">
      <c r="V498">
        <v>18</v>
      </c>
      <c r="W498" t="str">
        <v>STEM</v>
      </c>
      <c r="X498">
        <v>1.6</v>
      </c>
      <c r="Y498">
        <v>3</v>
      </c>
      <c r="Z498">
        <v>5</v>
      </c>
      <c r="AA498">
        <v>5</v>
      </c>
      <c r="AB498">
        <v>9</v>
      </c>
      <c r="AC498">
        <v>18.3</v>
      </c>
      <c r="AD498">
        <v>72.3</v>
      </c>
      <c r="AE498">
        <v>5</v>
      </c>
      <c r="AF498" t="str">
        <v>No</v>
      </c>
      <c r="AG498" t="str">
        <v>Fall</v>
      </c>
      <c r="AH498" t="str">
        <v>Female</v>
      </c>
    </row>
    <row r="499" spans="22:34" x14ac:dyDescent="0.3">
      <c r="V499">
        <v>21</v>
      </c>
      <c r="W499" t="str">
        <v>STEM</v>
      </c>
      <c r="X499">
        <v>9.8000000000000007</v>
      </c>
      <c r="Y499">
        <v>0</v>
      </c>
      <c r="Z499">
        <v>4</v>
      </c>
      <c r="AA499">
        <v>1</v>
      </c>
      <c r="AB499">
        <v>6</v>
      </c>
      <c r="AC499">
        <v>30.9</v>
      </c>
      <c r="AD499">
        <v>57.1</v>
      </c>
      <c r="AE499">
        <v>4</v>
      </c>
      <c r="AF499" t="str">
        <v>No</v>
      </c>
      <c r="AG499" t="str">
        <v>Fall</v>
      </c>
      <c r="AH499" t="str">
        <v>Female</v>
      </c>
    </row>
    <row r="500" spans="22:34" x14ac:dyDescent="0.3">
      <c r="V500">
        <v>17</v>
      </c>
      <c r="W500" t="str">
        <v>STEM</v>
      </c>
      <c r="X500">
        <v>6.8</v>
      </c>
      <c r="Y500">
        <v>2</v>
      </c>
      <c r="Z500">
        <v>3</v>
      </c>
      <c r="AA500">
        <v>6</v>
      </c>
      <c r="AB500">
        <v>13</v>
      </c>
      <c r="AC500">
        <v>19.5</v>
      </c>
      <c r="AD500">
        <v>54.1</v>
      </c>
      <c r="AE500">
        <v>4</v>
      </c>
      <c r="AF500" t="str">
        <v>No</v>
      </c>
      <c r="AG500" t="str">
        <v>Summer</v>
      </c>
      <c r="AH500" t="str">
        <v>Male</v>
      </c>
    </row>
    <row r="501" spans="22:34" x14ac:dyDescent="0.3">
      <c r="V501">
        <v>18</v>
      </c>
      <c r="W501" t="str">
        <v>Business</v>
      </c>
      <c r="X501">
        <v>5.9</v>
      </c>
      <c r="Y501">
        <v>4</v>
      </c>
      <c r="Z501">
        <v>25</v>
      </c>
      <c r="AA501">
        <v>16</v>
      </c>
      <c r="AB501">
        <v>31</v>
      </c>
      <c r="AC501">
        <v>22.4</v>
      </c>
      <c r="AD501">
        <v>51.9</v>
      </c>
      <c r="AE501">
        <v>0</v>
      </c>
      <c r="AF501" t="str">
        <v>Yes</v>
      </c>
      <c r="AG501" t="str">
        <v>Fall</v>
      </c>
      <c r="AH501" t="str">
        <v>Male</v>
      </c>
    </row>
  </sheetData>
  <conditionalFormatting sqref="M5:N29">
    <cfRule type="cellIs" dxfId="2" priority="1" operator="greaterThan">
      <formula>0</formula>
    </cfRule>
  </conditionalFormatting>
  <pageMargins left="0.7" right="0.7" top="0.75" bottom="0.75" header="0.3" footer="0.3"/>
  <pageSetup scale="45" fitToHeight="0" orientation="landscape" r:id="rId19"/>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20F4-7D7B-4AD7-81E1-5AA3D958030A}">
  <sheetPr>
    <pageSetUpPr fitToPage="1"/>
  </sheetPr>
  <dimension ref="A1:U130"/>
  <sheetViews>
    <sheetView zoomScale="80" zoomScaleNormal="80" workbookViewId="0"/>
  </sheetViews>
  <sheetFormatPr defaultColWidth="19.88671875" defaultRowHeight="14.4" x14ac:dyDescent="0.3"/>
  <cols>
    <col min="1" max="1" width="5.77734375" customWidth="1"/>
    <col min="2" max="2" width="46.77734375" customWidth="1"/>
    <col min="3" max="4" width="14.5546875" customWidth="1"/>
    <col min="5" max="5" width="18.21875" customWidth="1"/>
    <col min="6" max="6" width="23.109375" customWidth="1"/>
    <col min="7" max="7" width="31.109375" customWidth="1"/>
    <col min="8" max="8" width="15.6640625" customWidth="1"/>
    <col min="9" max="9" width="13" customWidth="1"/>
    <col min="10" max="10" width="22.21875" customWidth="1"/>
    <col min="11" max="11" width="18.88671875" customWidth="1"/>
    <col min="12" max="12" width="23.77734375" customWidth="1"/>
    <col min="13" max="13" width="25.33203125" customWidth="1"/>
    <col min="14" max="14" width="16.21875" customWidth="1"/>
    <col min="15" max="15" width="10.33203125" customWidth="1"/>
  </cols>
  <sheetData>
    <row r="1" spans="1:18" ht="18" x14ac:dyDescent="0.35">
      <c r="B1" s="25" t="s">
        <v>654</v>
      </c>
      <c r="C1" s="26"/>
      <c r="D1" s="26"/>
    </row>
    <row r="2" spans="1:18" ht="15" thickBot="1" x14ac:dyDescent="0.35"/>
    <row r="3" spans="1:18" x14ac:dyDescent="0.3">
      <c r="A3" s="42"/>
      <c r="B3" s="43"/>
      <c r="C3" s="51" t="s">
        <v>1</v>
      </c>
      <c r="D3" s="51" t="s">
        <v>3</v>
      </c>
      <c r="E3" s="51" t="s">
        <v>5</v>
      </c>
      <c r="F3" s="51" t="s">
        <v>6</v>
      </c>
      <c r="G3" s="51" t="s">
        <v>7</v>
      </c>
      <c r="H3" s="51" t="s">
        <v>8</v>
      </c>
      <c r="I3" s="51" t="s">
        <v>9</v>
      </c>
      <c r="J3" s="51" t="s">
        <v>10</v>
      </c>
      <c r="K3" s="51" t="s">
        <v>11</v>
      </c>
      <c r="L3" s="51" t="s">
        <v>12</v>
      </c>
      <c r="M3" s="51" t="s">
        <v>13</v>
      </c>
      <c r="N3" s="51" t="s">
        <v>15</v>
      </c>
      <c r="O3" s="52" t="s">
        <v>17</v>
      </c>
      <c r="Q3" t="s">
        <v>618</v>
      </c>
    </row>
    <row r="4" spans="1:18" x14ac:dyDescent="0.3">
      <c r="B4" s="49" t="s">
        <v>1</v>
      </c>
      <c r="C4" s="44">
        <v>1</v>
      </c>
      <c r="O4" s="10"/>
      <c r="Q4" s="47" t="s">
        <v>633</v>
      </c>
      <c r="R4" s="48" t="s">
        <v>634</v>
      </c>
    </row>
    <row r="5" spans="1:18" x14ac:dyDescent="0.3">
      <c r="B5" s="49" t="s">
        <v>3</v>
      </c>
      <c r="C5">
        <v>-4.0321496671693047E-3</v>
      </c>
      <c r="D5" s="44">
        <v>1</v>
      </c>
      <c r="O5" s="10"/>
      <c r="Q5" s="9" t="s">
        <v>619</v>
      </c>
      <c r="R5" s="10" t="s">
        <v>620</v>
      </c>
    </row>
    <row r="6" spans="1:18" x14ac:dyDescent="0.3">
      <c r="B6" s="49" t="s">
        <v>5</v>
      </c>
      <c r="C6">
        <v>5.8685326087091073E-2</v>
      </c>
      <c r="D6">
        <v>-5.2918139218610674E-2</v>
      </c>
      <c r="E6" s="44">
        <v>1</v>
      </c>
      <c r="O6" s="10"/>
      <c r="Q6" s="9" t="s">
        <v>621</v>
      </c>
      <c r="R6" s="10" t="s">
        <v>622</v>
      </c>
    </row>
    <row r="7" spans="1:18" x14ac:dyDescent="0.3">
      <c r="B7" s="49" t="s">
        <v>6</v>
      </c>
      <c r="C7">
        <v>-8.7426318196233962E-2</v>
      </c>
      <c r="D7">
        <v>-4.1674834061279911E-3</v>
      </c>
      <c r="E7">
        <v>-0.29389616869608925</v>
      </c>
      <c r="F7" s="44">
        <v>1</v>
      </c>
      <c r="O7" s="10"/>
      <c r="Q7" s="9" t="s">
        <v>623</v>
      </c>
      <c r="R7" s="10" t="s">
        <v>624</v>
      </c>
    </row>
    <row r="8" spans="1:18" x14ac:dyDescent="0.3">
      <c r="B8" s="49" t="s">
        <v>7</v>
      </c>
      <c r="C8">
        <v>1.2070245822049859E-2</v>
      </c>
      <c r="D8">
        <v>-1.6550842785462556E-2</v>
      </c>
      <c r="E8">
        <v>2.8127449051095269E-2</v>
      </c>
      <c r="F8">
        <v>5.718804491338933E-2</v>
      </c>
      <c r="G8" s="44">
        <v>1</v>
      </c>
      <c r="O8" s="10"/>
      <c r="Q8" s="9" t="s">
        <v>625</v>
      </c>
      <c r="R8" s="10" t="s">
        <v>626</v>
      </c>
    </row>
    <row r="9" spans="1:18" x14ac:dyDescent="0.3">
      <c r="B9" s="49" t="s">
        <v>8</v>
      </c>
      <c r="C9">
        <v>-5.3717461916011004E-2</v>
      </c>
      <c r="D9">
        <v>3.8262838951951136E-4</v>
      </c>
      <c r="E9">
        <v>1.6814606275030949E-2</v>
      </c>
      <c r="F9">
        <v>-5.1987736635509978E-2</v>
      </c>
      <c r="G9">
        <v>-4.4368103815956357E-2</v>
      </c>
      <c r="H9" s="44">
        <v>1</v>
      </c>
      <c r="O9" s="10"/>
      <c r="Q9" s="9" t="s">
        <v>627</v>
      </c>
      <c r="R9" s="10" t="s">
        <v>628</v>
      </c>
    </row>
    <row r="10" spans="1:18" x14ac:dyDescent="0.3">
      <c r="B10" s="49" t="s">
        <v>9</v>
      </c>
      <c r="C10">
        <v>-1.5291898559285578E-2</v>
      </c>
      <c r="D10">
        <v>1.0095075340660595E-2</v>
      </c>
      <c r="E10">
        <v>2.4564104695364089E-2</v>
      </c>
      <c r="F10">
        <v>-3.4881716483167645E-2</v>
      </c>
      <c r="G10">
        <v>-2.9241095871270332E-2</v>
      </c>
      <c r="H10">
        <v>0.87167684181050453</v>
      </c>
      <c r="I10" s="44">
        <v>1</v>
      </c>
      <c r="O10" s="10"/>
      <c r="Q10" s="9" t="s">
        <v>629</v>
      </c>
      <c r="R10" s="10" t="s">
        <v>630</v>
      </c>
    </row>
    <row r="11" spans="1:18" x14ac:dyDescent="0.3">
      <c r="B11" s="49" t="s">
        <v>10</v>
      </c>
      <c r="C11">
        <v>-6.8316884753711796E-2</v>
      </c>
      <c r="D11">
        <v>3.6078063047542221E-2</v>
      </c>
      <c r="E11">
        <v>2.5956690145455673E-2</v>
      </c>
      <c r="F11">
        <v>-3.4994111721863189E-2</v>
      </c>
      <c r="G11">
        <v>-4.8609070162669014E-2</v>
      </c>
      <c r="H11">
        <v>0.84909027977149065</v>
      </c>
      <c r="I11">
        <v>0.80694247047200163</v>
      </c>
      <c r="J11" s="44">
        <v>1</v>
      </c>
      <c r="O11" s="10"/>
      <c r="Q11" s="11" t="s">
        <v>631</v>
      </c>
      <c r="R11" s="12" t="s">
        <v>632</v>
      </c>
    </row>
    <row r="12" spans="1:18" x14ac:dyDescent="0.3">
      <c r="B12" s="49" t="s">
        <v>11</v>
      </c>
      <c r="C12">
        <v>1.7943173711596681E-2</v>
      </c>
      <c r="D12">
        <v>-0.12620390641405096</v>
      </c>
      <c r="E12">
        <v>1.7736676151822055E-2</v>
      </c>
      <c r="F12">
        <v>-4.4436280287367146E-2</v>
      </c>
      <c r="G12">
        <v>-1.0648915245305176E-2</v>
      </c>
      <c r="H12">
        <v>-0.12222811935678898</v>
      </c>
      <c r="I12">
        <v>-0.14699855544433324</v>
      </c>
      <c r="J12">
        <v>-0.12085181922807281</v>
      </c>
      <c r="K12" s="44">
        <v>1</v>
      </c>
      <c r="O12" s="10"/>
    </row>
    <row r="13" spans="1:18" x14ac:dyDescent="0.3">
      <c r="B13" s="49" t="s">
        <v>12</v>
      </c>
      <c r="C13">
        <v>8.2058550060621765E-2</v>
      </c>
      <c r="D13">
        <v>-5.1279068943669619E-2</v>
      </c>
      <c r="E13">
        <v>9.539544158983268E-3</v>
      </c>
      <c r="F13">
        <v>1.492081920122271E-2</v>
      </c>
      <c r="G13">
        <v>2.5227870356456465E-2</v>
      </c>
      <c r="H13">
        <v>-9.376275297593345E-2</v>
      </c>
      <c r="I13">
        <v>-7.1005888049326643E-2</v>
      </c>
      <c r="J13">
        <v>-8.5903139874015016E-2</v>
      </c>
      <c r="K13">
        <v>8.1591160652471156E-2</v>
      </c>
      <c r="L13" s="44">
        <v>1</v>
      </c>
      <c r="O13" s="10"/>
    </row>
    <row r="14" spans="1:18" x14ac:dyDescent="0.3">
      <c r="B14" s="49" t="s">
        <v>13</v>
      </c>
      <c r="C14">
        <v>-2.9103859347591264E-2</v>
      </c>
      <c r="D14">
        <v>-8.8701459384949499E-2</v>
      </c>
      <c r="E14">
        <v>-3.5838240098604923E-2</v>
      </c>
      <c r="F14">
        <v>1.5801259678433079E-2</v>
      </c>
      <c r="G14">
        <v>-9.6766001426018239E-2</v>
      </c>
      <c r="H14">
        <v>-4.1933484518917777E-2</v>
      </c>
      <c r="I14">
        <v>-8.0015022597569995E-3</v>
      </c>
      <c r="J14">
        <v>-5.4581015085221854E-2</v>
      </c>
      <c r="K14">
        <v>2.2293038267191985E-2</v>
      </c>
      <c r="L14">
        <v>-6.5552504175858381E-2</v>
      </c>
      <c r="M14" s="44">
        <v>1</v>
      </c>
      <c r="O14" s="10"/>
    </row>
    <row r="15" spans="1:18" x14ac:dyDescent="0.3">
      <c r="B15" s="49" t="s">
        <v>15</v>
      </c>
      <c r="C15">
        <v>-7.9546555957784884E-2</v>
      </c>
      <c r="D15">
        <v>6.9410227805019889E-2</v>
      </c>
      <c r="E15">
        <v>4.9029182703569547E-3</v>
      </c>
      <c r="F15">
        <v>3.4804936437284328E-2</v>
      </c>
      <c r="G15">
        <v>6.5671696221887205E-2</v>
      </c>
      <c r="H15">
        <v>5.6171997371038812E-2</v>
      </c>
      <c r="I15">
        <v>8.645486053805379E-2</v>
      </c>
      <c r="J15">
        <v>7.2900487372720799E-2</v>
      </c>
      <c r="K15">
        <v>1.5268453074075901E-2</v>
      </c>
      <c r="L15">
        <v>4.735336970800422E-5</v>
      </c>
      <c r="M15">
        <v>-1.6597725775275615E-2</v>
      </c>
      <c r="N15" s="44">
        <v>1</v>
      </c>
      <c r="O15" s="10"/>
    </row>
    <row r="16" spans="1:18" ht="15" thickBot="1" x14ac:dyDescent="0.35">
      <c r="B16" s="50" t="s">
        <v>17</v>
      </c>
      <c r="C16" s="16">
        <v>5.1239303004401229E-2</v>
      </c>
      <c r="D16" s="16">
        <v>-4.4127487643188724E-2</v>
      </c>
      <c r="E16" s="16">
        <v>0.20489484924915616</v>
      </c>
      <c r="F16" s="16">
        <v>-1.8070809608840398E-2</v>
      </c>
      <c r="G16" s="16">
        <v>5.421981470889339E-3</v>
      </c>
      <c r="H16" s="16">
        <v>-0.30745045106307561</v>
      </c>
      <c r="I16" s="16">
        <v>-0.33433912923913212</v>
      </c>
      <c r="J16" s="16">
        <v>-0.24405111227317938</v>
      </c>
      <c r="K16" s="16">
        <v>0.43414840109029901</v>
      </c>
      <c r="L16" s="16">
        <v>0.34538633323317997</v>
      </c>
      <c r="M16" s="16">
        <v>-2.1262394569787683E-2</v>
      </c>
      <c r="N16" s="16">
        <v>-2.5326425932937911E-2</v>
      </c>
      <c r="O16" s="45">
        <v>1</v>
      </c>
    </row>
    <row r="20" spans="1:21" x14ac:dyDescent="0.3">
      <c r="B20" s="6" t="s">
        <v>618</v>
      </c>
    </row>
    <row r="21" spans="1:21" x14ac:dyDescent="0.3">
      <c r="B21" t="s">
        <v>635</v>
      </c>
    </row>
    <row r="22" spans="1:21" x14ac:dyDescent="0.3">
      <c r="B22" t="s">
        <v>649</v>
      </c>
    </row>
    <row r="23" spans="1:21" x14ac:dyDescent="0.3">
      <c r="B23" t="s">
        <v>636</v>
      </c>
    </row>
    <row r="24" spans="1:21" x14ac:dyDescent="0.3">
      <c r="B24" t="s">
        <v>650</v>
      </c>
    </row>
    <row r="25" spans="1:21" x14ac:dyDescent="0.3">
      <c r="B25" t="s">
        <v>651</v>
      </c>
    </row>
    <row r="26" spans="1:21" x14ac:dyDescent="0.3">
      <c r="B26" t="s">
        <v>652</v>
      </c>
    </row>
    <row r="27" spans="1:21" x14ac:dyDescent="0.3">
      <c r="B27" t="s">
        <v>653</v>
      </c>
    </row>
    <row r="28" spans="1:21" x14ac:dyDescent="0.3">
      <c r="U28" s="152"/>
    </row>
    <row r="29" spans="1:21" x14ac:dyDescent="0.3">
      <c r="B29" t="s">
        <v>658</v>
      </c>
      <c r="U29" s="152"/>
    </row>
    <row r="30" spans="1:21" x14ac:dyDescent="0.3">
      <c r="U30" s="152"/>
    </row>
    <row r="31" spans="1:21" x14ac:dyDescent="0.3">
      <c r="A31" s="18"/>
      <c r="B31" s="18"/>
      <c r="C31" s="18"/>
      <c r="D31" s="18"/>
      <c r="E31" s="18"/>
      <c r="F31" s="18"/>
      <c r="G31" s="18"/>
      <c r="H31" s="18"/>
      <c r="I31" s="18"/>
      <c r="J31" s="18"/>
      <c r="K31" s="18"/>
      <c r="L31" s="18"/>
      <c r="M31" s="18"/>
      <c r="N31" s="18"/>
      <c r="O31" s="18"/>
      <c r="P31" s="18"/>
      <c r="Q31" s="18"/>
      <c r="R31" s="18"/>
      <c r="S31" s="18"/>
      <c r="T31" s="18"/>
      <c r="U31" s="152"/>
    </row>
    <row r="32" spans="1:21" x14ac:dyDescent="0.3">
      <c r="U32" s="152"/>
    </row>
    <row r="33" spans="2:5" x14ac:dyDescent="0.3">
      <c r="B33" s="6" t="s">
        <v>703</v>
      </c>
    </row>
    <row r="34" spans="2:5" x14ac:dyDescent="0.3">
      <c r="B34" s="22" t="s">
        <v>697</v>
      </c>
      <c r="C34" s="24" t="s">
        <v>698</v>
      </c>
      <c r="E34" t="s">
        <v>763</v>
      </c>
    </row>
    <row r="35" spans="2:5" x14ac:dyDescent="0.3">
      <c r="B35" s="9" t="s">
        <v>699</v>
      </c>
      <c r="C35" s="10">
        <v>500</v>
      </c>
    </row>
    <row r="36" spans="2:5" x14ac:dyDescent="0.3">
      <c r="B36" s="9" t="s">
        <v>700</v>
      </c>
      <c r="C36" s="10">
        <v>475</v>
      </c>
    </row>
    <row r="37" spans="2:5" x14ac:dyDescent="0.3">
      <c r="B37" s="11" t="s">
        <v>701</v>
      </c>
      <c r="C37" s="12" t="s">
        <v>702</v>
      </c>
    </row>
    <row r="39" spans="2:5" x14ac:dyDescent="0.3">
      <c r="B39" s="42"/>
      <c r="C39" s="42"/>
    </row>
    <row r="42" spans="2:5" x14ac:dyDescent="0.3">
      <c r="B42" t="s">
        <v>704</v>
      </c>
    </row>
    <row r="43" spans="2:5" x14ac:dyDescent="0.3">
      <c r="B43" s="6" t="s">
        <v>696</v>
      </c>
    </row>
    <row r="44" spans="2:5" x14ac:dyDescent="0.3">
      <c r="B44" s="67" t="s">
        <v>675</v>
      </c>
      <c r="C44" s="68" t="s">
        <v>676</v>
      </c>
      <c r="D44" s="68" t="s">
        <v>677</v>
      </c>
      <c r="E44" s="69" t="s">
        <v>634</v>
      </c>
    </row>
    <row r="45" spans="2:5" x14ac:dyDescent="0.3">
      <c r="B45" s="63" t="s">
        <v>655</v>
      </c>
      <c r="C45" s="59">
        <f>'Statistical Output'!C8</f>
        <v>0.81770150100470107</v>
      </c>
      <c r="D45" s="61">
        <f>ROUND(1/(1-C45),3)</f>
        <v>5.4859999999999998</v>
      </c>
      <c r="E45" s="64" t="str" cm="1">
        <f t="array" ref="E45">_xlfn.IFS(D45=1,"No Correlation",D45&lt;=5,"Moderate Correlation",D45&gt;5,"High multicollinearity",D45&gt;10,"Severe multicollinearity", TRUE, "Error")</f>
        <v>High multicollinearity</v>
      </c>
    </row>
    <row r="46" spans="2:5" x14ac:dyDescent="0.3">
      <c r="B46" s="9" t="s">
        <v>657</v>
      </c>
      <c r="C46">
        <f>'Statistical Output'!C31</f>
        <v>0.73909794209079605</v>
      </c>
      <c r="D46" s="61">
        <f t="shared" ref="D46:D47" si="0">ROUND(1/(1-C46),3)</f>
        <v>3.8330000000000002</v>
      </c>
      <c r="E46" s="64" t="str" cm="1">
        <f t="array" ref="E46">_xlfn.IFS(D46=1,"No Correlation",D46&lt;=5,"Moderate Correlation",D46&gt;5,"High multicollinearity",D46&gt;10,"Severe multicollinearity", TRUE, "Error")</f>
        <v>Moderate Correlation</v>
      </c>
    </row>
    <row r="47" spans="2:5" x14ac:dyDescent="0.3">
      <c r="B47" s="11" t="s">
        <v>656</v>
      </c>
      <c r="C47" s="7">
        <f>'Statistical Output'!C54</f>
        <v>0.77239040660418634</v>
      </c>
      <c r="D47" s="65">
        <f t="shared" si="0"/>
        <v>4.3929999999999998</v>
      </c>
      <c r="E47" s="66" t="str" cm="1">
        <f t="array" ref="E47">_xlfn.IFS(D47=1,"No Correlation",D47&lt;=5,"Moderate Correlation",D47&gt;5,"High multicollinearity",D47&gt;10,"Severe multicollinearity", TRUE, "Error")</f>
        <v>Moderate Correlation</v>
      </c>
    </row>
    <row r="49" spans="2:8" x14ac:dyDescent="0.3">
      <c r="F49" s="42"/>
    </row>
    <row r="52" spans="2:8" x14ac:dyDescent="0.3">
      <c r="B52" s="6" t="s">
        <v>692</v>
      </c>
    </row>
    <row r="53" spans="2:8" x14ac:dyDescent="0.3">
      <c r="B53" s="22" t="s">
        <v>678</v>
      </c>
      <c r="C53" s="20" t="s">
        <v>679</v>
      </c>
      <c r="D53" s="21" t="s">
        <v>680</v>
      </c>
    </row>
    <row r="54" spans="2:8" x14ac:dyDescent="0.3">
      <c r="B54" s="49" t="s">
        <v>681</v>
      </c>
      <c r="C54" t="s">
        <v>682</v>
      </c>
      <c r="D54" s="10" t="s">
        <v>683</v>
      </c>
    </row>
    <row r="55" spans="2:8" x14ac:dyDescent="0.3">
      <c r="B55" s="49" t="s">
        <v>684</v>
      </c>
      <c r="C55" t="s">
        <v>682</v>
      </c>
      <c r="D55" s="10" t="s">
        <v>655</v>
      </c>
    </row>
    <row r="56" spans="2:8" x14ac:dyDescent="0.3">
      <c r="B56" s="49" t="s">
        <v>685</v>
      </c>
      <c r="C56" t="s">
        <v>682</v>
      </c>
      <c r="D56" s="10" t="s">
        <v>656</v>
      </c>
    </row>
    <row r="57" spans="2:8" x14ac:dyDescent="0.3">
      <c r="B57" s="49" t="s">
        <v>686</v>
      </c>
      <c r="C57" t="s">
        <v>682</v>
      </c>
      <c r="D57" s="10" t="s">
        <v>657</v>
      </c>
      <c r="H57" s="42"/>
    </row>
    <row r="58" spans="2:8" x14ac:dyDescent="0.3">
      <c r="B58" s="86" t="s">
        <v>687</v>
      </c>
      <c r="C58" s="85" t="s">
        <v>682</v>
      </c>
      <c r="D58" s="70" t="s">
        <v>688</v>
      </c>
      <c r="E58" s="42"/>
    </row>
    <row r="61" spans="2:8" x14ac:dyDescent="0.3">
      <c r="B61" t="s">
        <v>705</v>
      </c>
    </row>
    <row r="62" spans="2:8" x14ac:dyDescent="0.3">
      <c r="B62" s="22" t="s">
        <v>678</v>
      </c>
      <c r="C62" s="23" t="s">
        <v>715</v>
      </c>
      <c r="D62" s="23" t="s">
        <v>675</v>
      </c>
      <c r="E62" s="23" t="s">
        <v>706</v>
      </c>
      <c r="F62" s="23" t="s">
        <v>676</v>
      </c>
      <c r="G62" s="24" t="s">
        <v>707</v>
      </c>
    </row>
    <row r="63" spans="2:8" x14ac:dyDescent="0.3">
      <c r="B63" s="9" t="s">
        <v>708</v>
      </c>
      <c r="C63" t="str">
        <f>'Statistical Output'!B138</f>
        <v>phq9_score</v>
      </c>
      <c r="D63" t="s">
        <v>655</v>
      </c>
      <c r="E63" s="3" t="s">
        <v>709</v>
      </c>
      <c r="F63" s="28">
        <v>9.4500000000000001E-2</v>
      </c>
      <c r="G63" s="10" t="s">
        <v>710</v>
      </c>
    </row>
    <row r="64" spans="2:8" x14ac:dyDescent="0.3">
      <c r="B64" s="9" t="s">
        <v>711</v>
      </c>
      <c r="C64" t="str">
        <f>'Statistical Output'!L138</f>
        <v>gad7_score</v>
      </c>
      <c r="D64" t="s">
        <v>656</v>
      </c>
      <c r="E64" s="3" t="s">
        <v>712</v>
      </c>
      <c r="F64" s="28">
        <v>0.1118</v>
      </c>
      <c r="G64" s="10" t="s">
        <v>710</v>
      </c>
    </row>
    <row r="65" spans="2:8" x14ac:dyDescent="0.3">
      <c r="B65" s="11" t="s">
        <v>713</v>
      </c>
      <c r="C65" s="7" t="str">
        <f>'Statistical Output'!V138</f>
        <v>perceived_stress_scale</v>
      </c>
      <c r="D65" s="7" t="s">
        <v>657</v>
      </c>
      <c r="E65" s="73" t="s">
        <v>714</v>
      </c>
      <c r="F65" s="71">
        <v>5.96E-2</v>
      </c>
      <c r="G65" s="12" t="s">
        <v>710</v>
      </c>
    </row>
    <row r="68" spans="2:8" x14ac:dyDescent="0.3">
      <c r="B68" t="s">
        <v>719</v>
      </c>
      <c r="E68" s="28"/>
    </row>
    <row r="69" spans="2:8" x14ac:dyDescent="0.3">
      <c r="B69" s="22" t="s">
        <v>678</v>
      </c>
      <c r="C69" s="68" t="s">
        <v>675</v>
      </c>
      <c r="D69" s="68" t="s">
        <v>706</v>
      </c>
      <c r="E69" s="68" t="s">
        <v>707</v>
      </c>
      <c r="F69" s="69" t="s">
        <v>716</v>
      </c>
    </row>
    <row r="70" spans="2:8" x14ac:dyDescent="0.3">
      <c r="B70" s="9" t="s">
        <v>681</v>
      </c>
      <c r="C70" s="74" t="s">
        <v>655</v>
      </c>
      <c r="D70" s="74" t="s">
        <v>717</v>
      </c>
      <c r="E70" s="74">
        <v>0.13600000000000001</v>
      </c>
      <c r="F70" s="75" t="s">
        <v>22</v>
      </c>
      <c r="H70" t="s">
        <v>720</v>
      </c>
    </row>
    <row r="71" spans="2:8" x14ac:dyDescent="0.3">
      <c r="B71" s="9" t="s">
        <v>681</v>
      </c>
      <c r="C71" s="74" t="s">
        <v>656</v>
      </c>
      <c r="D71" s="74" t="s">
        <v>718</v>
      </c>
      <c r="E71" s="74">
        <v>5.9999999999999995E-4</v>
      </c>
      <c r="F71" s="75" t="s">
        <v>33</v>
      </c>
    </row>
    <row r="72" spans="2:8" x14ac:dyDescent="0.3">
      <c r="B72" s="11" t="s">
        <v>681</v>
      </c>
      <c r="C72" s="76" t="s">
        <v>657</v>
      </c>
      <c r="D72" s="76">
        <v>9.1000000000000004E-3</v>
      </c>
      <c r="E72" s="76">
        <v>0.107</v>
      </c>
      <c r="F72" s="77" t="s">
        <v>22</v>
      </c>
    </row>
    <row r="75" spans="2:8" x14ac:dyDescent="0.3">
      <c r="B75" t="s">
        <v>733</v>
      </c>
    </row>
    <row r="76" spans="2:8" x14ac:dyDescent="0.3">
      <c r="B76" s="22" t="s">
        <v>675</v>
      </c>
      <c r="C76" s="23" t="s">
        <v>706</v>
      </c>
      <c r="D76" s="23" t="s">
        <v>732</v>
      </c>
      <c r="E76" s="23" t="s">
        <v>707</v>
      </c>
      <c r="F76" s="24" t="s">
        <v>716</v>
      </c>
    </row>
    <row r="77" spans="2:8" x14ac:dyDescent="0.3">
      <c r="B77" s="9" t="s">
        <v>721</v>
      </c>
      <c r="C77">
        <v>6.5000000000000002E-2</v>
      </c>
      <c r="D77">
        <v>1.010801985612299E-8</v>
      </c>
      <c r="E77" t="s">
        <v>710</v>
      </c>
      <c r="F77" s="10" t="s">
        <v>33</v>
      </c>
      <c r="H77" t="s">
        <v>764</v>
      </c>
    </row>
    <row r="78" spans="2:8" x14ac:dyDescent="0.3">
      <c r="B78" s="9" t="s">
        <v>722</v>
      </c>
      <c r="C78">
        <v>5.0000000000000001E-3</v>
      </c>
      <c r="D78">
        <v>0.31555946339937091</v>
      </c>
      <c r="E78">
        <v>0.316</v>
      </c>
      <c r="F78" s="10" t="s">
        <v>22</v>
      </c>
      <c r="H78" t="s">
        <v>765</v>
      </c>
    </row>
    <row r="79" spans="2:8" x14ac:dyDescent="0.3">
      <c r="B79" s="9" t="s">
        <v>723</v>
      </c>
      <c r="C79">
        <v>2E-3</v>
      </c>
      <c r="D79">
        <v>0.78314542119248776</v>
      </c>
      <c r="E79">
        <v>0.78300000000000003</v>
      </c>
      <c r="F79" s="10" t="s">
        <v>22</v>
      </c>
    </row>
    <row r="80" spans="2:8" x14ac:dyDescent="0.3">
      <c r="B80" s="9" t="s">
        <v>655</v>
      </c>
      <c r="C80">
        <v>-8.9999999999999993E-3</v>
      </c>
      <c r="D80">
        <v>0.15048268971951709</v>
      </c>
      <c r="E80">
        <v>0.15</v>
      </c>
      <c r="F80" s="10" t="s">
        <v>22</v>
      </c>
    </row>
    <row r="81" spans="2:8" x14ac:dyDescent="0.3">
      <c r="B81" s="9" t="s">
        <v>656</v>
      </c>
      <c r="C81">
        <v>-2.3E-2</v>
      </c>
      <c r="D81">
        <v>2.3461310482303537E-3</v>
      </c>
      <c r="E81">
        <v>2E-3</v>
      </c>
      <c r="F81" s="10" t="s">
        <v>33</v>
      </c>
      <c r="H81" t="s">
        <v>766</v>
      </c>
    </row>
    <row r="82" spans="2:8" x14ac:dyDescent="0.3">
      <c r="B82" s="9" t="s">
        <v>657</v>
      </c>
      <c r="C82">
        <v>7.0000000000000001E-3</v>
      </c>
      <c r="D82">
        <v>0.12678916672231344</v>
      </c>
      <c r="E82">
        <v>0.127</v>
      </c>
      <c r="F82" s="10" t="s">
        <v>22</v>
      </c>
    </row>
    <row r="83" spans="2:8" x14ac:dyDescent="0.3">
      <c r="B83" s="9" t="s">
        <v>726</v>
      </c>
      <c r="C83">
        <v>1.6E-2</v>
      </c>
      <c r="D83">
        <v>1.0484574614269178E-22</v>
      </c>
      <c r="E83" t="s">
        <v>710</v>
      </c>
      <c r="F83" s="10" t="s">
        <v>33</v>
      </c>
    </row>
    <row r="84" spans="2:8" x14ac:dyDescent="0.3">
      <c r="B84" s="9" t="s">
        <v>727</v>
      </c>
      <c r="C84">
        <v>8.9999999999999993E-3</v>
      </c>
      <c r="D84">
        <v>5.6433945175891085E-16</v>
      </c>
      <c r="E84" t="s">
        <v>710</v>
      </c>
      <c r="F84" s="10" t="s">
        <v>33</v>
      </c>
    </row>
    <row r="85" spans="2:8" x14ac:dyDescent="0.3">
      <c r="B85" s="9" t="s">
        <v>728</v>
      </c>
      <c r="C85">
        <v>-6.0000000000000001E-3</v>
      </c>
      <c r="D85">
        <v>0.61331027682843353</v>
      </c>
      <c r="E85">
        <v>0.61299999999999999</v>
      </c>
      <c r="F85" s="10" t="s">
        <v>22</v>
      </c>
    </row>
    <row r="86" spans="2:8" x14ac:dyDescent="0.3">
      <c r="B86" s="11" t="s">
        <v>730</v>
      </c>
      <c r="C86" s="7">
        <v>-0.1</v>
      </c>
      <c r="D86" s="7">
        <v>5.178808051273067E-4</v>
      </c>
      <c r="E86" s="7" t="s">
        <v>710</v>
      </c>
      <c r="F86" s="12" t="s">
        <v>33</v>
      </c>
    </row>
    <row r="90" spans="2:8" x14ac:dyDescent="0.3">
      <c r="B90" s="22" t="s">
        <v>697</v>
      </c>
      <c r="C90" s="23" t="s">
        <v>681</v>
      </c>
      <c r="D90" s="24" t="s">
        <v>687</v>
      </c>
    </row>
    <row r="91" spans="2:8" x14ac:dyDescent="0.3">
      <c r="B91" s="9" t="s">
        <v>734</v>
      </c>
      <c r="C91">
        <v>475</v>
      </c>
      <c r="D91" s="10">
        <v>475</v>
      </c>
      <c r="H91" t="s">
        <v>739</v>
      </c>
    </row>
    <row r="92" spans="2:8" x14ac:dyDescent="0.3">
      <c r="B92" s="9" t="s">
        <v>676</v>
      </c>
      <c r="C92" s="28">
        <v>0.1178</v>
      </c>
      <c r="D92" s="39">
        <v>0.41460000000000002</v>
      </c>
    </row>
    <row r="93" spans="2:8" x14ac:dyDescent="0.3">
      <c r="B93" s="9" t="s">
        <v>735</v>
      </c>
      <c r="C93" s="28">
        <v>0.11219999999999999</v>
      </c>
      <c r="D93" s="39">
        <v>0.40189999999999998</v>
      </c>
    </row>
    <row r="94" spans="2:8" x14ac:dyDescent="0.3">
      <c r="B94" s="9" t="s">
        <v>668</v>
      </c>
      <c r="C94" t="s">
        <v>710</v>
      </c>
      <c r="D94" s="10" t="s">
        <v>710</v>
      </c>
    </row>
    <row r="95" spans="2:8" x14ac:dyDescent="0.3">
      <c r="B95" s="11" t="s">
        <v>736</v>
      </c>
      <c r="C95" s="7" t="s">
        <v>737</v>
      </c>
      <c r="D95" s="12" t="s">
        <v>738</v>
      </c>
    </row>
    <row r="98" spans="2:3" x14ac:dyDescent="0.3">
      <c r="B98" s="6" t="s">
        <v>762</v>
      </c>
    </row>
    <row r="100" spans="2:3" x14ac:dyDescent="0.3">
      <c r="B100" s="22" t="s">
        <v>753</v>
      </c>
      <c r="C100" s="21" t="s">
        <v>740</v>
      </c>
    </row>
    <row r="101" spans="2:3" x14ac:dyDescent="0.3">
      <c r="B101" s="8" t="s">
        <v>754</v>
      </c>
      <c r="C101" s="19" t="s">
        <v>741</v>
      </c>
    </row>
    <row r="102" spans="2:3" x14ac:dyDescent="0.3">
      <c r="B102" s="49"/>
      <c r="C102" s="82" t="s">
        <v>742</v>
      </c>
    </row>
    <row r="103" spans="2:3" x14ac:dyDescent="0.3">
      <c r="B103" s="49"/>
      <c r="C103" s="82" t="s">
        <v>743</v>
      </c>
    </row>
    <row r="104" spans="2:3" x14ac:dyDescent="0.3">
      <c r="B104" s="49"/>
      <c r="C104" s="82" t="s">
        <v>744</v>
      </c>
    </row>
    <row r="105" spans="2:3" x14ac:dyDescent="0.3">
      <c r="B105" s="81"/>
      <c r="C105" s="83" t="s">
        <v>745</v>
      </c>
    </row>
    <row r="106" spans="2:3" x14ac:dyDescent="0.3">
      <c r="B106" s="8" t="s">
        <v>755</v>
      </c>
      <c r="C106" s="84" t="s">
        <v>760</v>
      </c>
    </row>
    <row r="107" spans="2:3" x14ac:dyDescent="0.3">
      <c r="B107" s="81"/>
      <c r="C107" s="70" t="s">
        <v>761</v>
      </c>
    </row>
    <row r="108" spans="2:3" x14ac:dyDescent="0.3">
      <c r="B108" s="8" t="s">
        <v>756</v>
      </c>
      <c r="C108" s="19" t="s">
        <v>750</v>
      </c>
    </row>
    <row r="109" spans="2:3" x14ac:dyDescent="0.3">
      <c r="B109" s="81"/>
      <c r="C109" s="12" t="s">
        <v>746</v>
      </c>
    </row>
    <row r="110" spans="2:3" x14ac:dyDescent="0.3">
      <c r="B110" s="22" t="s">
        <v>757</v>
      </c>
      <c r="C110" s="21" t="s">
        <v>747</v>
      </c>
    </row>
    <row r="111" spans="2:3" x14ac:dyDescent="0.3">
      <c r="B111" s="22" t="s">
        <v>758</v>
      </c>
      <c r="C111" s="21" t="s">
        <v>748</v>
      </c>
    </row>
    <row r="112" spans="2:3" x14ac:dyDescent="0.3">
      <c r="B112" s="81" t="s">
        <v>759</v>
      </c>
      <c r="C112" s="12" t="s">
        <v>749</v>
      </c>
    </row>
    <row r="114" spans="2:2" ht="18" x14ac:dyDescent="0.3">
      <c r="B114" s="80"/>
    </row>
    <row r="120" spans="2:2" ht="18" x14ac:dyDescent="0.3">
      <c r="B120" s="80"/>
    </row>
    <row r="124" spans="2:2" ht="18" x14ac:dyDescent="0.3">
      <c r="B124" s="80"/>
    </row>
    <row r="127" spans="2:2" ht="18" x14ac:dyDescent="0.3">
      <c r="B127" s="80"/>
    </row>
    <row r="130" spans="2:2" ht="18" x14ac:dyDescent="0.3">
      <c r="B130" s="80"/>
    </row>
  </sheetData>
  <phoneticPr fontId="11" type="noConversion"/>
  <conditionalFormatting sqref="Q3:Q4 B20:B23 B3:O16">
    <cfRule type="colorScale" priority="4">
      <colorScale>
        <cfvo type="min"/>
        <cfvo type="percentile" val="50"/>
        <cfvo type="max"/>
        <color rgb="FFF8696B"/>
        <color rgb="FFFCFCFF"/>
        <color rgb="FF63BE7B"/>
      </colorScale>
    </cfRule>
  </conditionalFormatting>
  <conditionalFormatting sqref="Q5:R11">
    <cfRule type="colorScale" priority="1">
      <colorScale>
        <cfvo type="min"/>
        <cfvo type="percentile" val="50"/>
        <cfvo type="max"/>
        <color rgb="FFF8696B"/>
        <color rgb="FFFCFCFF"/>
        <color rgb="FF63BE7B"/>
      </colorScale>
    </cfRule>
  </conditionalFormatting>
  <dataValidations count="2">
    <dataValidation allowBlank="1" showInputMessage="1" showErrorMessage="1" prompt="Individual coefficients in the combined mental-health model should be interpreted cautiously because the predictors contain overlapping information." sqref="D45:D47" xr:uid="{2E6EC030-0833-43CA-AF36-AD88466FD1D5}"/>
    <dataValidation allowBlank="1" showInputMessage="1" showErrorMessage="1" promptTitle="Predictors have overlapping info" prompt="PHQ-9 shows elevated multicollinearity with GAD-7 and PSS-10. Individual coefficients in combined models should therefore be interpreted cautiously." sqref="C45:C47" xr:uid="{17018AB4-E312-415E-AF51-334C4459BBA6}"/>
  </dataValidations>
  <pageMargins left="0.7" right="0.7" top="0.75" bottom="0.75" header="0.3" footer="0.3"/>
  <pageSetup scale="30" fitToWidth="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F81D-FC13-4A5F-A485-A5841250A8B3}">
  <sheetPr>
    <pageSetUpPr fitToPage="1"/>
  </sheetPr>
  <dimension ref="B2:AH200"/>
  <sheetViews>
    <sheetView zoomScale="72" zoomScaleNormal="80" workbookViewId="0"/>
  </sheetViews>
  <sheetFormatPr defaultRowHeight="14.4" x14ac:dyDescent="0.3"/>
  <cols>
    <col min="1" max="1" width="4.33203125" customWidth="1"/>
    <col min="2" max="2" width="35.109375" bestFit="1" customWidth="1"/>
    <col min="3" max="3" width="15.21875" bestFit="1" customWidth="1"/>
    <col min="4" max="4" width="18.21875" bestFit="1" customWidth="1"/>
    <col min="5" max="5" width="22.33203125" bestFit="1" customWidth="1"/>
    <col min="6" max="6" width="14.21875" bestFit="1" customWidth="1"/>
    <col min="7" max="7" width="18" bestFit="1" customWidth="1"/>
    <col min="8" max="8" width="24.5546875" bestFit="1" customWidth="1"/>
    <col min="9" max="9" width="22.5546875" customWidth="1"/>
    <col min="10" max="10" width="16.109375" bestFit="1" customWidth="1"/>
    <col min="13" max="13" width="35.88671875" bestFit="1" customWidth="1"/>
    <col min="14" max="14" width="15.21875" bestFit="1" customWidth="1"/>
    <col min="15" max="15" width="18.21875" bestFit="1" customWidth="1"/>
    <col min="16" max="16" width="13.6640625" bestFit="1" customWidth="1"/>
    <col min="17" max="17" width="14.21875" bestFit="1" customWidth="1"/>
    <col min="18" max="18" width="18" bestFit="1" customWidth="1"/>
    <col min="19" max="19" width="14.21875" bestFit="1" customWidth="1"/>
    <col min="20" max="20" width="15.77734375" bestFit="1" customWidth="1"/>
    <col min="21" max="21" width="16.109375" bestFit="1" customWidth="1"/>
    <col min="23" max="23" width="34.33203125" bestFit="1" customWidth="1"/>
    <col min="24" max="24" width="15.21875" bestFit="1" customWidth="1"/>
    <col min="25" max="25" width="18.21875" bestFit="1" customWidth="1"/>
    <col min="26" max="26" width="13.6640625" bestFit="1" customWidth="1"/>
    <col min="27" max="27" width="14.21875" bestFit="1" customWidth="1"/>
    <col min="28" max="28" width="18" bestFit="1" customWidth="1"/>
    <col min="29" max="29" width="14.21875" bestFit="1" customWidth="1"/>
    <col min="30" max="30" width="15.77734375" bestFit="1" customWidth="1"/>
    <col min="31" max="31" width="16.109375" bestFit="1" customWidth="1"/>
  </cols>
  <sheetData>
    <row r="2" spans="2:7" x14ac:dyDescent="0.3">
      <c r="B2" s="27" t="s">
        <v>689</v>
      </c>
    </row>
    <row r="4" spans="2:7" x14ac:dyDescent="0.3">
      <c r="B4" t="s">
        <v>659</v>
      </c>
    </row>
    <row r="5" spans="2:7" ht="15" thickBot="1" x14ac:dyDescent="0.35"/>
    <row r="6" spans="2:7" x14ac:dyDescent="0.3">
      <c r="B6" s="54" t="s">
        <v>660</v>
      </c>
      <c r="C6" s="54"/>
    </row>
    <row r="7" spans="2:7" x14ac:dyDescent="0.3">
      <c r="B7" t="s">
        <v>661</v>
      </c>
      <c r="C7">
        <v>0.90426848944586202</v>
      </c>
    </row>
    <row r="8" spans="2:7" x14ac:dyDescent="0.3">
      <c r="B8" t="s">
        <v>662</v>
      </c>
      <c r="C8">
        <v>0.81770150100470107</v>
      </c>
    </row>
    <row r="9" spans="2:7" x14ac:dyDescent="0.3">
      <c r="B9" t="s">
        <v>663</v>
      </c>
      <c r="C9">
        <v>0.81692904973777181</v>
      </c>
    </row>
    <row r="10" spans="2:7" x14ac:dyDescent="0.3">
      <c r="B10" t="s">
        <v>582</v>
      </c>
      <c r="C10">
        <v>2.1567980808290668</v>
      </c>
    </row>
    <row r="11" spans="2:7" ht="15" thickBot="1" x14ac:dyDescent="0.35">
      <c r="B11" s="16" t="s">
        <v>664</v>
      </c>
      <c r="C11" s="16">
        <v>475</v>
      </c>
    </row>
    <row r="13" spans="2:7" ht="15" thickBot="1" x14ac:dyDescent="0.35">
      <c r="B13" t="s">
        <v>644</v>
      </c>
    </row>
    <row r="14" spans="2:7" x14ac:dyDescent="0.3">
      <c r="B14" s="17"/>
      <c r="C14" s="17" t="s">
        <v>646</v>
      </c>
      <c r="D14" s="17" t="s">
        <v>645</v>
      </c>
      <c r="E14" s="17" t="s">
        <v>647</v>
      </c>
      <c r="F14" s="17" t="s">
        <v>102</v>
      </c>
      <c r="G14" s="17" t="s">
        <v>668</v>
      </c>
    </row>
    <row r="15" spans="2:7" x14ac:dyDescent="0.3">
      <c r="B15" t="s">
        <v>665</v>
      </c>
      <c r="C15">
        <v>2</v>
      </c>
      <c r="D15">
        <v>9848.5586969240012</v>
      </c>
      <c r="E15">
        <v>4924.2793484620006</v>
      </c>
      <c r="F15">
        <v>1058.5800503057678</v>
      </c>
      <c r="G15">
        <v>3.5059837409716581E-175</v>
      </c>
    </row>
    <row r="16" spans="2:7" x14ac:dyDescent="0.3">
      <c r="B16" t="s">
        <v>666</v>
      </c>
      <c r="C16">
        <v>472</v>
      </c>
      <c r="D16">
        <v>2195.6391978128704</v>
      </c>
      <c r="E16">
        <v>4.6517779614679462</v>
      </c>
    </row>
    <row r="17" spans="2:10" ht="15" thickBot="1" x14ac:dyDescent="0.35">
      <c r="B17" s="16" t="s">
        <v>643</v>
      </c>
      <c r="C17" s="16">
        <v>474</v>
      </c>
      <c r="D17" s="16">
        <v>12044.197894736872</v>
      </c>
      <c r="E17" s="16"/>
      <c r="F17" s="16"/>
      <c r="G17" s="16"/>
    </row>
    <row r="18" spans="2:10" ht="15" thickBot="1" x14ac:dyDescent="0.35"/>
    <row r="19" spans="2:10" x14ac:dyDescent="0.3">
      <c r="B19" s="17"/>
      <c r="C19" s="17" t="s">
        <v>669</v>
      </c>
      <c r="D19" s="17" t="s">
        <v>582</v>
      </c>
      <c r="E19" s="17" t="s">
        <v>670</v>
      </c>
      <c r="F19" s="17" t="s">
        <v>648</v>
      </c>
      <c r="G19" s="17" t="s">
        <v>671</v>
      </c>
      <c r="H19" s="17" t="s">
        <v>672</v>
      </c>
      <c r="I19" s="17" t="s">
        <v>673</v>
      </c>
      <c r="J19" s="17" t="s">
        <v>674</v>
      </c>
    </row>
    <row r="20" spans="2:10" x14ac:dyDescent="0.3">
      <c r="B20" t="s">
        <v>667</v>
      </c>
      <c r="C20">
        <v>-2.2224045634169194</v>
      </c>
      <c r="D20">
        <v>0.22826703884388919</v>
      </c>
      <c r="E20">
        <v>-9.7359854259852732</v>
      </c>
      <c r="F20">
        <v>1.5538346547508399E-20</v>
      </c>
      <c r="G20">
        <v>-2.6709499056934756</v>
      </c>
      <c r="H20">
        <v>-1.7738592211403634</v>
      </c>
      <c r="I20">
        <v>-2.6709499056934756</v>
      </c>
      <c r="J20">
        <v>-1.7738592211403634</v>
      </c>
    </row>
    <row r="21" spans="2:10" x14ac:dyDescent="0.3">
      <c r="B21" t="s">
        <v>9</v>
      </c>
      <c r="C21">
        <v>0.67361351153371263</v>
      </c>
      <c r="D21">
        <v>4.2287170617990678E-2</v>
      </c>
      <c r="E21">
        <v>15.929500642616418</v>
      </c>
      <c r="F21">
        <v>4.9653953825429203E-46</v>
      </c>
      <c r="G21">
        <v>0.59051910808930785</v>
      </c>
      <c r="H21">
        <v>0.7567079149781174</v>
      </c>
      <c r="I21">
        <v>0.59051910808930785</v>
      </c>
      <c r="J21">
        <v>0.7567079149781174</v>
      </c>
    </row>
    <row r="22" spans="2:10" ht="15" thickBot="1" x14ac:dyDescent="0.35">
      <c r="B22" s="16" t="s">
        <v>10</v>
      </c>
      <c r="C22" s="16">
        <v>0.36263130636156998</v>
      </c>
      <c r="D22" s="16">
        <v>2.8566965613917101E-2</v>
      </c>
      <c r="E22" s="16">
        <v>12.694078582322556</v>
      </c>
      <c r="F22" s="16">
        <v>5.6973623839041607E-32</v>
      </c>
      <c r="G22" s="16">
        <v>0.30649714247179261</v>
      </c>
      <c r="H22" s="16">
        <v>0.41876547025134736</v>
      </c>
      <c r="I22" s="16">
        <v>0.30649714247179261</v>
      </c>
      <c r="J22" s="16">
        <v>0.41876547025134736</v>
      </c>
    </row>
    <row r="25" spans="2:10" x14ac:dyDescent="0.3">
      <c r="B25" s="27" t="s">
        <v>690</v>
      </c>
    </row>
    <row r="27" spans="2:10" x14ac:dyDescent="0.3">
      <c r="B27" t="s">
        <v>659</v>
      </c>
    </row>
    <row r="28" spans="2:10" ht="15" thickBot="1" x14ac:dyDescent="0.35"/>
    <row r="29" spans="2:10" x14ac:dyDescent="0.3">
      <c r="B29" s="54" t="s">
        <v>660</v>
      </c>
      <c r="C29" s="54"/>
    </row>
    <row r="30" spans="2:10" x14ac:dyDescent="0.3">
      <c r="B30" t="s">
        <v>661</v>
      </c>
      <c r="C30">
        <v>0.85970805631376745</v>
      </c>
    </row>
    <row r="31" spans="2:10" x14ac:dyDescent="0.3">
      <c r="B31" t="s">
        <v>662</v>
      </c>
      <c r="C31">
        <v>0.73909794209079605</v>
      </c>
    </row>
    <row r="32" spans="2:10" x14ac:dyDescent="0.3">
      <c r="B32" t="s">
        <v>663</v>
      </c>
      <c r="C32">
        <v>0.73799242489626549</v>
      </c>
    </row>
    <row r="33" spans="2:10" x14ac:dyDescent="0.3">
      <c r="B33" t="s">
        <v>582</v>
      </c>
      <c r="C33">
        <v>3.000513789330463</v>
      </c>
    </row>
    <row r="34" spans="2:10" ht="15" thickBot="1" x14ac:dyDescent="0.35">
      <c r="B34" s="16" t="s">
        <v>664</v>
      </c>
      <c r="C34" s="16">
        <v>475</v>
      </c>
    </row>
    <row r="36" spans="2:10" ht="15" thickBot="1" x14ac:dyDescent="0.35">
      <c r="B36" t="s">
        <v>644</v>
      </c>
    </row>
    <row r="37" spans="2:10" x14ac:dyDescent="0.3">
      <c r="B37" s="17"/>
      <c r="C37" s="17" t="s">
        <v>646</v>
      </c>
      <c r="D37" s="17" t="s">
        <v>645</v>
      </c>
      <c r="E37" s="17" t="s">
        <v>647</v>
      </c>
      <c r="F37" s="17" t="s">
        <v>102</v>
      </c>
      <c r="G37" s="17" t="s">
        <v>668</v>
      </c>
    </row>
    <row r="38" spans="2:10" x14ac:dyDescent="0.3">
      <c r="B38" t="s">
        <v>665</v>
      </c>
      <c r="C38">
        <v>2</v>
      </c>
      <c r="D38">
        <v>12038.094297702037</v>
      </c>
      <c r="E38">
        <v>6019.0471488510184</v>
      </c>
      <c r="F38">
        <v>668.55399965503523</v>
      </c>
      <c r="G38">
        <v>1.9439769255792976E-138</v>
      </c>
    </row>
    <row r="39" spans="2:10" x14ac:dyDescent="0.3">
      <c r="B39" t="s">
        <v>666</v>
      </c>
      <c r="C39">
        <v>472</v>
      </c>
      <c r="D39">
        <v>4249.4551759821843</v>
      </c>
      <c r="E39">
        <v>9.0030829999622544</v>
      </c>
    </row>
    <row r="40" spans="2:10" ht="15" thickBot="1" x14ac:dyDescent="0.35">
      <c r="B40" s="16" t="s">
        <v>643</v>
      </c>
      <c r="C40" s="16">
        <v>474</v>
      </c>
      <c r="D40" s="16">
        <v>16287.549473684221</v>
      </c>
      <c r="E40" s="16"/>
      <c r="F40" s="16"/>
      <c r="G40" s="16"/>
    </row>
    <row r="41" spans="2:10" ht="15" thickBot="1" x14ac:dyDescent="0.35"/>
    <row r="42" spans="2:10" x14ac:dyDescent="0.3">
      <c r="B42" s="17"/>
      <c r="C42" s="17" t="s">
        <v>669</v>
      </c>
      <c r="D42" s="17" t="s">
        <v>582</v>
      </c>
      <c r="E42" s="17" t="s">
        <v>670</v>
      </c>
      <c r="F42" s="17" t="s">
        <v>648</v>
      </c>
      <c r="G42" s="17" t="s">
        <v>671</v>
      </c>
      <c r="H42" s="17" t="s">
        <v>672</v>
      </c>
      <c r="I42" s="17" t="s">
        <v>673</v>
      </c>
      <c r="J42" s="17" t="s">
        <v>674</v>
      </c>
    </row>
    <row r="43" spans="2:10" x14ac:dyDescent="0.3">
      <c r="B43" t="s">
        <v>667</v>
      </c>
      <c r="C43">
        <v>5.0346246928493237</v>
      </c>
      <c r="D43">
        <v>0.25960775754848059</v>
      </c>
      <c r="E43">
        <v>19.393198186341291</v>
      </c>
      <c r="F43">
        <v>4.7581867903277737E-62</v>
      </c>
      <c r="G43">
        <v>4.5244947544359677</v>
      </c>
      <c r="H43">
        <v>5.5447546312626796</v>
      </c>
      <c r="I43">
        <v>4.5244947544359677</v>
      </c>
      <c r="J43">
        <v>5.5447546312626796</v>
      </c>
    </row>
    <row r="44" spans="2:10" x14ac:dyDescent="0.3">
      <c r="B44" t="s">
        <v>8</v>
      </c>
      <c r="C44">
        <v>0.70183911970890522</v>
      </c>
      <c r="D44">
        <v>5.5288701354525058E-2</v>
      </c>
      <c r="E44">
        <v>12.694078582322566</v>
      </c>
      <c r="F44">
        <v>5.6973623839037524E-32</v>
      </c>
      <c r="G44">
        <v>0.59319667356909267</v>
      </c>
      <c r="H44">
        <v>0.81048156584871778</v>
      </c>
      <c r="I44">
        <v>0.59319667356909267</v>
      </c>
      <c r="J44">
        <v>0.81048156584871778</v>
      </c>
    </row>
    <row r="45" spans="2:10" ht="15" thickBot="1" x14ac:dyDescent="0.35">
      <c r="B45" s="16" t="s">
        <v>9</v>
      </c>
      <c r="C45" s="16">
        <v>0.41695012020886479</v>
      </c>
      <c r="D45" s="16">
        <v>7.0378818627028397E-2</v>
      </c>
      <c r="E45" s="16">
        <v>5.9243694103262285</v>
      </c>
      <c r="F45" s="16">
        <v>6.0489870291945341E-9</v>
      </c>
      <c r="G45" s="16">
        <v>0.27865555324044067</v>
      </c>
      <c r="H45" s="16">
        <v>0.55524468717728892</v>
      </c>
      <c r="I45" s="16">
        <v>0.27865555324044067</v>
      </c>
      <c r="J45" s="16">
        <v>0.55524468717728892</v>
      </c>
    </row>
    <row r="48" spans="2:10" x14ac:dyDescent="0.3">
      <c r="B48" s="27" t="s">
        <v>691</v>
      </c>
    </row>
    <row r="50" spans="2:7" x14ac:dyDescent="0.3">
      <c r="B50" t="s">
        <v>659</v>
      </c>
    </row>
    <row r="51" spans="2:7" ht="15" thickBot="1" x14ac:dyDescent="0.35"/>
    <row r="52" spans="2:7" x14ac:dyDescent="0.3">
      <c r="B52" s="54" t="s">
        <v>660</v>
      </c>
      <c r="C52" s="54"/>
    </row>
    <row r="53" spans="2:7" x14ac:dyDescent="0.3">
      <c r="B53" t="s">
        <v>661</v>
      </c>
      <c r="C53">
        <v>0.87885744384637621</v>
      </c>
    </row>
    <row r="54" spans="2:7" x14ac:dyDescent="0.3">
      <c r="B54" t="s">
        <v>662</v>
      </c>
      <c r="C54">
        <v>0.77239040660418634</v>
      </c>
    </row>
    <row r="55" spans="2:7" x14ac:dyDescent="0.3">
      <c r="B55" t="s">
        <v>663</v>
      </c>
      <c r="C55">
        <v>0.77142595917454304</v>
      </c>
    </row>
    <row r="56" spans="2:7" x14ac:dyDescent="0.3">
      <c r="B56" t="s">
        <v>582</v>
      </c>
      <c r="C56">
        <v>1.8932485815743956</v>
      </c>
    </row>
    <row r="57" spans="2:7" ht="15" thickBot="1" x14ac:dyDescent="0.35">
      <c r="B57" s="16" t="s">
        <v>664</v>
      </c>
      <c r="C57" s="16">
        <v>475</v>
      </c>
    </row>
    <row r="59" spans="2:7" ht="15" thickBot="1" x14ac:dyDescent="0.35">
      <c r="B59" t="s">
        <v>644</v>
      </c>
    </row>
    <row r="60" spans="2:7" x14ac:dyDescent="0.3">
      <c r="B60" s="17"/>
      <c r="C60" s="17" t="s">
        <v>646</v>
      </c>
      <c r="D60" s="17" t="s">
        <v>645</v>
      </c>
      <c r="E60" s="17" t="s">
        <v>647</v>
      </c>
      <c r="F60" s="17" t="s">
        <v>102</v>
      </c>
      <c r="G60" s="17" t="s">
        <v>668</v>
      </c>
    </row>
    <row r="61" spans="2:7" x14ac:dyDescent="0.3">
      <c r="B61" t="s">
        <v>665</v>
      </c>
      <c r="C61">
        <v>2</v>
      </c>
      <c r="D61">
        <v>5741.2120400752865</v>
      </c>
      <c r="E61">
        <v>2870.6060200376432</v>
      </c>
      <c r="F61">
        <v>800.86315009400926</v>
      </c>
      <c r="G61">
        <v>1.9814031890716542E-152</v>
      </c>
    </row>
    <row r="62" spans="2:7" x14ac:dyDescent="0.3">
      <c r="B62" t="s">
        <v>666</v>
      </c>
      <c r="C62">
        <v>472</v>
      </c>
      <c r="D62">
        <v>1691.8321704509935</v>
      </c>
      <c r="E62">
        <v>3.5843901916334611</v>
      </c>
    </row>
    <row r="63" spans="2:7" ht="15" thickBot="1" x14ac:dyDescent="0.35">
      <c r="B63" s="16" t="s">
        <v>643</v>
      </c>
      <c r="C63" s="16">
        <v>474</v>
      </c>
      <c r="D63" s="16">
        <v>7433.04421052628</v>
      </c>
      <c r="E63" s="16"/>
      <c r="F63" s="16"/>
      <c r="G63" s="16"/>
    </row>
    <row r="64" spans="2:7" ht="15" thickBot="1" x14ac:dyDescent="0.35"/>
    <row r="65" spans="2:34" x14ac:dyDescent="0.3">
      <c r="B65" s="17"/>
      <c r="C65" s="17" t="s">
        <v>669</v>
      </c>
      <c r="D65" s="17" t="s">
        <v>582</v>
      </c>
      <c r="E65" s="17" t="s">
        <v>670</v>
      </c>
      <c r="F65" s="17" t="s">
        <v>648</v>
      </c>
      <c r="G65" s="17" t="s">
        <v>671</v>
      </c>
      <c r="H65" s="17" t="s">
        <v>672</v>
      </c>
      <c r="I65" s="17" t="s">
        <v>673</v>
      </c>
      <c r="J65" s="17" t="s">
        <v>674</v>
      </c>
    </row>
    <row r="66" spans="2:34" x14ac:dyDescent="0.3">
      <c r="B66" t="s">
        <v>667</v>
      </c>
      <c r="C66">
        <v>0.9289568389036349</v>
      </c>
      <c r="D66">
        <v>0.21537061810526933</v>
      </c>
      <c r="E66">
        <v>4.3132942045491891</v>
      </c>
      <c r="F66">
        <v>1.9598184848327594E-5</v>
      </c>
      <c r="G66">
        <v>0.50575299789526151</v>
      </c>
      <c r="H66">
        <v>1.3521606799120083</v>
      </c>
      <c r="I66">
        <v>0.50575299789526151</v>
      </c>
      <c r="J66">
        <v>1.3521606799120083</v>
      </c>
    </row>
    <row r="67" spans="2:34" x14ac:dyDescent="0.3">
      <c r="B67" t="s">
        <v>8</v>
      </c>
      <c r="C67">
        <v>0.51904748758285124</v>
      </c>
      <c r="D67">
        <v>3.2584040091893154E-2</v>
      </c>
      <c r="E67">
        <v>15.929500642616421</v>
      </c>
      <c r="F67">
        <v>4.965395382542708E-46</v>
      </c>
      <c r="G67">
        <v>0.45501976159229918</v>
      </c>
      <c r="H67">
        <v>0.58307521357340331</v>
      </c>
      <c r="I67">
        <v>0.45501976159229918</v>
      </c>
      <c r="J67">
        <v>0.58307521357340331</v>
      </c>
    </row>
    <row r="68" spans="2:34" ht="15" thickBot="1" x14ac:dyDescent="0.35">
      <c r="B68" s="16" t="s">
        <v>10</v>
      </c>
      <c r="C68" s="16">
        <v>0.16600001591491639</v>
      </c>
      <c r="D68" s="16">
        <v>2.8019862438958845E-2</v>
      </c>
      <c r="E68" s="16">
        <v>5.9243694103262197</v>
      </c>
      <c r="F68" s="16">
        <v>6.0489870291948898E-9</v>
      </c>
      <c r="G68" s="16">
        <v>0.11094091122823348</v>
      </c>
      <c r="H68" s="16">
        <v>0.22105912060159932</v>
      </c>
      <c r="I68" s="16">
        <v>0.11094091122823348</v>
      </c>
      <c r="J68" s="16">
        <v>0.22105912060159932</v>
      </c>
    </row>
    <row r="78" spans="2:34" x14ac:dyDescent="0.3">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row>
    <row r="80" spans="2:34" x14ac:dyDescent="0.3">
      <c r="B80" s="6" t="s">
        <v>696</v>
      </c>
    </row>
    <row r="81" spans="2:11" x14ac:dyDescent="0.3">
      <c r="B81" s="55" t="s">
        <v>675</v>
      </c>
      <c r="C81" s="56" t="s">
        <v>676</v>
      </c>
      <c r="D81" s="56" t="s">
        <v>677</v>
      </c>
      <c r="E81" s="55" t="s">
        <v>634</v>
      </c>
      <c r="I81" s="6" t="s">
        <v>678</v>
      </c>
      <c r="J81" s="6" t="s">
        <v>679</v>
      </c>
      <c r="K81" s="6" t="s">
        <v>680</v>
      </c>
    </row>
    <row r="82" spans="2:11" x14ac:dyDescent="0.3">
      <c r="B82" s="58" t="s">
        <v>655</v>
      </c>
      <c r="C82" s="59">
        <f>C8</f>
        <v>0.81770150100470107</v>
      </c>
      <c r="D82" s="61">
        <f>1/(1-C82)</f>
        <v>5.4855086877363028</v>
      </c>
      <c r="E82" s="58" t="str" cm="1">
        <f t="array" ref="E82">_xlfn.IFS(D82=1,"No Correlation",D82&lt;=5,"Moderate Correlation",D82&gt;5,"High multicollinearity",D82&gt;10,"Severe multicollinearity", TRUE, "Error")</f>
        <v>High multicollinearity</v>
      </c>
      <c r="I82" t="s">
        <v>681</v>
      </c>
      <c r="J82" t="s">
        <v>682</v>
      </c>
      <c r="K82" t="s">
        <v>683</v>
      </c>
    </row>
    <row r="83" spans="2:11" x14ac:dyDescent="0.3">
      <c r="B83" t="s">
        <v>657</v>
      </c>
      <c r="C83">
        <f>C31</f>
        <v>0.73909794209079605</v>
      </c>
      <c r="D83" s="61">
        <f t="shared" ref="D83:D84" si="0">1/(1-C83)</f>
        <v>3.8328559307416739</v>
      </c>
      <c r="E83" s="58" t="str" cm="1">
        <f t="array" ref="E83">_xlfn.IFS(D83=1,"No Correlation",D83&lt;=5,"Moderate Correlation",D83&gt;5,"High multicollinearity",D83&gt;10,"Severe multicollinearity", TRUE, "Error")</f>
        <v>Moderate Correlation</v>
      </c>
      <c r="I83" t="s">
        <v>684</v>
      </c>
      <c r="J83" t="s">
        <v>682</v>
      </c>
      <c r="K83" t="s">
        <v>655</v>
      </c>
    </row>
    <row r="84" spans="2:11" x14ac:dyDescent="0.3">
      <c r="B84" t="s">
        <v>656</v>
      </c>
      <c r="C84">
        <f>C54</f>
        <v>0.77239040660418634</v>
      </c>
      <c r="D84" s="61">
        <f t="shared" si="0"/>
        <v>4.3934879241271583</v>
      </c>
      <c r="E84" s="58" t="str" cm="1">
        <f t="array" ref="E84">_xlfn.IFS(D84=1,"No Correlation",D84&lt;=5,"Moderate Correlation",D84&gt;5,"High multicollinearity",D84&gt;10,"Severe multicollinearity", TRUE, "Error")</f>
        <v>Moderate Correlation</v>
      </c>
      <c r="I84" t="s">
        <v>685</v>
      </c>
      <c r="J84" t="s">
        <v>682</v>
      </c>
      <c r="K84" t="s">
        <v>656</v>
      </c>
    </row>
    <row r="85" spans="2:11" x14ac:dyDescent="0.3">
      <c r="I85" t="s">
        <v>686</v>
      </c>
      <c r="J85" t="s">
        <v>682</v>
      </c>
      <c r="K85" t="s">
        <v>657</v>
      </c>
    </row>
    <row r="86" spans="2:11" x14ac:dyDescent="0.3">
      <c r="I86" s="2" t="s">
        <v>687</v>
      </c>
      <c r="J86" s="2" t="s">
        <v>682</v>
      </c>
      <c r="K86" s="2" t="s">
        <v>688</v>
      </c>
    </row>
    <row r="92" spans="2:11" x14ac:dyDescent="0.3">
      <c r="B92" s="27" t="s">
        <v>695</v>
      </c>
    </row>
    <row r="94" spans="2:11" x14ac:dyDescent="0.3">
      <c r="B94" t="s">
        <v>659</v>
      </c>
    </row>
    <row r="95" spans="2:11" ht="15" thickBot="1" x14ac:dyDescent="0.35"/>
    <row r="96" spans="2:11" x14ac:dyDescent="0.3">
      <c r="B96" s="54" t="s">
        <v>660</v>
      </c>
      <c r="C96" s="54"/>
    </row>
    <row r="97" spans="2:10" x14ac:dyDescent="0.3">
      <c r="B97" t="s">
        <v>661</v>
      </c>
      <c r="C97">
        <v>0.34325715614671115</v>
      </c>
    </row>
    <row r="98" spans="2:10" x14ac:dyDescent="0.3">
      <c r="B98" t="s">
        <v>662</v>
      </c>
      <c r="C98" s="60">
        <v>0.11782547524592762</v>
      </c>
    </row>
    <row r="99" spans="2:10" x14ac:dyDescent="0.3">
      <c r="B99" t="s">
        <v>663</v>
      </c>
      <c r="C99">
        <v>0.11220652922838575</v>
      </c>
    </row>
    <row r="100" spans="2:10" x14ac:dyDescent="0.3">
      <c r="B100" t="s">
        <v>582</v>
      </c>
      <c r="C100">
        <v>0.36665703156237711</v>
      </c>
    </row>
    <row r="101" spans="2:10" ht="15" thickBot="1" x14ac:dyDescent="0.35">
      <c r="B101" s="16" t="s">
        <v>664</v>
      </c>
      <c r="C101" s="16">
        <v>475</v>
      </c>
    </row>
    <row r="103" spans="2:10" ht="15" thickBot="1" x14ac:dyDescent="0.35">
      <c r="B103" t="s">
        <v>644</v>
      </c>
    </row>
    <row r="104" spans="2:10" x14ac:dyDescent="0.3">
      <c r="B104" s="17"/>
      <c r="C104" s="17" t="s">
        <v>646</v>
      </c>
      <c r="D104" s="17" t="s">
        <v>645</v>
      </c>
      <c r="E104" s="17" t="s">
        <v>647</v>
      </c>
      <c r="F104" s="17" t="s">
        <v>102</v>
      </c>
      <c r="G104" s="17" t="s">
        <v>668</v>
      </c>
    </row>
    <row r="105" spans="2:10" x14ac:dyDescent="0.3">
      <c r="B105" t="s">
        <v>665</v>
      </c>
      <c r="C105">
        <v>3</v>
      </c>
      <c r="D105">
        <v>8.457181114278761</v>
      </c>
      <c r="E105">
        <v>2.8190603714262537</v>
      </c>
      <c r="F105">
        <v>20.969319669220294</v>
      </c>
      <c r="G105">
        <v>9.1110180689410597E-13</v>
      </c>
    </row>
    <row r="106" spans="2:10" x14ac:dyDescent="0.3">
      <c r="B106" t="s">
        <v>666</v>
      </c>
      <c r="C106">
        <v>471</v>
      </c>
      <c r="D106">
        <v>63.320005412037112</v>
      </c>
      <c r="E106">
        <v>0.134437378794134</v>
      </c>
    </row>
    <row r="107" spans="2:10" ht="15" thickBot="1" x14ac:dyDescent="0.35">
      <c r="B107" s="16" t="s">
        <v>643</v>
      </c>
      <c r="C107" s="16">
        <v>474</v>
      </c>
      <c r="D107" s="16">
        <v>71.777186526315873</v>
      </c>
      <c r="E107" s="16"/>
      <c r="F107" s="16"/>
      <c r="G107" s="16"/>
    </row>
    <row r="108" spans="2:10" ht="15" thickBot="1" x14ac:dyDescent="0.35"/>
    <row r="109" spans="2:10" x14ac:dyDescent="0.3">
      <c r="B109" s="17"/>
      <c r="C109" s="17" t="s">
        <v>669</v>
      </c>
      <c r="D109" s="17" t="s">
        <v>582</v>
      </c>
      <c r="E109" s="17" t="s">
        <v>670</v>
      </c>
      <c r="F109" s="17" t="s">
        <v>648</v>
      </c>
      <c r="G109" s="17" t="s">
        <v>671</v>
      </c>
      <c r="H109" s="17" t="s">
        <v>672</v>
      </c>
      <c r="I109" s="17" t="s">
        <v>673</v>
      </c>
      <c r="J109" s="17" t="s">
        <v>674</v>
      </c>
    </row>
    <row r="110" spans="2:10" x14ac:dyDescent="0.3">
      <c r="B110" t="s">
        <v>667</v>
      </c>
      <c r="C110">
        <v>3.1219333401246208</v>
      </c>
      <c r="D110">
        <v>4.2523950100893437E-2</v>
      </c>
      <c r="E110">
        <v>73.415882878176646</v>
      </c>
      <c r="F110">
        <v>5.3000635997803392E-260</v>
      </c>
      <c r="G110">
        <v>3.038373208296655</v>
      </c>
      <c r="H110">
        <v>3.2054934719525865</v>
      </c>
      <c r="I110">
        <v>3.038373208296655</v>
      </c>
      <c r="J110">
        <v>3.2054934719525865</v>
      </c>
    </row>
    <row r="111" spans="2:10" x14ac:dyDescent="0.3">
      <c r="B111" t="s">
        <v>8</v>
      </c>
      <c r="C111" s="72">
        <v>-1.1692805603566088E-2</v>
      </c>
      <c r="D111">
        <v>7.8249132297197165E-3</v>
      </c>
      <c r="E111">
        <v>-1.4943048261744005</v>
      </c>
      <c r="F111">
        <v>0.13576559000186916</v>
      </c>
      <c r="G111">
        <v>-2.7068864964618605E-2</v>
      </c>
      <c r="H111">
        <v>3.6832537574864304E-3</v>
      </c>
      <c r="I111">
        <v>-2.7068864964618605E-2</v>
      </c>
      <c r="J111">
        <v>3.6832537574864304E-3</v>
      </c>
    </row>
    <row r="112" spans="2:10" x14ac:dyDescent="0.3">
      <c r="B112" t="s">
        <v>9</v>
      </c>
      <c r="C112" s="72">
        <v>-3.0754922545616226E-2</v>
      </c>
      <c r="D112">
        <v>8.9141795751295355E-3</v>
      </c>
      <c r="E112">
        <v>-3.4501125186463741</v>
      </c>
      <c r="F112">
        <v>6.1075617024531487E-4</v>
      </c>
      <c r="G112">
        <v>-4.8271404873073707E-2</v>
      </c>
      <c r="H112">
        <v>-1.3238440218158745E-2</v>
      </c>
      <c r="I112">
        <v>-4.8271404873073707E-2</v>
      </c>
      <c r="J112">
        <v>-1.3238440218158745E-2</v>
      </c>
    </row>
    <row r="113" spans="2:32" ht="15" thickBot="1" x14ac:dyDescent="0.35">
      <c r="B113" s="16" t="s">
        <v>10</v>
      </c>
      <c r="C113" s="62">
        <v>9.0804386508667994E-3</v>
      </c>
      <c r="D113" s="16">
        <v>5.6246226551351251E-3</v>
      </c>
      <c r="E113" s="16">
        <v>1.6144085048223831</v>
      </c>
      <c r="F113" s="16">
        <v>0.1071085322074786</v>
      </c>
      <c r="G113" s="16">
        <v>-1.9720202441919424E-3</v>
      </c>
      <c r="H113" s="16">
        <v>2.0132897545925541E-2</v>
      </c>
      <c r="I113" s="16">
        <v>-1.9720202441919424E-3</v>
      </c>
      <c r="J113" s="16">
        <v>2.0132897545925541E-2</v>
      </c>
    </row>
    <row r="117" spans="2:32" x14ac:dyDescent="0.3">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row>
    <row r="119" spans="2:32" x14ac:dyDescent="0.3">
      <c r="B119" s="27" t="s">
        <v>684</v>
      </c>
      <c r="L119" s="27" t="s">
        <v>685</v>
      </c>
      <c r="V119" s="27" t="s">
        <v>686</v>
      </c>
    </row>
    <row r="121" spans="2:32" x14ac:dyDescent="0.3">
      <c r="B121" t="s">
        <v>659</v>
      </c>
      <c r="L121" t="s">
        <v>659</v>
      </c>
      <c r="V121" t="s">
        <v>659</v>
      </c>
    </row>
    <row r="122" spans="2:32" ht="15" thickBot="1" x14ac:dyDescent="0.35"/>
    <row r="123" spans="2:32" x14ac:dyDescent="0.3">
      <c r="B123" s="54" t="s">
        <v>660</v>
      </c>
      <c r="C123" s="54"/>
      <c r="L123" s="54" t="s">
        <v>660</v>
      </c>
      <c r="M123" s="54"/>
      <c r="V123" s="54" t="s">
        <v>660</v>
      </c>
      <c r="W123" s="54"/>
    </row>
    <row r="124" spans="2:32" x14ac:dyDescent="0.3">
      <c r="B124" t="s">
        <v>661</v>
      </c>
      <c r="C124">
        <v>0.30745045106307822</v>
      </c>
      <c r="L124" t="s">
        <v>661</v>
      </c>
      <c r="M124">
        <v>0.33433912923913245</v>
      </c>
      <c r="V124" t="s">
        <v>661</v>
      </c>
      <c r="W124">
        <v>0.24404082395612064</v>
      </c>
    </row>
    <row r="125" spans="2:32" x14ac:dyDescent="0.3">
      <c r="B125" t="s">
        <v>662</v>
      </c>
      <c r="C125" s="60">
        <v>9.4525779858890241E-2</v>
      </c>
      <c r="L125" t="s">
        <v>662</v>
      </c>
      <c r="M125" s="60">
        <v>0.11178265334038132</v>
      </c>
      <c r="V125" t="s">
        <v>662</v>
      </c>
      <c r="W125" s="60">
        <v>5.9555923757182272E-2</v>
      </c>
    </row>
    <row r="126" spans="2:32" x14ac:dyDescent="0.3">
      <c r="B126" t="s">
        <v>663</v>
      </c>
      <c r="C126">
        <v>9.2611458040410086E-2</v>
      </c>
      <c r="L126" t="s">
        <v>663</v>
      </c>
      <c r="M126">
        <v>0.10990481539818339</v>
      </c>
      <c r="V126" t="s">
        <v>663</v>
      </c>
      <c r="W126">
        <v>5.7567669896203801E-2</v>
      </c>
    </row>
    <row r="127" spans="2:32" x14ac:dyDescent="0.3">
      <c r="B127" t="s">
        <v>582</v>
      </c>
      <c r="C127">
        <v>0.37068131088098538</v>
      </c>
      <c r="L127" t="s">
        <v>582</v>
      </c>
      <c r="M127">
        <v>0.36713202563019975</v>
      </c>
      <c r="V127" t="s">
        <v>582</v>
      </c>
      <c r="W127">
        <v>0.37777144974325361</v>
      </c>
    </row>
    <row r="128" spans="2:32" ht="15" thickBot="1" x14ac:dyDescent="0.35">
      <c r="B128" s="16" t="s">
        <v>664</v>
      </c>
      <c r="C128" s="16">
        <v>475</v>
      </c>
      <c r="L128" s="16" t="s">
        <v>664</v>
      </c>
      <c r="M128" s="16">
        <v>475</v>
      </c>
      <c r="V128" s="16" t="s">
        <v>664</v>
      </c>
      <c r="W128" s="16">
        <v>475</v>
      </c>
    </row>
    <row r="130" spans="2:33" ht="15" thickBot="1" x14ac:dyDescent="0.35">
      <c r="B130" t="s">
        <v>644</v>
      </c>
      <c r="L130" t="s">
        <v>644</v>
      </c>
      <c r="V130" t="s">
        <v>644</v>
      </c>
    </row>
    <row r="131" spans="2:33" x14ac:dyDescent="0.3">
      <c r="B131" s="17"/>
      <c r="C131" s="17" t="s">
        <v>646</v>
      </c>
      <c r="D131" s="17" t="s">
        <v>645</v>
      </c>
      <c r="E131" s="17" t="s">
        <v>647</v>
      </c>
      <c r="F131" s="17" t="s">
        <v>102</v>
      </c>
      <c r="G131" s="17" t="s">
        <v>668</v>
      </c>
      <c r="L131" s="17"/>
      <c r="M131" s="17" t="s">
        <v>646</v>
      </c>
      <c r="N131" s="17" t="s">
        <v>645</v>
      </c>
      <c r="O131" s="17" t="s">
        <v>647</v>
      </c>
      <c r="P131" s="17" t="s">
        <v>102</v>
      </c>
      <c r="Q131" s="17" t="s">
        <v>668</v>
      </c>
      <c r="V131" s="17"/>
      <c r="W131" s="17" t="s">
        <v>646</v>
      </c>
      <c r="X131" s="17" t="s">
        <v>645</v>
      </c>
      <c r="Y131" s="17" t="s">
        <v>647</v>
      </c>
      <c r="Z131" s="17" t="s">
        <v>102</v>
      </c>
      <c r="AA131" s="17" t="s">
        <v>668</v>
      </c>
    </row>
    <row r="132" spans="2:33" x14ac:dyDescent="0.3">
      <c r="B132" t="s">
        <v>665</v>
      </c>
      <c r="C132">
        <v>1</v>
      </c>
      <c r="D132">
        <v>6.7847945324770365</v>
      </c>
      <c r="E132">
        <v>6.7847945324770365</v>
      </c>
      <c r="F132">
        <v>49.378207439508692</v>
      </c>
      <c r="G132">
        <v>7.4018985545946367E-12</v>
      </c>
      <c r="L132" t="s">
        <v>665</v>
      </c>
      <c r="M132">
        <v>1</v>
      </c>
      <c r="N132">
        <v>8.0234443592190559</v>
      </c>
      <c r="O132">
        <v>8.0234443592190559</v>
      </c>
      <c r="P132">
        <v>59.527316403855764</v>
      </c>
      <c r="Q132">
        <v>7.2095910324554196E-14</v>
      </c>
      <c r="V132" t="s">
        <v>665</v>
      </c>
      <c r="W132">
        <v>1</v>
      </c>
      <c r="X132">
        <v>4.2747566482663188</v>
      </c>
      <c r="Y132">
        <v>4.2747566482663188</v>
      </c>
      <c r="Z132">
        <v>29.953883116250157</v>
      </c>
      <c r="AA132">
        <v>7.1889195081425206E-8</v>
      </c>
    </row>
    <row r="133" spans="2:33" x14ac:dyDescent="0.3">
      <c r="B133" t="s">
        <v>666</v>
      </c>
      <c r="C133">
        <v>473</v>
      </c>
      <c r="D133">
        <v>64.992391993838837</v>
      </c>
      <c r="E133">
        <v>0.13740463423644575</v>
      </c>
      <c r="L133" t="s">
        <v>666</v>
      </c>
      <c r="M133">
        <v>473</v>
      </c>
      <c r="N133">
        <v>63.753742167096817</v>
      </c>
      <c r="O133">
        <v>0.13478592424333366</v>
      </c>
      <c r="V133" t="s">
        <v>666</v>
      </c>
      <c r="W133">
        <v>473</v>
      </c>
      <c r="X133">
        <v>67.502429878049554</v>
      </c>
      <c r="Y133">
        <v>0.14271126824111957</v>
      </c>
    </row>
    <row r="134" spans="2:33" ht="15" thickBot="1" x14ac:dyDescent="0.35">
      <c r="B134" s="16" t="s">
        <v>643</v>
      </c>
      <c r="C134" s="16">
        <v>474</v>
      </c>
      <c r="D134" s="16">
        <v>71.777186526315873</v>
      </c>
      <c r="E134" s="16"/>
      <c r="F134" s="16"/>
      <c r="G134" s="16"/>
      <c r="L134" s="16" t="s">
        <v>643</v>
      </c>
      <c r="M134" s="16">
        <v>474</v>
      </c>
      <c r="N134" s="16">
        <v>71.777186526315873</v>
      </c>
      <c r="O134" s="16"/>
      <c r="P134" s="16"/>
      <c r="Q134" s="16"/>
      <c r="V134" s="16" t="s">
        <v>643</v>
      </c>
      <c r="W134" s="16">
        <v>474</v>
      </c>
      <c r="X134" s="16">
        <v>71.777186526315873</v>
      </c>
      <c r="Y134" s="16"/>
      <c r="Z134" s="16"/>
      <c r="AA134" s="16"/>
    </row>
    <row r="135" spans="2:33" ht="15" thickBot="1" x14ac:dyDescent="0.35"/>
    <row r="136" spans="2:33" x14ac:dyDescent="0.3">
      <c r="B136" s="17"/>
      <c r="C136" s="17" t="s">
        <v>669</v>
      </c>
      <c r="D136" s="17" t="s">
        <v>582</v>
      </c>
      <c r="E136" s="17" t="s">
        <v>670</v>
      </c>
      <c r="F136" s="17" t="s">
        <v>648</v>
      </c>
      <c r="G136" s="17" t="s">
        <v>671</v>
      </c>
      <c r="H136" s="17" t="s">
        <v>672</v>
      </c>
      <c r="I136" s="17" t="s">
        <v>673</v>
      </c>
      <c r="J136" s="17" t="s">
        <v>674</v>
      </c>
      <c r="L136" s="17"/>
      <c r="M136" s="17" t="s">
        <v>669</v>
      </c>
      <c r="N136" s="17" t="s">
        <v>582</v>
      </c>
      <c r="O136" s="17" t="s">
        <v>670</v>
      </c>
      <c r="P136" s="17" t="s">
        <v>648</v>
      </c>
      <c r="Q136" s="17" t="s">
        <v>671</v>
      </c>
      <c r="R136" s="17" t="s">
        <v>672</v>
      </c>
      <c r="S136" s="17" t="s">
        <v>673</v>
      </c>
      <c r="T136" s="17" t="s">
        <v>674</v>
      </c>
      <c r="V136" s="17"/>
      <c r="W136" s="17" t="s">
        <v>669</v>
      </c>
      <c r="X136" s="17" t="s">
        <v>582</v>
      </c>
      <c r="Y136" s="17" t="s">
        <v>670</v>
      </c>
      <c r="Z136" s="17" t="s">
        <v>648</v>
      </c>
      <c r="AA136" s="17" t="s">
        <v>671</v>
      </c>
      <c r="AB136" s="17" t="s">
        <v>672</v>
      </c>
      <c r="AC136" s="17" t="s">
        <v>673</v>
      </c>
      <c r="AD136" s="17" t="s">
        <v>674</v>
      </c>
    </row>
    <row r="137" spans="2:33" x14ac:dyDescent="0.3">
      <c r="B137" t="s">
        <v>667</v>
      </c>
      <c r="C137">
        <v>3.1165189510773814</v>
      </c>
      <c r="D137">
        <v>2.7511218032260289E-2</v>
      </c>
      <c r="E137">
        <v>113.28175100872959</v>
      </c>
      <c r="F137">
        <v>0</v>
      </c>
      <c r="G137">
        <v>3.0624596278160841</v>
      </c>
      <c r="H137">
        <v>3.1705782743386788</v>
      </c>
      <c r="I137">
        <v>3.0624596278160841</v>
      </c>
      <c r="J137">
        <v>3.1705782743386788</v>
      </c>
      <c r="L137" t="s">
        <v>667</v>
      </c>
      <c r="M137">
        <v>3.1704807210816215</v>
      </c>
      <c r="N137">
        <v>3.1560034560389062E-2</v>
      </c>
      <c r="O137">
        <v>100.45872145719656</v>
      </c>
      <c r="P137">
        <v>0</v>
      </c>
      <c r="Q137">
        <v>3.1084655057452024</v>
      </c>
      <c r="R137">
        <v>3.2324959364180406</v>
      </c>
      <c r="S137">
        <v>3.1084655057452024</v>
      </c>
      <c r="T137">
        <v>3.2324959364180406</v>
      </c>
      <c r="V137" t="s">
        <v>667</v>
      </c>
      <c r="W137">
        <v>3.1612592750859352</v>
      </c>
      <c r="X137">
        <v>3.989995744542623E-2</v>
      </c>
      <c r="Y137">
        <v>79.229640267406182</v>
      </c>
      <c r="Z137">
        <v>3.541543567543288E-275</v>
      </c>
      <c r="AA137">
        <v>3.0828561780247652</v>
      </c>
      <c r="AB137">
        <v>3.2396623721471052</v>
      </c>
      <c r="AC137">
        <v>3.0828561780247652</v>
      </c>
      <c r="AD137">
        <v>3.2396623721471052</v>
      </c>
    </row>
    <row r="138" spans="2:33" ht="15" thickBot="1" x14ac:dyDescent="0.35">
      <c r="B138" s="16" t="s">
        <v>8</v>
      </c>
      <c r="C138" s="62">
        <v>-2.3734462927246496E-2</v>
      </c>
      <c r="D138" s="16">
        <v>3.377627476207646E-3</v>
      </c>
      <c r="E138" s="16">
        <v>-7.0269628887242552</v>
      </c>
      <c r="F138" s="16">
        <v>7.4018985545972394E-12</v>
      </c>
      <c r="G138" s="16">
        <v>-3.0371473886864411E-2</v>
      </c>
      <c r="H138" s="16">
        <v>-1.7097451967628581E-2</v>
      </c>
      <c r="I138" s="16">
        <v>-3.0371473886864411E-2</v>
      </c>
      <c r="J138" s="16">
        <v>-1.7097451967628581E-2</v>
      </c>
      <c r="L138" s="16" t="s">
        <v>9</v>
      </c>
      <c r="M138" s="62">
        <v>-3.2854666615307532E-2</v>
      </c>
      <c r="N138" s="16">
        <v>4.2583260622914192E-3</v>
      </c>
      <c r="O138" s="16">
        <v>-7.7153947665595926</v>
      </c>
      <c r="P138" s="16">
        <v>7.2095910324573444E-14</v>
      </c>
      <c r="Q138" s="16">
        <v>-4.1222243248355162E-2</v>
      </c>
      <c r="R138" s="16">
        <v>-2.4487089982259898E-2</v>
      </c>
      <c r="S138" s="16">
        <v>-4.1222243248355162E-2</v>
      </c>
      <c r="T138" s="16">
        <v>-2.4487089982259898E-2</v>
      </c>
      <c r="V138" s="16" t="s">
        <v>10</v>
      </c>
      <c r="W138" s="62">
        <v>-1.6200477833504361E-2</v>
      </c>
      <c r="X138" s="16">
        <v>2.9600650752365058E-3</v>
      </c>
      <c r="Y138" s="16">
        <v>-5.4730140796684887</v>
      </c>
      <c r="Z138" s="16">
        <v>7.1889195081447984E-8</v>
      </c>
      <c r="AA138" s="16">
        <v>-2.2016982016963088E-2</v>
      </c>
      <c r="AB138" s="16">
        <v>-1.0383973650045633E-2</v>
      </c>
      <c r="AC138" s="16">
        <v>-2.2016982016963088E-2</v>
      </c>
      <c r="AD138" s="16">
        <v>-1.0383973650045633E-2</v>
      </c>
    </row>
    <row r="141" spans="2:33" x14ac:dyDescent="0.3">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3" spans="2:33" x14ac:dyDescent="0.3">
      <c r="B143" s="27" t="s">
        <v>687</v>
      </c>
    </row>
    <row r="145" spans="2:10" x14ac:dyDescent="0.3">
      <c r="B145" t="s">
        <v>659</v>
      </c>
    </row>
    <row r="146" spans="2:10" ht="15" thickBot="1" x14ac:dyDescent="0.35"/>
    <row r="147" spans="2:10" x14ac:dyDescent="0.3">
      <c r="B147" s="54" t="s">
        <v>660</v>
      </c>
      <c r="C147" s="54"/>
    </row>
    <row r="148" spans="2:10" x14ac:dyDescent="0.3">
      <c r="B148" t="s">
        <v>661</v>
      </c>
      <c r="C148">
        <v>0.6438680017499846</v>
      </c>
    </row>
    <row r="149" spans="2:10" x14ac:dyDescent="0.3">
      <c r="B149" t="s">
        <v>662</v>
      </c>
      <c r="C149" s="60">
        <v>0.41456600367751822</v>
      </c>
    </row>
    <row r="150" spans="2:10" x14ac:dyDescent="0.3">
      <c r="B150" t="s">
        <v>663</v>
      </c>
      <c r="C150">
        <v>0.40194889168780956</v>
      </c>
    </row>
    <row r="151" spans="2:10" x14ac:dyDescent="0.3">
      <c r="B151" t="s">
        <v>582</v>
      </c>
      <c r="C151">
        <v>0.30093534201032868</v>
      </c>
    </row>
    <row r="152" spans="2:10" ht="15" thickBot="1" x14ac:dyDescent="0.35">
      <c r="B152" s="16" t="s">
        <v>664</v>
      </c>
      <c r="C152" s="16">
        <v>475</v>
      </c>
    </row>
    <row r="154" spans="2:10" ht="15" thickBot="1" x14ac:dyDescent="0.35">
      <c r="B154" t="s">
        <v>644</v>
      </c>
    </row>
    <row r="155" spans="2:10" x14ac:dyDescent="0.3">
      <c r="B155" s="17"/>
      <c r="C155" s="17" t="s">
        <v>646</v>
      </c>
      <c r="D155" s="17" t="s">
        <v>645</v>
      </c>
      <c r="E155" s="17" t="s">
        <v>647</v>
      </c>
      <c r="F155" s="17" t="s">
        <v>102</v>
      </c>
      <c r="G155" s="17" t="s">
        <v>668</v>
      </c>
    </row>
    <row r="156" spans="2:10" x14ac:dyDescent="0.3">
      <c r="B156" t="s">
        <v>665</v>
      </c>
      <c r="C156">
        <v>10</v>
      </c>
      <c r="D156">
        <v>29.756381373430578</v>
      </c>
      <c r="E156">
        <v>2.9756381373430578</v>
      </c>
      <c r="F156">
        <v>32.857440277590101</v>
      </c>
      <c r="G156">
        <v>4.32701325263846E-48</v>
      </c>
    </row>
    <row r="157" spans="2:10" x14ac:dyDescent="0.3">
      <c r="B157" t="s">
        <v>666</v>
      </c>
      <c r="C157">
        <v>464</v>
      </c>
      <c r="D157">
        <v>42.020805152885295</v>
      </c>
      <c r="E157">
        <v>9.0562080070873477E-2</v>
      </c>
    </row>
    <row r="158" spans="2:10" ht="15" thickBot="1" x14ac:dyDescent="0.35">
      <c r="B158" s="16" t="s">
        <v>643</v>
      </c>
      <c r="C158" s="16">
        <v>474</v>
      </c>
      <c r="D158" s="16">
        <v>71.777186526315873</v>
      </c>
      <c r="E158" s="16"/>
      <c r="F158" s="16"/>
      <c r="G158" s="16"/>
    </row>
    <row r="159" spans="2:10" ht="15" thickBot="1" x14ac:dyDescent="0.35"/>
    <row r="160" spans="2:10" x14ac:dyDescent="0.3">
      <c r="B160" s="17"/>
      <c r="C160" s="17" t="s">
        <v>669</v>
      </c>
      <c r="D160" s="17" t="s">
        <v>582</v>
      </c>
      <c r="E160" s="17" t="s">
        <v>670</v>
      </c>
      <c r="F160" s="17" t="s">
        <v>648</v>
      </c>
      <c r="G160" s="17" t="s">
        <v>671</v>
      </c>
      <c r="H160" s="17" t="s">
        <v>672</v>
      </c>
      <c r="I160" s="17" t="s">
        <v>673</v>
      </c>
      <c r="J160" s="17" t="s">
        <v>674</v>
      </c>
    </row>
    <row r="161" spans="2:10" x14ac:dyDescent="0.3">
      <c r="B161" t="s">
        <v>667</v>
      </c>
      <c r="C161">
        <v>1.7168676814308856</v>
      </c>
      <c r="D161">
        <v>0.12728554912286119</v>
      </c>
      <c r="E161">
        <v>13.488315784957608</v>
      </c>
      <c r="F161">
        <v>3.2333802188194107E-35</v>
      </c>
      <c r="G161">
        <v>1.4667401505321216</v>
      </c>
      <c r="H161">
        <v>1.9669952123296497</v>
      </c>
      <c r="I161">
        <v>1.4667401505321216</v>
      </c>
      <c r="J161">
        <v>1.9669952123296497</v>
      </c>
    </row>
    <row r="162" spans="2:10" x14ac:dyDescent="0.3">
      <c r="B162" t="s">
        <v>5</v>
      </c>
      <c r="C162" s="72">
        <v>6.4864672985888785E-2</v>
      </c>
      <c r="D162">
        <v>1.1116562349911924E-2</v>
      </c>
      <c r="E162">
        <v>5.8349578713425476</v>
      </c>
      <c r="F162">
        <v>1.010801985612299E-8</v>
      </c>
      <c r="G162">
        <v>4.301962999533121E-2</v>
      </c>
      <c r="H162">
        <v>8.6709715976446361E-2</v>
      </c>
      <c r="I162">
        <v>4.301962999533121E-2</v>
      </c>
      <c r="J162">
        <v>8.6709715976446361E-2</v>
      </c>
    </row>
    <row r="163" spans="2:10" x14ac:dyDescent="0.3">
      <c r="B163" t="s">
        <v>6</v>
      </c>
      <c r="C163" s="72">
        <v>4.8282833912732933E-3</v>
      </c>
      <c r="D163">
        <v>4.8056417882370939E-3</v>
      </c>
      <c r="E163">
        <v>1.0047114629083715</v>
      </c>
      <c r="F163">
        <v>0.31555946339937091</v>
      </c>
      <c r="G163">
        <v>-4.6152341420126189E-3</v>
      </c>
      <c r="H163">
        <v>1.4271800924559205E-2</v>
      </c>
      <c r="I163">
        <v>-4.6152341420126189E-3</v>
      </c>
      <c r="J163">
        <v>1.4271800924559205E-2</v>
      </c>
    </row>
    <row r="164" spans="2:10" x14ac:dyDescent="0.3">
      <c r="B164" t="s">
        <v>7</v>
      </c>
      <c r="C164" s="72">
        <v>2.2321841057038362E-3</v>
      </c>
      <c r="D164">
        <v>8.1057757757369581E-3</v>
      </c>
      <c r="E164">
        <v>0.27538192117100491</v>
      </c>
      <c r="F164">
        <v>0.78314542119248776</v>
      </c>
      <c r="G164">
        <v>-1.3696392977678145E-2</v>
      </c>
      <c r="H164">
        <v>1.8160761189085817E-2</v>
      </c>
      <c r="I164">
        <v>-1.3696392977678145E-2</v>
      </c>
      <c r="J164">
        <v>1.8160761189085817E-2</v>
      </c>
    </row>
    <row r="165" spans="2:10" x14ac:dyDescent="0.3">
      <c r="B165" t="s">
        <v>8</v>
      </c>
      <c r="C165" s="72">
        <v>-9.2935166739898378E-3</v>
      </c>
      <c r="D165">
        <v>6.4528950699230866E-3</v>
      </c>
      <c r="E165">
        <v>-1.4402088633529584</v>
      </c>
      <c r="F165">
        <v>0.15048268971951709</v>
      </c>
      <c r="G165">
        <v>-2.1974034785521297E-2</v>
      </c>
      <c r="H165">
        <v>3.3870014375416198E-3</v>
      </c>
      <c r="I165">
        <v>-2.1974034785521297E-2</v>
      </c>
      <c r="J165">
        <v>3.3870014375416198E-3</v>
      </c>
    </row>
    <row r="166" spans="2:10" x14ac:dyDescent="0.3">
      <c r="B166" t="s">
        <v>9</v>
      </c>
      <c r="C166" s="72">
        <v>-2.26023325798363E-2</v>
      </c>
      <c r="D166">
        <v>7.3878058288433853E-3</v>
      </c>
      <c r="E166">
        <v>-3.0594107511045481</v>
      </c>
      <c r="F166">
        <v>2.3461310482303537E-3</v>
      </c>
      <c r="G166">
        <v>-3.7120034262879908E-2</v>
      </c>
      <c r="H166">
        <v>-8.0846308967926876E-3</v>
      </c>
      <c r="I166">
        <v>-3.7120034262879908E-2</v>
      </c>
      <c r="J166">
        <v>-8.0846308967926876E-3</v>
      </c>
    </row>
    <row r="167" spans="2:10" x14ac:dyDescent="0.3">
      <c r="B167" t="s">
        <v>10</v>
      </c>
      <c r="C167" s="72">
        <v>7.0897245565476651E-3</v>
      </c>
      <c r="D167">
        <v>4.6349204200938163E-3</v>
      </c>
      <c r="E167">
        <v>1.5296324238516614</v>
      </c>
      <c r="F167">
        <v>0.12678916672231344</v>
      </c>
      <c r="G167">
        <v>-2.0183101620778092E-3</v>
      </c>
      <c r="H167">
        <v>1.619775927517314E-2</v>
      </c>
      <c r="I167">
        <v>-2.0183101620778092E-3</v>
      </c>
      <c r="J167">
        <v>1.619775927517314E-2</v>
      </c>
    </row>
    <row r="168" spans="2:10" x14ac:dyDescent="0.3">
      <c r="B168" t="s">
        <v>11</v>
      </c>
      <c r="C168" s="72">
        <v>1.6106286595055221E-2</v>
      </c>
      <c r="D168">
        <v>1.5570467560736649E-3</v>
      </c>
      <c r="E168">
        <v>10.344125205122115</v>
      </c>
      <c r="F168">
        <v>1.0484574614269178E-22</v>
      </c>
      <c r="G168">
        <v>1.3046549937795622E-2</v>
      </c>
      <c r="H168">
        <v>1.9166023252314819E-2</v>
      </c>
      <c r="I168">
        <v>1.3046549937795622E-2</v>
      </c>
      <c r="J168">
        <v>1.9166023252314819E-2</v>
      </c>
    </row>
    <row r="169" spans="2:10" x14ac:dyDescent="0.3">
      <c r="B169" t="s">
        <v>12</v>
      </c>
      <c r="C169" s="72">
        <v>8.7653437124066511E-3</v>
      </c>
      <c r="D169">
        <v>1.0439699073087362E-3</v>
      </c>
      <c r="E169">
        <v>8.3961651107386288</v>
      </c>
      <c r="F169">
        <v>5.6433945175891085E-16</v>
      </c>
      <c r="G169">
        <v>6.7138491236871049E-3</v>
      </c>
      <c r="H169">
        <v>1.0816838301126197E-2</v>
      </c>
      <c r="I169">
        <v>6.7138491236871049E-3</v>
      </c>
      <c r="J169">
        <v>1.0816838301126197E-2</v>
      </c>
    </row>
    <row r="170" spans="2:10" x14ac:dyDescent="0.3">
      <c r="B170" t="s">
        <v>15</v>
      </c>
      <c r="C170" s="72">
        <v>-5.6862340082862554E-3</v>
      </c>
      <c r="D170">
        <v>1.1244373923201913E-2</v>
      </c>
      <c r="E170">
        <v>-0.50569591932131885</v>
      </c>
      <c r="F170">
        <v>0.61331027682843353</v>
      </c>
      <c r="G170">
        <v>-2.7782438214454044E-2</v>
      </c>
      <c r="H170">
        <v>1.6409970197881533E-2</v>
      </c>
      <c r="I170">
        <v>-2.7782438214454044E-2</v>
      </c>
      <c r="J170">
        <v>1.6409970197881533E-2</v>
      </c>
    </row>
    <row r="171" spans="2:10" ht="15" thickBot="1" x14ac:dyDescent="0.35">
      <c r="B171" s="16" t="s">
        <v>693</v>
      </c>
      <c r="C171" s="62">
        <v>-0.10002398522926551</v>
      </c>
      <c r="D171" s="16">
        <v>2.8611823127039727E-2</v>
      </c>
      <c r="E171" s="16">
        <v>-3.4958969508915145</v>
      </c>
      <c r="F171" s="16">
        <v>5.178808051273067E-4</v>
      </c>
      <c r="G171" s="16">
        <v>-0.15624878625809835</v>
      </c>
      <c r="H171" s="16">
        <v>-4.3799184200432668E-2</v>
      </c>
      <c r="I171" s="16">
        <v>-0.15624878625809835</v>
      </c>
      <c r="J171" s="16">
        <v>-4.3799184200432668E-2</v>
      </c>
    </row>
    <row r="175" spans="2:10" x14ac:dyDescent="0.3">
      <c r="B175" t="s">
        <v>675</v>
      </c>
      <c r="C175" t="s">
        <v>706</v>
      </c>
      <c r="D175" t="s">
        <v>732</v>
      </c>
      <c r="E175" t="s">
        <v>707</v>
      </c>
      <c r="F175" t="s">
        <v>716</v>
      </c>
    </row>
    <row r="176" spans="2:10" x14ac:dyDescent="0.3">
      <c r="B176" t="s">
        <v>721</v>
      </c>
      <c r="C176">
        <f t="shared" ref="C176:C185" si="1">ROUND(C162,3)</f>
        <v>6.5000000000000002E-2</v>
      </c>
      <c r="D176">
        <f>F162</f>
        <v>1.010801985612299E-8</v>
      </c>
      <c r="E176" t="str">
        <f>IF(D176&lt;0.001,"&lt;0.001",ROUND(D176,3))</f>
        <v>&lt;0.001</v>
      </c>
      <c r="F176" t="str">
        <f t="shared" ref="F176:F185" si="2">IF(D176&lt;0.05,"Yes","No")</f>
        <v>Yes</v>
      </c>
    </row>
    <row r="177" spans="2:6" x14ac:dyDescent="0.3">
      <c r="B177" t="s">
        <v>722</v>
      </c>
      <c r="C177">
        <f t="shared" si="1"/>
        <v>5.0000000000000001E-3</v>
      </c>
      <c r="D177">
        <f t="shared" ref="D177:D185" si="3">F163</f>
        <v>0.31555946339937091</v>
      </c>
      <c r="E177">
        <f t="shared" ref="E177:E184" si="4">IF(D177&lt;0.001,"&lt;0.001",ROUND(D177,3))</f>
        <v>0.316</v>
      </c>
      <c r="F177" t="str">
        <f t="shared" si="2"/>
        <v>No</v>
      </c>
    </row>
    <row r="178" spans="2:6" x14ac:dyDescent="0.3">
      <c r="B178" t="s">
        <v>723</v>
      </c>
      <c r="C178">
        <f t="shared" si="1"/>
        <v>2E-3</v>
      </c>
      <c r="D178">
        <f t="shared" si="3"/>
        <v>0.78314542119248776</v>
      </c>
      <c r="E178">
        <f t="shared" si="4"/>
        <v>0.78300000000000003</v>
      </c>
      <c r="F178" t="str">
        <f t="shared" si="2"/>
        <v>No</v>
      </c>
    </row>
    <row r="179" spans="2:6" x14ac:dyDescent="0.3">
      <c r="B179" t="s">
        <v>655</v>
      </c>
      <c r="C179">
        <f t="shared" si="1"/>
        <v>-8.9999999999999993E-3</v>
      </c>
      <c r="D179">
        <f t="shared" si="3"/>
        <v>0.15048268971951709</v>
      </c>
      <c r="E179">
        <f t="shared" si="4"/>
        <v>0.15</v>
      </c>
      <c r="F179" t="str">
        <f t="shared" si="2"/>
        <v>No</v>
      </c>
    </row>
    <row r="180" spans="2:6" x14ac:dyDescent="0.3">
      <c r="B180" t="s">
        <v>656</v>
      </c>
      <c r="C180">
        <f t="shared" si="1"/>
        <v>-2.3E-2</v>
      </c>
      <c r="D180">
        <f t="shared" si="3"/>
        <v>2.3461310482303537E-3</v>
      </c>
      <c r="E180">
        <f t="shared" si="4"/>
        <v>2E-3</v>
      </c>
      <c r="F180" t="str">
        <f t="shared" si="2"/>
        <v>Yes</v>
      </c>
    </row>
    <row r="181" spans="2:6" x14ac:dyDescent="0.3">
      <c r="B181" t="s">
        <v>657</v>
      </c>
      <c r="C181">
        <f t="shared" si="1"/>
        <v>7.0000000000000001E-3</v>
      </c>
      <c r="D181">
        <f t="shared" si="3"/>
        <v>0.12678916672231344</v>
      </c>
      <c r="E181">
        <f t="shared" si="4"/>
        <v>0.127</v>
      </c>
      <c r="F181" t="str">
        <f t="shared" si="2"/>
        <v>No</v>
      </c>
    </row>
    <row r="182" spans="2:6" x14ac:dyDescent="0.3">
      <c r="B182" t="s">
        <v>726</v>
      </c>
      <c r="C182">
        <f t="shared" si="1"/>
        <v>1.6E-2</v>
      </c>
      <c r="D182">
        <f t="shared" si="3"/>
        <v>1.0484574614269178E-22</v>
      </c>
      <c r="E182" t="str">
        <f t="shared" si="4"/>
        <v>&lt;0.001</v>
      </c>
      <c r="F182" t="str">
        <f t="shared" si="2"/>
        <v>Yes</v>
      </c>
    </row>
    <row r="183" spans="2:6" x14ac:dyDescent="0.3">
      <c r="B183" t="s">
        <v>727</v>
      </c>
      <c r="C183">
        <f t="shared" si="1"/>
        <v>8.9999999999999993E-3</v>
      </c>
      <c r="D183">
        <f t="shared" si="3"/>
        <v>5.6433945175891085E-16</v>
      </c>
      <c r="E183" t="str">
        <f t="shared" si="4"/>
        <v>&lt;0.001</v>
      </c>
      <c r="F183" t="str">
        <f t="shared" si="2"/>
        <v>Yes</v>
      </c>
    </row>
    <row r="184" spans="2:6" x14ac:dyDescent="0.3">
      <c r="B184" t="s">
        <v>728</v>
      </c>
      <c r="C184">
        <f t="shared" si="1"/>
        <v>-6.0000000000000001E-3</v>
      </c>
      <c r="D184">
        <f t="shared" si="3"/>
        <v>0.61331027682843353</v>
      </c>
      <c r="E184">
        <f t="shared" si="4"/>
        <v>0.61299999999999999</v>
      </c>
      <c r="F184" t="str">
        <f t="shared" si="2"/>
        <v>No</v>
      </c>
    </row>
    <row r="185" spans="2:6" x14ac:dyDescent="0.3">
      <c r="B185" t="s">
        <v>730</v>
      </c>
      <c r="C185">
        <f t="shared" si="1"/>
        <v>-0.1</v>
      </c>
      <c r="D185">
        <f t="shared" si="3"/>
        <v>5.178808051273067E-4</v>
      </c>
      <c r="E185" t="str">
        <f>IF(D185&lt;0.001,"&lt;0.001",ROUND(D185,3))</f>
        <v>&lt;0.001</v>
      </c>
      <c r="F185" t="str">
        <f t="shared" si="2"/>
        <v>Yes</v>
      </c>
    </row>
    <row r="188" spans="2:6" x14ac:dyDescent="0.3">
      <c r="B188" s="6" t="s">
        <v>697</v>
      </c>
      <c r="C188" s="6" t="s">
        <v>681</v>
      </c>
      <c r="D188" s="6" t="s">
        <v>687</v>
      </c>
    </row>
    <row r="189" spans="2:6" x14ac:dyDescent="0.3">
      <c r="B189" t="s">
        <v>734</v>
      </c>
      <c r="C189">
        <v>475</v>
      </c>
      <c r="D189">
        <v>475</v>
      </c>
    </row>
    <row r="190" spans="2:6" x14ac:dyDescent="0.3">
      <c r="B190" t="s">
        <v>676</v>
      </c>
      <c r="C190" s="28">
        <v>0.1178</v>
      </c>
      <c r="D190" s="28">
        <v>0.41460000000000002</v>
      </c>
    </row>
    <row r="191" spans="2:6" x14ac:dyDescent="0.3">
      <c r="B191" t="s">
        <v>735</v>
      </c>
      <c r="C191" s="28">
        <v>0.11219999999999999</v>
      </c>
      <c r="D191" s="28">
        <v>0.40189999999999998</v>
      </c>
    </row>
    <row r="192" spans="2:6" x14ac:dyDescent="0.3">
      <c r="B192" t="s">
        <v>668</v>
      </c>
      <c r="C192" t="s">
        <v>710</v>
      </c>
      <c r="D192" t="s">
        <v>710</v>
      </c>
    </row>
    <row r="193" spans="2:4" x14ac:dyDescent="0.3">
      <c r="B193" t="s">
        <v>736</v>
      </c>
      <c r="C193" t="s">
        <v>737</v>
      </c>
      <c r="D193" t="s">
        <v>738</v>
      </c>
    </row>
    <row r="195" spans="2:4" x14ac:dyDescent="0.3">
      <c r="B195" s="6" t="s">
        <v>697</v>
      </c>
      <c r="C195" s="6" t="s">
        <v>681</v>
      </c>
      <c r="D195" s="6" t="s">
        <v>687</v>
      </c>
    </row>
    <row r="196" spans="2:4" x14ac:dyDescent="0.3">
      <c r="B196" t="s">
        <v>734</v>
      </c>
      <c r="C196">
        <f>C101</f>
        <v>475</v>
      </c>
      <c r="D196">
        <f>C152</f>
        <v>475</v>
      </c>
    </row>
    <row r="197" spans="2:4" x14ac:dyDescent="0.3">
      <c r="B197" t="s">
        <v>676</v>
      </c>
      <c r="C197" s="78">
        <f>C98</f>
        <v>0.11782547524592762</v>
      </c>
      <c r="D197" s="78">
        <f>C149</f>
        <v>0.41456600367751822</v>
      </c>
    </row>
    <row r="198" spans="2:4" x14ac:dyDescent="0.3">
      <c r="B198" t="s">
        <v>735</v>
      </c>
      <c r="C198" s="78">
        <f>C99</f>
        <v>0.11220652922838575</v>
      </c>
      <c r="D198" s="78">
        <f>C150</f>
        <v>0.40194889168780956</v>
      </c>
    </row>
    <row r="199" spans="2:4" x14ac:dyDescent="0.3">
      <c r="B199" t="s">
        <v>668</v>
      </c>
      <c r="C199">
        <f>G105</f>
        <v>9.1110180689410597E-13</v>
      </c>
      <c r="D199">
        <f>G156</f>
        <v>4.32701325263846E-48</v>
      </c>
    </row>
    <row r="200" spans="2:4" x14ac:dyDescent="0.3">
      <c r="B200" t="s">
        <v>736</v>
      </c>
      <c r="D200" s="79">
        <f>ROUND((D197-C197),4)</f>
        <v>0.29670000000000002</v>
      </c>
    </row>
  </sheetData>
  <dataValidations count="1">
    <dataValidation allowBlank="1" showInputMessage="1" showErrorMessage="1" prompt="Individual coefficients in the combined mental-health model should be interpreted cautiously because the predictors contain overlapping information." sqref="D82:D84" xr:uid="{AC153001-C6B1-4019-9AE1-C2216343CBE5}"/>
  </dataValidations>
  <pageMargins left="0.7" right="0.7" top="0.75" bottom="0.75" header="0.3" footer="0.3"/>
  <pageSetup scale="1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1367-7DFA-401E-9F03-81D724AB8FF4}">
  <sheetPr>
    <pageSetUpPr fitToPage="1"/>
  </sheetPr>
  <dimension ref="B1:Z80"/>
  <sheetViews>
    <sheetView zoomScale="54" zoomScaleNormal="70" workbookViewId="0"/>
  </sheetViews>
  <sheetFormatPr defaultColWidth="14.44140625" defaultRowHeight="14.4" x14ac:dyDescent="0.3"/>
  <cols>
    <col min="1" max="1" width="5.5546875" customWidth="1"/>
    <col min="3" max="3" width="23.33203125" customWidth="1"/>
    <col min="4" max="4" width="21.44140625" customWidth="1"/>
    <col min="6" max="6" width="16.44140625" customWidth="1"/>
    <col min="7" max="7" width="16.88671875" customWidth="1"/>
    <col min="8" max="8" width="25.6640625" customWidth="1"/>
    <col min="9" max="9" width="17.21875" customWidth="1"/>
    <col min="11" max="11" width="16.77734375" customWidth="1"/>
  </cols>
  <sheetData>
    <row r="1" spans="2:22" ht="15" thickBot="1" x14ac:dyDescent="0.35"/>
    <row r="2" spans="2:22" x14ac:dyDescent="0.3">
      <c r="B2" s="140"/>
      <c r="C2" s="141"/>
      <c r="D2" s="141"/>
      <c r="E2" s="141"/>
      <c r="F2" s="141"/>
      <c r="G2" s="141"/>
      <c r="H2" s="141"/>
      <c r="I2" s="141"/>
      <c r="J2" s="141"/>
      <c r="K2" s="141"/>
      <c r="L2" s="141"/>
      <c r="M2" s="141"/>
      <c r="N2" s="141"/>
      <c r="O2" s="141"/>
      <c r="P2" s="141"/>
      <c r="Q2" s="141"/>
      <c r="R2" s="141"/>
      <c r="S2" s="141"/>
      <c r="T2" s="141"/>
      <c r="U2" s="141"/>
      <c r="V2" s="142"/>
    </row>
    <row r="3" spans="2:22" ht="31.2" x14ac:dyDescent="0.6">
      <c r="B3" s="143"/>
      <c r="H3" s="148" t="s">
        <v>605</v>
      </c>
      <c r="I3" s="29"/>
      <c r="J3" s="29"/>
      <c r="K3" s="29"/>
      <c r="L3" s="29"/>
      <c r="M3" s="29"/>
      <c r="V3" s="144"/>
    </row>
    <row r="4" spans="2:22" ht="15" thickBot="1" x14ac:dyDescent="0.35">
      <c r="B4" s="143"/>
      <c r="V4" s="144"/>
    </row>
    <row r="5" spans="2:22" x14ac:dyDescent="0.3">
      <c r="B5" s="143"/>
      <c r="C5" s="40" t="s">
        <v>606</v>
      </c>
      <c r="D5" s="31"/>
      <c r="E5" s="32"/>
      <c r="H5" s="40" t="s">
        <v>545</v>
      </c>
      <c r="I5" s="31"/>
      <c r="J5" s="32"/>
      <c r="M5" s="40" t="s">
        <v>598</v>
      </c>
      <c r="N5" s="31"/>
      <c r="O5" s="32"/>
      <c r="R5" s="40" t="s">
        <v>601</v>
      </c>
      <c r="S5" s="31"/>
      <c r="T5" s="32"/>
      <c r="V5" s="144"/>
    </row>
    <row r="6" spans="2:22" ht="15" thickBot="1" x14ac:dyDescent="0.35">
      <c r="B6" s="143"/>
      <c r="C6" s="125">
        <v>500</v>
      </c>
      <c r="D6" s="33"/>
      <c r="E6" s="34"/>
      <c r="H6" s="125">
        <v>6.4547325102880659</v>
      </c>
      <c r="I6" s="33"/>
      <c r="J6" s="34"/>
      <c r="M6" s="125">
        <v>6.2798353909465021</v>
      </c>
      <c r="N6" s="33"/>
      <c r="O6" s="34"/>
      <c r="R6" s="41">
        <v>12.116</v>
      </c>
      <c r="S6" s="33"/>
      <c r="T6" s="34"/>
      <c r="V6" s="144"/>
    </row>
    <row r="7" spans="2:22" ht="15" thickBot="1" x14ac:dyDescent="0.35">
      <c r="B7" s="143"/>
      <c r="V7" s="144"/>
    </row>
    <row r="8" spans="2:22" x14ac:dyDescent="0.3">
      <c r="B8" s="143"/>
      <c r="F8" s="35" t="s">
        <v>613</v>
      </c>
      <c r="G8" s="36"/>
      <c r="K8" s="35" t="s">
        <v>612</v>
      </c>
      <c r="L8" s="36"/>
      <c r="P8" s="35" t="s">
        <v>614</v>
      </c>
      <c r="Q8" s="36"/>
      <c r="V8" s="144"/>
    </row>
    <row r="9" spans="2:22" ht="15" thickBot="1" x14ac:dyDescent="0.35">
      <c r="B9" s="143"/>
      <c r="F9" s="37">
        <f>GETPIVOTDATA("student_id",EDA!$B$82)</f>
        <v>42</v>
      </c>
      <c r="G9" s="38"/>
      <c r="K9" s="37">
        <f>GETPIVOTDATA("student_id",EDA!$E$82)</f>
        <v>20</v>
      </c>
      <c r="L9" s="38"/>
      <c r="P9" s="37">
        <f>GETPIVOTDATA("student_id",EDA!$H$82)</f>
        <v>14</v>
      </c>
      <c r="Q9" s="38"/>
      <c r="V9" s="144"/>
    </row>
    <row r="10" spans="2:22" ht="15" thickBot="1" x14ac:dyDescent="0.35">
      <c r="B10" s="143"/>
      <c r="V10" s="144"/>
    </row>
    <row r="11" spans="2:22" ht="28.8" customHeight="1" thickBot="1" x14ac:dyDescent="0.35">
      <c r="B11" s="143"/>
      <c r="C11" s="58"/>
      <c r="D11" s="58"/>
      <c r="E11" s="149" t="s">
        <v>821</v>
      </c>
      <c r="F11" s="150"/>
      <c r="G11" s="150"/>
      <c r="H11" s="150"/>
      <c r="I11" s="150"/>
      <c r="J11" s="150"/>
      <c r="K11" s="150"/>
      <c r="L11" s="150"/>
      <c r="M11" s="150"/>
      <c r="N11" s="150"/>
      <c r="O11" s="150"/>
      <c r="P11" s="150"/>
      <c r="Q11" s="150"/>
      <c r="R11" s="151"/>
      <c r="S11" s="58"/>
      <c r="T11" s="58"/>
      <c r="U11" s="58"/>
      <c r="V11" s="144"/>
    </row>
    <row r="12" spans="2:22" x14ac:dyDescent="0.3">
      <c r="B12" s="143"/>
      <c r="V12" s="144"/>
    </row>
    <row r="13" spans="2:22" x14ac:dyDescent="0.3">
      <c r="B13" s="143"/>
      <c r="V13" s="144"/>
    </row>
    <row r="14" spans="2:22" x14ac:dyDescent="0.3">
      <c r="B14" s="143"/>
      <c r="V14" s="144"/>
    </row>
    <row r="15" spans="2:22" x14ac:dyDescent="0.3">
      <c r="B15" s="143"/>
      <c r="V15" s="144"/>
    </row>
    <row r="16" spans="2:22" x14ac:dyDescent="0.3">
      <c r="B16" s="143"/>
      <c r="V16" s="144"/>
    </row>
    <row r="17" spans="2:26" x14ac:dyDescent="0.3">
      <c r="B17" s="143"/>
      <c r="V17" s="144"/>
    </row>
    <row r="18" spans="2:26" x14ac:dyDescent="0.3">
      <c r="B18" s="143"/>
      <c r="V18" s="144"/>
    </row>
    <row r="19" spans="2:26" x14ac:dyDescent="0.3">
      <c r="B19" s="143"/>
      <c r="V19" s="144"/>
    </row>
    <row r="20" spans="2:26" x14ac:dyDescent="0.3">
      <c r="B20" s="143"/>
      <c r="V20" s="144"/>
    </row>
    <row r="21" spans="2:26" x14ac:dyDescent="0.3">
      <c r="B21" s="143"/>
      <c r="V21" s="144"/>
    </row>
    <row r="22" spans="2:26" x14ac:dyDescent="0.3">
      <c r="B22" s="143"/>
      <c r="V22" s="144"/>
    </row>
    <row r="23" spans="2:26" x14ac:dyDescent="0.3">
      <c r="B23" s="143"/>
      <c r="V23" s="144"/>
    </row>
    <row r="24" spans="2:26" x14ac:dyDescent="0.3">
      <c r="B24" s="143"/>
      <c r="V24" s="144"/>
    </row>
    <row r="25" spans="2:26" x14ac:dyDescent="0.3">
      <c r="B25" s="143"/>
      <c r="V25" s="144"/>
    </row>
    <row r="26" spans="2:26" x14ac:dyDescent="0.3">
      <c r="B26" s="143"/>
      <c r="V26" s="144"/>
    </row>
    <row r="27" spans="2:26" x14ac:dyDescent="0.3">
      <c r="B27" s="143"/>
      <c r="V27" s="144"/>
      <c r="Z27" s="28"/>
    </row>
    <row r="28" spans="2:26" x14ac:dyDescent="0.3">
      <c r="B28" s="143"/>
      <c r="V28" s="144"/>
      <c r="Z28" s="28"/>
    </row>
    <row r="29" spans="2:26" x14ac:dyDescent="0.3">
      <c r="B29" s="143"/>
      <c r="V29" s="144"/>
    </row>
    <row r="30" spans="2:26" x14ac:dyDescent="0.3">
      <c r="B30" s="143"/>
      <c r="V30" s="144"/>
    </row>
    <row r="31" spans="2:26" x14ac:dyDescent="0.3">
      <c r="B31" s="143"/>
      <c r="V31" s="144"/>
    </row>
    <row r="32" spans="2:26" x14ac:dyDescent="0.3">
      <c r="B32" s="143"/>
      <c r="V32" s="144"/>
    </row>
    <row r="33" spans="2:22" x14ac:dyDescent="0.3">
      <c r="B33" s="143"/>
      <c r="V33" s="144"/>
    </row>
    <row r="34" spans="2:22" x14ac:dyDescent="0.3">
      <c r="B34" s="143"/>
      <c r="V34" s="144"/>
    </row>
    <row r="35" spans="2:22" x14ac:dyDescent="0.3">
      <c r="B35" s="143"/>
      <c r="V35" s="144"/>
    </row>
    <row r="36" spans="2:22" x14ac:dyDescent="0.3">
      <c r="B36" s="143"/>
      <c r="V36" s="144"/>
    </row>
    <row r="37" spans="2:22" x14ac:dyDescent="0.3">
      <c r="B37" s="143"/>
      <c r="V37" s="144"/>
    </row>
    <row r="38" spans="2:22" x14ac:dyDescent="0.3">
      <c r="B38" s="143"/>
      <c r="V38" s="144"/>
    </row>
    <row r="39" spans="2:22" x14ac:dyDescent="0.3">
      <c r="B39" s="143"/>
      <c r="V39" s="144"/>
    </row>
    <row r="40" spans="2:22" x14ac:dyDescent="0.3">
      <c r="B40" s="143"/>
      <c r="V40" s="144"/>
    </row>
    <row r="41" spans="2:22" x14ac:dyDescent="0.3">
      <c r="B41" s="143"/>
      <c r="V41" s="144"/>
    </row>
    <row r="42" spans="2:22" x14ac:dyDescent="0.3">
      <c r="B42" s="143"/>
      <c r="V42" s="144"/>
    </row>
    <row r="43" spans="2:22" x14ac:dyDescent="0.3">
      <c r="B43" s="143"/>
      <c r="V43" s="144"/>
    </row>
    <row r="44" spans="2:22" x14ac:dyDescent="0.3">
      <c r="B44" s="143"/>
      <c r="V44" s="144"/>
    </row>
    <row r="45" spans="2:22" x14ac:dyDescent="0.3">
      <c r="B45" s="143"/>
      <c r="V45" s="144"/>
    </row>
    <row r="46" spans="2:22" x14ac:dyDescent="0.3">
      <c r="B46" s="143"/>
      <c r="V46" s="144"/>
    </row>
    <row r="47" spans="2:22" x14ac:dyDescent="0.3">
      <c r="B47" s="143"/>
      <c r="V47" s="144"/>
    </row>
    <row r="48" spans="2:22" x14ac:dyDescent="0.3">
      <c r="B48" s="143"/>
      <c r="V48" s="144"/>
    </row>
    <row r="49" spans="2:22" x14ac:dyDescent="0.3">
      <c r="B49" s="143"/>
      <c r="V49" s="144"/>
    </row>
    <row r="50" spans="2:22" x14ac:dyDescent="0.3">
      <c r="B50" s="143"/>
      <c r="V50" s="144"/>
    </row>
    <row r="51" spans="2:22" x14ac:dyDescent="0.3">
      <c r="B51" s="143"/>
      <c r="V51" s="144"/>
    </row>
    <row r="52" spans="2:22" x14ac:dyDescent="0.3">
      <c r="B52" s="143"/>
      <c r="V52" s="144"/>
    </row>
    <row r="53" spans="2:22" x14ac:dyDescent="0.3">
      <c r="B53" s="143"/>
      <c r="V53" s="144"/>
    </row>
    <row r="54" spans="2:22" x14ac:dyDescent="0.3">
      <c r="B54" s="143"/>
      <c r="V54" s="144"/>
    </row>
    <row r="55" spans="2:22" x14ac:dyDescent="0.3">
      <c r="B55" s="143"/>
      <c r="V55" s="144"/>
    </row>
    <row r="56" spans="2:22" x14ac:dyDescent="0.3">
      <c r="B56" s="143"/>
      <c r="C56" t="s">
        <v>817</v>
      </c>
      <c r="D56" t="s">
        <v>802</v>
      </c>
      <c r="E56" t="s">
        <v>733</v>
      </c>
      <c r="V56" s="144"/>
    </row>
    <row r="57" spans="2:22" x14ac:dyDescent="0.3">
      <c r="B57" s="143"/>
      <c r="C57" s="126" t="s">
        <v>680</v>
      </c>
      <c r="D57" s="127">
        <v>3</v>
      </c>
      <c r="E57" s="127">
        <v>10</v>
      </c>
      <c r="V57" s="144"/>
    </row>
    <row r="58" spans="2:22" x14ac:dyDescent="0.3">
      <c r="B58" s="143"/>
      <c r="C58" s="126" t="s">
        <v>676</v>
      </c>
      <c r="D58" s="128">
        <v>0.1178</v>
      </c>
      <c r="E58" s="128">
        <v>0.41460000000000002</v>
      </c>
      <c r="V58" s="144"/>
    </row>
    <row r="59" spans="2:22" x14ac:dyDescent="0.3">
      <c r="B59" s="143"/>
      <c r="C59" s="126" t="s">
        <v>735</v>
      </c>
      <c r="D59" s="128">
        <v>0.11219999999999999</v>
      </c>
      <c r="E59" s="128">
        <v>0.40189999999999998</v>
      </c>
      <c r="V59" s="144"/>
    </row>
    <row r="60" spans="2:22" x14ac:dyDescent="0.3">
      <c r="B60" s="143"/>
      <c r="C60" s="126" t="s">
        <v>734</v>
      </c>
      <c r="D60" s="127">
        <v>475</v>
      </c>
      <c r="E60" s="127">
        <v>475</v>
      </c>
      <c r="V60" s="144"/>
    </row>
    <row r="61" spans="2:22" x14ac:dyDescent="0.3">
      <c r="B61" s="143"/>
      <c r="C61" s="126" t="s">
        <v>736</v>
      </c>
      <c r="D61" s="127" t="s">
        <v>737</v>
      </c>
      <c r="E61" s="127" t="s">
        <v>738</v>
      </c>
      <c r="V61" s="144"/>
    </row>
    <row r="62" spans="2:22" x14ac:dyDescent="0.3">
      <c r="B62" s="143"/>
      <c r="C62" s="126" t="s">
        <v>803</v>
      </c>
      <c r="D62" s="127" t="s">
        <v>737</v>
      </c>
      <c r="E62" s="127" t="s">
        <v>804</v>
      </c>
      <c r="V62" s="144"/>
    </row>
    <row r="63" spans="2:22" x14ac:dyDescent="0.3">
      <c r="B63" s="143"/>
      <c r="V63" s="144"/>
    </row>
    <row r="64" spans="2:22" x14ac:dyDescent="0.3">
      <c r="B64" s="143"/>
      <c r="C64" s="129" t="s">
        <v>840</v>
      </c>
      <c r="V64" s="144"/>
    </row>
    <row r="65" spans="2:22" x14ac:dyDescent="0.3">
      <c r="B65" s="143"/>
      <c r="C65" t="s">
        <v>822</v>
      </c>
      <c r="D65" t="s">
        <v>823</v>
      </c>
      <c r="E65" t="s">
        <v>824</v>
      </c>
      <c r="F65" t="s">
        <v>707</v>
      </c>
      <c r="G65" t="s">
        <v>716</v>
      </c>
      <c r="V65" s="144"/>
    </row>
    <row r="66" spans="2:22" x14ac:dyDescent="0.3">
      <c r="B66" s="143"/>
      <c r="C66" s="130" t="s">
        <v>825</v>
      </c>
      <c r="D66" s="131" t="s">
        <v>826</v>
      </c>
      <c r="E66" s="132">
        <v>1.61E-2</v>
      </c>
      <c r="F66" s="133" t="s">
        <v>710</v>
      </c>
      <c r="G66" t="s">
        <v>33</v>
      </c>
      <c r="V66" s="144"/>
    </row>
    <row r="67" spans="2:22" x14ac:dyDescent="0.3">
      <c r="B67" s="143"/>
      <c r="C67" s="130" t="s">
        <v>727</v>
      </c>
      <c r="D67" s="131" t="s">
        <v>826</v>
      </c>
      <c r="E67" s="132">
        <v>8.8000000000000005E-3</v>
      </c>
      <c r="F67" s="133" t="s">
        <v>710</v>
      </c>
      <c r="G67" t="s">
        <v>33</v>
      </c>
      <c r="V67" s="144"/>
    </row>
    <row r="68" spans="2:22" x14ac:dyDescent="0.3">
      <c r="B68" s="143"/>
      <c r="C68" s="130" t="s">
        <v>721</v>
      </c>
      <c r="D68" s="131" t="s">
        <v>826</v>
      </c>
      <c r="E68" s="132">
        <v>6.4899999999999999E-2</v>
      </c>
      <c r="F68" s="133" t="s">
        <v>710</v>
      </c>
      <c r="G68" t="s">
        <v>33</v>
      </c>
      <c r="V68" s="144"/>
    </row>
    <row r="69" spans="2:22" x14ac:dyDescent="0.3">
      <c r="B69" s="143"/>
      <c r="C69" s="130" t="s">
        <v>827</v>
      </c>
      <c r="D69" s="131" t="s">
        <v>828</v>
      </c>
      <c r="E69" s="134" t="s">
        <v>725</v>
      </c>
      <c r="F69" s="133">
        <v>2E-3</v>
      </c>
      <c r="G69" t="s">
        <v>33</v>
      </c>
      <c r="V69" s="144"/>
    </row>
    <row r="70" spans="2:22" x14ac:dyDescent="0.3">
      <c r="B70" s="143"/>
      <c r="C70" s="130" t="s">
        <v>829</v>
      </c>
      <c r="D70" s="131" t="s">
        <v>828</v>
      </c>
      <c r="E70" s="134" t="s">
        <v>731</v>
      </c>
      <c r="F70" s="133" t="s">
        <v>710</v>
      </c>
      <c r="G70" t="s">
        <v>33</v>
      </c>
      <c r="V70" s="144"/>
    </row>
    <row r="71" spans="2:22" x14ac:dyDescent="0.3">
      <c r="B71" s="143"/>
      <c r="C71" s="135" t="s">
        <v>830</v>
      </c>
      <c r="D71" s="136" t="s">
        <v>828</v>
      </c>
      <c r="E71" s="137" t="s">
        <v>724</v>
      </c>
      <c r="F71" s="135">
        <v>0.15</v>
      </c>
      <c r="G71" t="s">
        <v>22</v>
      </c>
      <c r="V71" s="144"/>
    </row>
    <row r="72" spans="2:22" x14ac:dyDescent="0.3">
      <c r="B72" s="143"/>
      <c r="C72" s="135" t="s">
        <v>831</v>
      </c>
      <c r="D72" s="136" t="s">
        <v>835</v>
      </c>
      <c r="E72" s="138">
        <v>7.1000000000000004E-3</v>
      </c>
      <c r="F72" s="135">
        <v>0.127</v>
      </c>
      <c r="G72" t="s">
        <v>22</v>
      </c>
      <c r="V72" s="144"/>
    </row>
    <row r="73" spans="2:22" x14ac:dyDescent="0.3">
      <c r="B73" s="143"/>
      <c r="C73" s="135" t="s">
        <v>832</v>
      </c>
      <c r="D73" s="136" t="s">
        <v>835</v>
      </c>
      <c r="E73" s="138">
        <v>4.7999999999999996E-3</v>
      </c>
      <c r="F73" s="135">
        <v>0.316</v>
      </c>
      <c r="G73" t="s">
        <v>22</v>
      </c>
      <c r="V73" s="144"/>
    </row>
    <row r="74" spans="2:22" x14ac:dyDescent="0.3">
      <c r="B74" s="143"/>
      <c r="C74" s="135" t="s">
        <v>833</v>
      </c>
      <c r="D74" s="136" t="s">
        <v>826</v>
      </c>
      <c r="E74" s="138">
        <v>2.2000000000000001E-3</v>
      </c>
      <c r="F74" s="135">
        <v>0.78300000000000003</v>
      </c>
      <c r="G74" t="s">
        <v>22</v>
      </c>
      <c r="V74" s="144"/>
    </row>
    <row r="75" spans="2:22" x14ac:dyDescent="0.3">
      <c r="B75" s="143"/>
      <c r="C75" s="135" t="s">
        <v>834</v>
      </c>
      <c r="D75" s="136" t="s">
        <v>828</v>
      </c>
      <c r="E75" s="137" t="s">
        <v>729</v>
      </c>
      <c r="F75" s="135">
        <v>0.61299999999999999</v>
      </c>
      <c r="G75" t="s">
        <v>22</v>
      </c>
      <c r="V75" s="144"/>
    </row>
    <row r="76" spans="2:22" x14ac:dyDescent="0.3">
      <c r="B76" s="143"/>
      <c r="C76" t="s">
        <v>837</v>
      </c>
      <c r="D76" s="139"/>
      <c r="E76" s="3"/>
      <c r="V76" s="144"/>
    </row>
    <row r="77" spans="2:22" x14ac:dyDescent="0.3">
      <c r="B77" s="143"/>
      <c r="V77" s="144"/>
    </row>
    <row r="78" spans="2:22" x14ac:dyDescent="0.3">
      <c r="B78" s="143"/>
      <c r="D78" t="s">
        <v>616</v>
      </c>
      <c r="V78" s="144"/>
    </row>
    <row r="79" spans="2:22" x14ac:dyDescent="0.3">
      <c r="B79" s="143"/>
      <c r="D79" t="s">
        <v>836</v>
      </c>
      <c r="V79" s="144"/>
    </row>
    <row r="80" spans="2:22" ht="15" thickBot="1" x14ac:dyDescent="0.35">
      <c r="B80" s="145"/>
      <c r="C80" s="146"/>
      <c r="D80" s="146"/>
      <c r="E80" s="146"/>
      <c r="F80" s="146"/>
      <c r="G80" s="146"/>
      <c r="H80" s="146"/>
      <c r="I80" s="146"/>
      <c r="J80" s="146"/>
      <c r="K80" s="146"/>
      <c r="L80" s="146"/>
      <c r="M80" s="146"/>
      <c r="N80" s="146"/>
      <c r="O80" s="146"/>
      <c r="P80" s="146"/>
      <c r="Q80" s="146"/>
      <c r="R80" s="146"/>
      <c r="S80" s="146"/>
      <c r="T80" s="146"/>
      <c r="U80" s="146"/>
      <c r="V80" s="147"/>
    </row>
  </sheetData>
  <mergeCells count="1">
    <mergeCell ref="E11:R11"/>
  </mergeCells>
  <conditionalFormatting sqref="G66:G76">
    <cfRule type="cellIs" dxfId="1" priority="1" operator="equal">
      <formula>"No"</formula>
    </cfRule>
    <cfRule type="cellIs" dxfId="0" priority="2" operator="equal">
      <formula>"Yes"</formula>
    </cfRule>
  </conditionalFormatting>
  <pageMargins left="0.7" right="0.7" top="0.75" bottom="0.75" header="0.3" footer="0.3"/>
  <pageSetup scale="35" orientation="landscape" r:id="rId5"/>
  <drawing r:id="rId6"/>
  <tableParts count="2">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3821-BBEE-49EF-B296-6E117D72B15C}">
  <dimension ref="A1:D73"/>
  <sheetViews>
    <sheetView zoomScale="80" zoomScaleNormal="80" workbookViewId="0"/>
  </sheetViews>
  <sheetFormatPr defaultColWidth="10.109375" defaultRowHeight="14.4" x14ac:dyDescent="0.3"/>
  <cols>
    <col min="1" max="1" width="5.21875" customWidth="1"/>
    <col min="2" max="2" width="110.6640625" customWidth="1"/>
    <col min="3" max="3" width="95.44140625" customWidth="1"/>
    <col min="4" max="4" width="17.44140625" customWidth="1"/>
  </cols>
  <sheetData>
    <row r="1" spans="1:3" ht="18" x14ac:dyDescent="0.35">
      <c r="B1" s="25" t="s">
        <v>752</v>
      </c>
    </row>
    <row r="3" spans="1:3" x14ac:dyDescent="0.3">
      <c r="B3" s="27" t="s">
        <v>767</v>
      </c>
    </row>
    <row r="4" spans="1:3" ht="43.2" x14ac:dyDescent="0.3">
      <c r="A4" s="26"/>
      <c r="B4" s="93" t="s">
        <v>768</v>
      </c>
      <c r="C4" s="88"/>
    </row>
    <row r="6" spans="1:3" x14ac:dyDescent="0.3">
      <c r="B6" s="27" t="s">
        <v>769</v>
      </c>
    </row>
    <row r="7" spans="1:3" x14ac:dyDescent="0.3">
      <c r="B7" t="s">
        <v>770</v>
      </c>
    </row>
    <row r="9" spans="1:3" x14ac:dyDescent="0.3">
      <c r="B9" s="27" t="s">
        <v>805</v>
      </c>
    </row>
    <row r="10" spans="1:3" x14ac:dyDescent="0.3">
      <c r="B10" s="102" t="s">
        <v>806</v>
      </c>
      <c r="C10" s="103" t="s">
        <v>698</v>
      </c>
    </row>
    <row r="11" spans="1:3" x14ac:dyDescent="0.3">
      <c r="B11" s="97" t="s">
        <v>807</v>
      </c>
      <c r="C11" s="104">
        <v>475</v>
      </c>
    </row>
    <row r="12" spans="1:3" x14ac:dyDescent="0.3">
      <c r="B12" s="97" t="s">
        <v>808</v>
      </c>
      <c r="C12" s="104" t="s">
        <v>787</v>
      </c>
    </row>
    <row r="13" spans="1:3" x14ac:dyDescent="0.3">
      <c r="B13" s="97" t="s">
        <v>809</v>
      </c>
      <c r="C13" s="104" t="s">
        <v>788</v>
      </c>
    </row>
    <row r="14" spans="1:3" x14ac:dyDescent="0.3">
      <c r="B14" s="97" t="s">
        <v>810</v>
      </c>
      <c r="C14" s="104" t="s">
        <v>789</v>
      </c>
    </row>
    <row r="15" spans="1:3" x14ac:dyDescent="0.3">
      <c r="B15" s="97" t="s">
        <v>811</v>
      </c>
      <c r="C15" s="105">
        <v>0.1178</v>
      </c>
    </row>
    <row r="16" spans="1:3" x14ac:dyDescent="0.3">
      <c r="B16" s="97" t="s">
        <v>812</v>
      </c>
      <c r="C16" s="105">
        <v>0.41460000000000002</v>
      </c>
    </row>
    <row r="17" spans="2:4" x14ac:dyDescent="0.3">
      <c r="B17" s="100" t="s">
        <v>803</v>
      </c>
      <c r="C17" s="106" t="s">
        <v>738</v>
      </c>
    </row>
    <row r="18" spans="2:4" x14ac:dyDescent="0.3">
      <c r="B18" s="46"/>
      <c r="C18" s="56"/>
    </row>
    <row r="19" spans="2:4" x14ac:dyDescent="0.3">
      <c r="B19" s="46"/>
      <c r="C19" s="56"/>
    </row>
    <row r="20" spans="2:4" x14ac:dyDescent="0.3">
      <c r="B20" s="27" t="s">
        <v>771</v>
      </c>
    </row>
    <row r="22" spans="2:4" x14ac:dyDescent="0.3">
      <c r="B22" s="95" t="s">
        <v>771</v>
      </c>
      <c r="C22" s="95" t="s">
        <v>772</v>
      </c>
      <c r="D22" s="95" t="s">
        <v>775</v>
      </c>
    </row>
    <row r="23" spans="2:4" ht="43.2" x14ac:dyDescent="0.3">
      <c r="B23" s="90" t="s">
        <v>785</v>
      </c>
      <c r="C23" s="90" t="s">
        <v>773</v>
      </c>
      <c r="D23" s="91" t="s">
        <v>776</v>
      </c>
    </row>
    <row r="24" spans="2:4" ht="43.2" x14ac:dyDescent="0.3">
      <c r="B24" s="90" t="s">
        <v>784</v>
      </c>
      <c r="C24" s="90" t="s">
        <v>774</v>
      </c>
      <c r="D24" s="91" t="s">
        <v>776</v>
      </c>
    </row>
    <row r="25" spans="2:4" ht="28.8" x14ac:dyDescent="0.3">
      <c r="B25" s="90" t="s">
        <v>783</v>
      </c>
      <c r="C25" s="90" t="s">
        <v>777</v>
      </c>
      <c r="D25" s="91" t="s">
        <v>776</v>
      </c>
    </row>
    <row r="26" spans="2:4" ht="57.6" x14ac:dyDescent="0.3">
      <c r="B26" s="90" t="s">
        <v>782</v>
      </c>
      <c r="C26" s="90" t="s">
        <v>778</v>
      </c>
      <c r="D26" s="91" t="s">
        <v>776</v>
      </c>
    </row>
    <row r="27" spans="2:4" ht="43.2" x14ac:dyDescent="0.3">
      <c r="B27" s="94" t="s">
        <v>779</v>
      </c>
      <c r="C27" s="90" t="s">
        <v>780</v>
      </c>
      <c r="D27" s="92" t="s">
        <v>781</v>
      </c>
    </row>
    <row r="30" spans="2:4" x14ac:dyDescent="0.3">
      <c r="B30" s="27" t="s">
        <v>786</v>
      </c>
    </row>
    <row r="32" spans="2:4" x14ac:dyDescent="0.3">
      <c r="B32" s="95" t="s">
        <v>751</v>
      </c>
      <c r="C32" s="95" t="s">
        <v>634</v>
      </c>
    </row>
    <row r="33" spans="2:4" ht="72" x14ac:dyDescent="0.3">
      <c r="B33" s="90" t="s">
        <v>800</v>
      </c>
      <c r="C33" s="90" t="s">
        <v>791</v>
      </c>
    </row>
    <row r="34" spans="2:4" ht="72" x14ac:dyDescent="0.3">
      <c r="B34" s="90" t="s">
        <v>801</v>
      </c>
      <c r="C34" s="96" t="s">
        <v>790</v>
      </c>
    </row>
    <row r="35" spans="2:4" ht="32.4" customHeight="1" x14ac:dyDescent="0.3">
      <c r="B35" s="89" t="s">
        <v>794</v>
      </c>
      <c r="C35" s="90" t="s">
        <v>792</v>
      </c>
    </row>
    <row r="36" spans="2:4" ht="33.6" customHeight="1" x14ac:dyDescent="0.3">
      <c r="B36" s="90" t="s">
        <v>795</v>
      </c>
      <c r="C36" s="90" t="s">
        <v>793</v>
      </c>
    </row>
    <row r="37" spans="2:4" ht="68.400000000000006" customHeight="1" x14ac:dyDescent="0.3">
      <c r="B37" s="89" t="s">
        <v>796</v>
      </c>
      <c r="C37" s="90" t="s">
        <v>797</v>
      </c>
    </row>
    <row r="38" spans="2:4" ht="37.200000000000003" customHeight="1" x14ac:dyDescent="0.3">
      <c r="B38" s="90" t="s">
        <v>798</v>
      </c>
      <c r="C38" s="90" t="s">
        <v>799</v>
      </c>
    </row>
    <row r="39" spans="2:4" x14ac:dyDescent="0.3">
      <c r="C39" s="87"/>
    </row>
    <row r="40" spans="2:4" x14ac:dyDescent="0.3">
      <c r="C40" s="87"/>
    </row>
    <row r="41" spans="2:4" x14ac:dyDescent="0.3">
      <c r="B41" s="27" t="s">
        <v>813</v>
      </c>
      <c r="C41" s="87"/>
    </row>
    <row r="42" spans="2:4" x14ac:dyDescent="0.3">
      <c r="C42" s="87"/>
    </row>
    <row r="43" spans="2:4" x14ac:dyDescent="0.3">
      <c r="B43" t="s">
        <v>815</v>
      </c>
      <c r="C43" s="87"/>
    </row>
    <row r="44" spans="2:4" x14ac:dyDescent="0.3">
      <c r="B44" s="108" t="s">
        <v>569</v>
      </c>
      <c r="C44" s="107" t="s">
        <v>707</v>
      </c>
      <c r="D44" s="109" t="s">
        <v>775</v>
      </c>
    </row>
    <row r="45" spans="2:4" x14ac:dyDescent="0.3">
      <c r="B45" s="97" t="s">
        <v>655</v>
      </c>
      <c r="C45" s="104">
        <v>0.15</v>
      </c>
      <c r="D45" s="110" t="s">
        <v>814</v>
      </c>
    </row>
    <row r="46" spans="2:4" x14ac:dyDescent="0.3">
      <c r="B46" s="97" t="s">
        <v>657</v>
      </c>
      <c r="C46" s="104">
        <v>0.127</v>
      </c>
      <c r="D46" s="110" t="s">
        <v>814</v>
      </c>
    </row>
    <row r="47" spans="2:4" x14ac:dyDescent="0.3">
      <c r="B47" s="97" t="s">
        <v>722</v>
      </c>
      <c r="C47" s="104">
        <v>0.316</v>
      </c>
      <c r="D47" s="110" t="s">
        <v>814</v>
      </c>
    </row>
    <row r="48" spans="2:4" x14ac:dyDescent="0.3">
      <c r="B48" s="97" t="s">
        <v>723</v>
      </c>
      <c r="C48" s="104">
        <v>0.78300000000000003</v>
      </c>
      <c r="D48" s="110" t="s">
        <v>814</v>
      </c>
    </row>
    <row r="49" spans="2:4" x14ac:dyDescent="0.3">
      <c r="B49" s="100" t="s">
        <v>728</v>
      </c>
      <c r="C49" s="106">
        <v>0.61299999999999999</v>
      </c>
      <c r="D49" s="111" t="s">
        <v>814</v>
      </c>
    </row>
    <row r="50" spans="2:4" ht="28.8" x14ac:dyDescent="0.3">
      <c r="B50" s="112" t="s">
        <v>816</v>
      </c>
      <c r="C50" s="114"/>
      <c r="D50" s="113"/>
    </row>
    <row r="54" spans="2:4" x14ac:dyDescent="0.3">
      <c r="B54" s="27" t="s">
        <v>817</v>
      </c>
    </row>
    <row r="56" spans="2:4" x14ac:dyDescent="0.3">
      <c r="B56" s="120"/>
      <c r="C56" s="121" t="s">
        <v>802</v>
      </c>
      <c r="D56" s="122" t="s">
        <v>733</v>
      </c>
    </row>
    <row r="57" spans="2:4" x14ac:dyDescent="0.3">
      <c r="B57" s="115" t="s">
        <v>680</v>
      </c>
      <c r="C57" s="116">
        <v>3</v>
      </c>
      <c r="D57" s="98">
        <v>10</v>
      </c>
    </row>
    <row r="58" spans="2:4" x14ac:dyDescent="0.3">
      <c r="B58" s="115" t="s">
        <v>676</v>
      </c>
      <c r="C58" s="117">
        <v>0.1178</v>
      </c>
      <c r="D58" s="99">
        <v>0.41460000000000002</v>
      </c>
    </row>
    <row r="59" spans="2:4" x14ac:dyDescent="0.3">
      <c r="B59" s="115" t="s">
        <v>735</v>
      </c>
      <c r="C59" s="117">
        <v>0.11219999999999999</v>
      </c>
      <c r="D59" s="99">
        <v>0.40189999999999998</v>
      </c>
    </row>
    <row r="60" spans="2:4" x14ac:dyDescent="0.3">
      <c r="B60" s="115" t="s">
        <v>734</v>
      </c>
      <c r="C60" s="116">
        <v>475</v>
      </c>
      <c r="D60" s="98">
        <v>475</v>
      </c>
    </row>
    <row r="61" spans="2:4" x14ac:dyDescent="0.3">
      <c r="B61" s="115" t="s">
        <v>736</v>
      </c>
      <c r="C61" s="116" t="s">
        <v>737</v>
      </c>
      <c r="D61" s="98" t="s">
        <v>738</v>
      </c>
    </row>
    <row r="62" spans="2:4" x14ac:dyDescent="0.3">
      <c r="B62" s="118" t="s">
        <v>803</v>
      </c>
      <c r="C62" s="119" t="s">
        <v>737</v>
      </c>
      <c r="D62" s="101" t="s">
        <v>804</v>
      </c>
    </row>
    <row r="63" spans="2:4" x14ac:dyDescent="0.3">
      <c r="B63" s="123" t="s">
        <v>818</v>
      </c>
      <c r="C63" s="114"/>
      <c r="D63" s="113"/>
    </row>
    <row r="67" spans="2:2" x14ac:dyDescent="0.3">
      <c r="B67" s="27" t="s">
        <v>819</v>
      </c>
    </row>
    <row r="69" spans="2:2" ht="129.6" x14ac:dyDescent="0.3">
      <c r="B69" s="124" t="s">
        <v>820</v>
      </c>
    </row>
    <row r="70" spans="2:2" x14ac:dyDescent="0.3">
      <c r="B70" s="46"/>
    </row>
    <row r="71" spans="2:2" x14ac:dyDescent="0.3">
      <c r="B71" s="46"/>
    </row>
    <row r="72" spans="2:2" x14ac:dyDescent="0.3">
      <c r="B72" s="46"/>
    </row>
    <row r="73" spans="2:2" x14ac:dyDescent="0.3">
      <c r="B73" s="5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B969FC-4B40-4682-95C1-79CC6EF7EE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Clean_Data</vt:lpstr>
      <vt:lpstr>EDA</vt:lpstr>
      <vt:lpstr>Statistical Analysis</vt:lpstr>
      <vt:lpstr>Statistical Output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Urvashi Sharma</dc:creator>
  <cp:lastModifiedBy>Urvashi Sharma</cp:lastModifiedBy>
  <cp:lastPrinted>2026-08-21T11:50:07Z</cp:lastPrinted>
  <dcterms:created xsi:type="dcterms:W3CDTF">2026-08-15T04:41:35Z</dcterms:created>
  <dcterms:modified xsi:type="dcterms:W3CDTF">2026-08-21T12:41:20Z</dcterms:modified>
</cp:coreProperties>
</file>